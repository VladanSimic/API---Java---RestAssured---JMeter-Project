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us\ofac_testing\"/>
    </mc:Choice>
  </mc:AlternateContent>
  <xr:revisionPtr revIDLastSave="0" documentId="13_ncr:1_{45818501-6FD8-4358-8CF4-55CB1FE5E632}" xr6:coauthVersionLast="47" xr6:coauthVersionMax="47" xr10:uidLastSave="{00000000-0000-0000-0000-000000000000}"/>
  <bookViews>
    <workbookView xWindow="-108" yWindow="-108" windowWidth="23256" windowHeight="12576" tabRatio="779" activeTab="1" xr2:uid="{00000000-000D-0000-FFFF-FFFF00000000}"/>
  </bookViews>
  <sheets>
    <sheet name="QuoteCreatorES" sheetId="9" r:id="rId1"/>
    <sheet name="ES_Additional_Insured" sheetId="11" r:id="rId2"/>
    <sheet name="ES_LegalEntityLocations" sheetId="10" r:id="rId3"/>
    <sheet name="ES_BeneficialOwners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" i="9" l="1"/>
  <c r="AF4" i="9"/>
  <c r="AE4" i="9"/>
  <c r="B4" i="9"/>
  <c r="AU9" i="9" l="1"/>
  <c r="AU8" i="9"/>
  <c r="AU7" i="9"/>
  <c r="AU6" i="9"/>
  <c r="AU5" i="9"/>
  <c r="AU3" i="9"/>
  <c r="AF9" i="9" l="1"/>
  <c r="AF8" i="9"/>
  <c r="AF7" i="9"/>
  <c r="AF6" i="9"/>
  <c r="AF5" i="9"/>
  <c r="AF3" i="9"/>
  <c r="AE9" i="9" l="1"/>
  <c r="AE8" i="9"/>
  <c r="AE7" i="9"/>
  <c r="AE6" i="9"/>
  <c r="AE5" i="9"/>
  <c r="AE3" i="9"/>
  <c r="B9" i="9" l="1"/>
  <c r="B8" i="9"/>
  <c r="B7" i="9"/>
  <c r="B6" i="9"/>
  <c r="B5" i="9"/>
  <c r="B3" i="9"/>
</calcChain>
</file>

<file path=xl/sharedStrings.xml><?xml version="1.0" encoding="utf-8"?>
<sst xmlns="http://schemas.openxmlformats.org/spreadsheetml/2006/main" count="759" uniqueCount="275">
  <si>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</si>
  <si>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</si>
  <si>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</si>
  <si>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</si>
  <si>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</si>
  <si>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</si>
  <si>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</si>
  <si>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</si>
  <si>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</si>
  <si>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</si>
  <si>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</si>
  <si>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</si>
  <si>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</si>
  <si>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</si>
  <si>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</si>
  <si>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</si>
  <si>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</si>
  <si>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</si>
  <si>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</si>
  <si>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</si>
  <si>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</si>
  <si>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</si>
  <si>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</si>
  <si>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</si>
  <si>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</si>
  <si>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</si>
  <si>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</si>
  <si>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</si>
  <si>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</si>
  <si>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Manchester</t>
  </si>
  <si>
    <t>CA</t>
  </si>
  <si>
    <t>CT</t>
  </si>
  <si>
    <t>MA</t>
  </si>
  <si>
    <t>NY</t>
  </si>
  <si>
    <t>FL</t>
  </si>
  <si>
    <t>TX</t>
  </si>
  <si>
    <t>1000</t>
  </si>
  <si>
    <t>Other</t>
  </si>
  <si>
    <t>Usage</t>
  </si>
  <si>
    <t>Named_Insured_Type</t>
  </si>
  <si>
    <t>Individual</t>
  </si>
  <si>
    <t>Excess Liability</t>
  </si>
  <si>
    <t>Domestic_Employees</t>
  </si>
  <si>
    <t>Swimming_Pool</t>
  </si>
  <si>
    <t>Primary</t>
  </si>
  <si>
    <t>Dwelling_Type</t>
  </si>
  <si>
    <t>Excess_Liability_Limit</t>
  </si>
  <si>
    <t>1,000,000</t>
  </si>
  <si>
    <t>UIM_Limit</t>
  </si>
  <si>
    <t>Underinsured_Liability_Limit</t>
  </si>
  <si>
    <t>No Coverage</t>
  </si>
  <si>
    <t>License_State</t>
  </si>
  <si>
    <t>License_Number</t>
  </si>
  <si>
    <t>Notes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</si>
  <si>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</si>
  <si>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</si>
  <si>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</si>
  <si>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</si>
  <si>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</si>
  <si>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</si>
  <si>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</si>
  <si>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</si>
  <si>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</si>
  <si>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TC_ID</t>
  </si>
  <si>
    <t>Current_Premium</t>
  </si>
  <si>
    <t>AIG</t>
  </si>
  <si>
    <t>145 E 39th St</t>
  </si>
  <si>
    <t>1604 Monterey St</t>
  </si>
  <si>
    <t>39 Dalton St</t>
  </si>
  <si>
    <t>191 Spencer St</t>
  </si>
  <si>
    <t>4501 S IH 35 Frontage Rd</t>
  </si>
  <si>
    <t>1815 E West Pkwy</t>
  </si>
  <si>
    <t>New York</t>
  </si>
  <si>
    <t>SAN LUIS OBISPO</t>
  </si>
  <si>
    <t>BOSTON</t>
  </si>
  <si>
    <t>Austin</t>
  </si>
  <si>
    <t>Fleming Island</t>
  </si>
  <si>
    <t>10016</t>
  </si>
  <si>
    <t>93401</t>
  </si>
  <si>
    <t>02199</t>
  </si>
  <si>
    <t>06040</t>
  </si>
  <si>
    <t>78744</t>
  </si>
  <si>
    <t>32003</t>
  </si>
  <si>
    <t>Patty1 Clement</t>
  </si>
  <si>
    <t>Licensed_Producer_DEV</t>
  </si>
  <si>
    <t>Advisor_Servicer_DEV</t>
  </si>
  <si>
    <t>50,000</t>
  </si>
  <si>
    <t>Quote_Name</t>
  </si>
  <si>
    <t>Surplus</t>
  </si>
  <si>
    <t>Automation</t>
  </si>
  <si>
    <t>ES Row 1</t>
  </si>
  <si>
    <t>ES Row 2</t>
  </si>
  <si>
    <t>ES Row 3</t>
  </si>
  <si>
    <t>ES Row 4</t>
  </si>
  <si>
    <t>ES Row 5</t>
  </si>
  <si>
    <t>ES Row 6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</si>
  <si>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</si>
  <si>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</si>
  <si>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</si>
  <si>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</si>
  <si>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</si>
  <si>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</si>
  <si>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</si>
  <si>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</si>
  <si>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</si>
  <si>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</si>
  <si>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ES / Operator Information / Additional Operators</t>
  </si>
  <si>
    <t>999999</t>
  </si>
  <si>
    <t>ES / Operator Information / auto CLUE reports</t>
  </si>
  <si>
    <t>Household_Members</t>
  </si>
  <si>
    <t>Household_Locations</t>
  </si>
  <si>
    <t>Gender</t>
  </si>
  <si>
    <t>ES / Property Information / Property Information</t>
  </si>
  <si>
    <t>Is_Residence_Rented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</si>
  <si>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</si>
  <si>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</si>
  <si>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</si>
  <si>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</si>
  <si>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</si>
  <si>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CA_001</t>
  </si>
  <si>
    <t>CT_001</t>
  </si>
  <si>
    <t>MA_001</t>
  </si>
  <si>
    <t>NY_001</t>
  </si>
  <si>
    <t>FL_001</t>
  </si>
  <si>
    <t>TX_001</t>
  </si>
  <si>
    <t>Underwriter</t>
  </si>
  <si>
    <t>Karie Roth</t>
  </si>
  <si>
    <t>XXX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</si>
  <si>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</si>
  <si>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</si>
  <si>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</si>
  <si>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</si>
  <si>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</si>
  <si>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</si>
  <si>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</si>
  <si>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</si>
  <si>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</si>
  <si>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</si>
  <si>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</si>
  <si>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</si>
  <si>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</si>
  <si>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</si>
  <si>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</si>
  <si>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</si>
  <si>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</si>
  <si>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</si>
  <si>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</si>
  <si>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</si>
  <si>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</si>
  <si>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</si>
  <si>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</si>
  <si>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</si>
  <si>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</si>
  <si>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</si>
  <si>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</si>
  <si>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</si>
  <si>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</si>
  <si>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</si>
  <si>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</si>
  <si>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800391600</t>
  </si>
  <si>
    <t>Smoke</t>
  </si>
  <si>
    <t>Co</t>
  </si>
  <si>
    <t>NY_101</t>
  </si>
  <si>
    <t>23 East State Street</t>
  </si>
  <si>
    <t>Gloversville</t>
  </si>
  <si>
    <t>12078</t>
  </si>
  <si>
    <t>Alexis</t>
  </si>
  <si>
    <t>Castle</t>
  </si>
  <si>
    <t>01/30/1975</t>
  </si>
  <si>
    <t>Extended Smoke</t>
  </si>
  <si>
    <t>Gender X</t>
  </si>
  <si>
    <t>789235</t>
  </si>
  <si>
    <t>Additional Insured Page - Additional Insured Block</t>
  </si>
  <si>
    <t>Insured_ID</t>
  </si>
  <si>
    <t>Additional_Insured_Type</t>
  </si>
  <si>
    <t>Additional_Insured_LLC_Trust</t>
  </si>
  <si>
    <t>Additional_Insured_Name</t>
  </si>
  <si>
    <t>Additional_Insured_Street</t>
  </si>
  <si>
    <t>Additional_Insured_City</t>
  </si>
  <si>
    <t>Additional_Insured_State</t>
  </si>
  <si>
    <t>Additional_Insured_ZIP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</si>
  <si>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</si>
  <si>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</si>
  <si>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</si>
  <si>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</si>
  <si>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</si>
  <si>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</si>
  <si>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Household_Entity_Locations_LLC</t>
  </si>
  <si>
    <t>Beneficial_Owners_LLC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</si>
  <si>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</si>
  <si>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</si>
  <si>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</si>
  <si>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</si>
  <si>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</si>
  <si>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</si>
  <si>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</si>
  <si>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Insured_001</t>
  </si>
  <si>
    <t>Additional Insured</t>
  </si>
  <si>
    <t>LLC</t>
  </si>
  <si>
    <t>IT</t>
  </si>
  <si>
    <t>36210</t>
  </si>
  <si>
    <t>Test</t>
  </si>
  <si>
    <t>Insured_002</t>
  </si>
  <si>
    <t>Testing</t>
  </si>
  <si>
    <t>Insured_003</t>
  </si>
  <si>
    <t>Additional Insured - Legal Entity</t>
  </si>
  <si>
    <t>Testiing</t>
  </si>
  <si>
    <t>ES</t>
  </si>
  <si>
    <t>Legal Entity Locations</t>
  </si>
  <si>
    <t>Location_ID</t>
  </si>
  <si>
    <t>Location_001_LLC</t>
  </si>
  <si>
    <t>2625 S Greaves Pl</t>
  </si>
  <si>
    <t>Cornville</t>
  </si>
  <si>
    <t>AZ</t>
  </si>
  <si>
    <t>86325</t>
  </si>
  <si>
    <t>Location_002_LLC</t>
  </si>
  <si>
    <t>3000 S Greaves Pl</t>
  </si>
  <si>
    <t>Principal/Beneficial Owner</t>
  </si>
  <si>
    <t>Employee</t>
  </si>
  <si>
    <t>Additional_Insured</t>
  </si>
  <si>
    <t>Additional Insured Page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</si>
  <si>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</si>
  <si>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</si>
  <si>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</si>
  <si>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</si>
  <si>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</si>
  <si>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</si>
  <si>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</si>
  <si>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</si>
  <si>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</si>
  <si>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</si>
  <si>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Additional_Insured_Address_Dropdown_Liability_Coverage</t>
  </si>
  <si>
    <t>Additional_Insured_Address_Form_Liability_Coverage</t>
  </si>
  <si>
    <t>Additional_Insured_Property_Description</t>
  </si>
  <si>
    <t>AUTODEFENSAS UNIDAS DE COLOMBIA</t>
  </si>
  <si>
    <t>GRUPO INDUSTRIAL GAXIOLA</t>
  </si>
  <si>
    <t>Insured_001,Insured_002,Insured_003</t>
  </si>
  <si>
    <t>Owner_001</t>
  </si>
  <si>
    <t>Owner_002</t>
  </si>
  <si>
    <t>Owner_003</t>
  </si>
  <si>
    <t>Owner_004</t>
  </si>
  <si>
    <t>PW</t>
  </si>
  <si>
    <t>Trust, LLC, Other Legal Entity page-Please provide the Principal Beneficial Owners Name or Employees Block</t>
  </si>
  <si>
    <t>Principal_Benefical_Owner_ID</t>
  </si>
  <si>
    <t>Legal_Entity</t>
  </si>
  <si>
    <t>Please_Provide_The_Principal_Beneficial_Owners_Name_Or_Employees_Occupation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</si>
  <si>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</si>
  <si>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</si>
  <si>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</si>
  <si>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</si>
  <si>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</si>
  <si>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</si>
  <si>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</si>
  <si>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</si>
  <si>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Friend</t>
  </si>
  <si>
    <t>Tester</t>
  </si>
  <si>
    <t>Ali</t>
  </si>
  <si>
    <t>Habib</t>
  </si>
  <si>
    <t>QA</t>
  </si>
  <si>
    <t>Automation QA</t>
  </si>
  <si>
    <t>TROVER, S.A.</t>
  </si>
  <si>
    <t>758 Mayfair Lane</t>
  </si>
  <si>
    <t>Miami</t>
  </si>
  <si>
    <t xml:space="preserve">PCC </t>
  </si>
  <si>
    <t>FZE</t>
  </si>
  <si>
    <t>Owner_001,Owner_003</t>
  </si>
  <si>
    <t>Owner_002,Owner_004</t>
  </si>
  <si>
    <t>01/01/1991</t>
  </si>
  <si>
    <t>01/01/1992</t>
  </si>
  <si>
    <t>01/01/1993</t>
  </si>
  <si>
    <t>01/01/1994</t>
  </si>
  <si>
    <t>LLC_Trust_Questionnaire_Address_Line_1</t>
  </si>
  <si>
    <t>2626 S Greaves Pl</t>
  </si>
  <si>
    <t>2627 S Greaves Pl</t>
  </si>
  <si>
    <t>Marija Milosevic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</si>
</sst>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49" fontId="5" fillId="3" borderId="1" xfId="1" applyNumberFormat="1" applyFont="1" applyFill="1" applyBorder="1" applyAlignment="1">
      <alignment horizontal="left" vertical="top"/>
    </xf>
    <xf numFmtId="14" fontId="4" fillId="3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6" borderId="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3" fillId="6" borderId="9" xfId="0" applyNumberFormat="1" applyFont="1" applyFill="1" applyBorder="1" applyAlignment="1">
      <alignment horizontal="left" vertical="top"/>
    </xf>
    <xf numFmtId="49" fontId="3" fillId="6" borderId="5" xfId="0" applyNumberFormat="1" applyFont="1" applyFill="1" applyBorder="1" applyAlignment="1">
      <alignment horizontal="left" vertical="top"/>
    </xf>
    <xf numFmtId="49" fontId="4" fillId="4" borderId="3" xfId="0" applyNumberFormat="1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49" fontId="4" fillId="4" borderId="4" xfId="0" applyNumberFormat="1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49" fontId="5" fillId="4" borderId="3" xfId="1" applyNumberFormat="1" applyFont="1" applyFill="1" applyBorder="1" applyAlignment="1">
      <alignment horizontal="left" vertical="top"/>
    </xf>
    <xf numFmtId="164" fontId="2" fillId="6" borderId="8" xfId="0" applyNumberFormat="1" applyFont="1" applyFill="1" applyBorder="1" applyAlignment="1">
      <alignment horizontal="left" vertical="top"/>
    </xf>
    <xf numFmtId="49" fontId="7" fillId="6" borderId="6" xfId="0" applyNumberFormat="1" applyFont="1" applyFill="1" applyBorder="1" applyAlignment="1">
      <alignment horizontal="left" vertical="top"/>
    </xf>
    <xf numFmtId="49" fontId="7" fillId="5" borderId="10" xfId="0" applyNumberFormat="1" applyFont="1" applyFill="1" applyBorder="1" applyAlignment="1">
      <alignment vertical="top"/>
    </xf>
    <xf numFmtId="49" fontId="7" fillId="5" borderId="0" xfId="0" applyNumberFormat="1" applyFont="1" applyFill="1" applyAlignment="1">
      <alignment vertical="top"/>
    </xf>
    <xf numFmtId="49" fontId="8" fillId="6" borderId="6" xfId="0" applyNumberFormat="1" applyFont="1" applyFill="1" applyBorder="1" applyAlignment="1">
      <alignment horizontal="left" vertical="top"/>
    </xf>
    <xf numFmtId="49" fontId="8" fillId="6" borderId="11" xfId="0" applyNumberFormat="1" applyFon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7" fillId="7" borderId="12" xfId="0" applyNumberFormat="1" applyFont="1" applyFill="1" applyBorder="1" applyAlignment="1">
      <alignment horizontal="left" vertical="top"/>
    </xf>
    <xf numFmtId="49" fontId="7" fillId="7" borderId="13" xfId="0" applyNumberFormat="1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7" fillId="7" borderId="7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49" fontId="7" fillId="6" borderId="9" xfId="0" applyNumberFormat="1" applyFont="1" applyFill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/>
    </xf>
    <xf numFmtId="49" fontId="8" fillId="7" borderId="7" xfId="0" applyNumberFormat="1" applyFont="1" applyFill="1" applyBorder="1" applyAlignment="1">
      <alignment horizontal="left" vertical="top"/>
    </xf>
    <xf numFmtId="49" fontId="9" fillId="8" borderId="14" xfId="0" applyNumberFormat="1" applyFont="1" applyFill="1" applyBorder="1" applyAlignment="1">
      <alignment horizontal="left" vertical="top"/>
    </xf>
    <xf numFmtId="49" fontId="0" fillId="0" borderId="0" xfId="0" applyNumberFormat="1"/>
    <xf numFmtId="49" fontId="8" fillId="8" borderId="11" xfId="0" applyNumberFormat="1" applyFont="1" applyFill="1" applyBorder="1" applyAlignment="1">
      <alignment horizontal="left" vertical="top"/>
    </xf>
    <xf numFmtId="49" fontId="9" fillId="8" borderId="7" xfId="0" applyNumberFormat="1" applyFont="1" applyFill="1" applyBorder="1"/>
    <xf numFmtId="49" fontId="10" fillId="8" borderId="3" xfId="0" applyNumberFormat="1" applyFont="1" applyFill="1" applyBorder="1" applyAlignment="1">
      <alignment horizontal="left" vertical="top"/>
    </xf>
    <xf numFmtId="49" fontId="10" fillId="10" borderId="3" xfId="0" applyNumberFormat="1" applyFont="1" applyFill="1" applyBorder="1" applyAlignment="1">
      <alignment horizontal="left" vertical="top"/>
    </xf>
    <xf numFmtId="49" fontId="10" fillId="10" borderId="1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7" fillId="7" borderId="13" xfId="0" applyNumberFormat="1" applyFont="1" applyFill="1" applyBorder="1" applyAlignment="1">
      <alignment horizontal="left" vertical="top"/>
    </xf>
    <xf numFmtId="49" fontId="9" fillId="9" borderId="15" xfId="0" applyNumberFormat="1" applyFont="1" applyFill="1" applyBorder="1" applyAlignment="1">
      <alignment horizontal="left" vertical="top"/>
    </xf>
    <xf numFmtId="49" fontId="9" fillId="9" borderId="16" xfId="0" applyNumberFormat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S9"/>
  <sheetViews>
    <sheetView workbookViewId="0">
      <pane xSplit="1" ySplit="2" topLeftCell="AE3" activePane="bottomRight" state="frozen"/>
      <selection pane="topRight" activeCell="B1" sqref="B1"/>
      <selection pane="bottomLeft" activeCell="A3" sqref="A3"/>
      <selection pane="bottomRight" activeCell="AF17" sqref="AF17"/>
    </sheetView>
  </sheetViews>
  <sheetFormatPr defaultColWidth="9.109375" defaultRowHeight="15.6" x14ac:dyDescent="0.3"/>
  <cols>
    <col min="1" max="1" width="8.6640625" style="15" bestFit="1" customWidth="1"/>
    <col min="2" max="2" width="15.33203125" style="14" bestFit="1" customWidth="1"/>
    <col min="3" max="3" width="22.6640625" style="5" bestFit="1" customWidth="1"/>
    <col min="4" max="4" width="18.5546875" style="5" bestFit="1" customWidth="1"/>
    <col min="5" max="5" width="9.5546875" style="5" bestFit="1" customWidth="1"/>
    <col min="6" max="6" width="6.109375" style="5" bestFit="1" customWidth="1"/>
    <col min="7" max="7" width="22.5546875" style="5" bestFit="1" customWidth="1"/>
    <col min="8" max="8" width="16.109375" style="5" bestFit="1" customWidth="1"/>
    <col min="9" max="9" width="10" style="5" bestFit="1" customWidth="1"/>
    <col min="10" max="10" width="13.109375" style="5" bestFit="1" customWidth="1"/>
    <col min="11" max="11" width="15.109375" style="5" bestFit="1" customWidth="1"/>
    <col min="12" max="12" width="38" style="5" bestFit="1" customWidth="1"/>
    <col min="13" max="13" width="25.33203125" style="5" bestFit="1" customWidth="1"/>
    <col min="14" max="14" width="20.88671875" style="5" bestFit="1" customWidth="1"/>
    <col min="15" max="15" width="21.109375" style="5" bestFit="1" customWidth="1"/>
    <col min="16" max="16" width="17.88671875" style="5" bestFit="1" customWidth="1"/>
    <col min="17" max="17" width="12" style="5" bestFit="1" customWidth="1"/>
    <col min="18" max="18" width="11.6640625" style="5" bestFit="1" customWidth="1"/>
    <col min="19" max="19" width="22.109375" style="5" bestFit="1" customWidth="1"/>
    <col min="20" max="20" width="20" style="5" bestFit="1" customWidth="1"/>
    <col min="21" max="21" width="16.6640625" style="5" bestFit="1" customWidth="1"/>
    <col min="22" max="22" width="20.88671875" style="5" bestFit="1" customWidth="1"/>
    <col min="23" max="23" width="20.5546875" style="5" bestFit="1" customWidth="1"/>
    <col min="24" max="24" width="22.6640625" style="5" bestFit="1" customWidth="1"/>
    <col min="25" max="25" width="21.44140625" style="5" bestFit="1" customWidth="1"/>
    <col min="26" max="26" width="34.33203125" style="5" bestFit="1" customWidth="1"/>
    <col min="27" max="27" width="18.6640625" style="5" bestFit="1" customWidth="1"/>
    <col min="28" max="29" width="30.88671875" style="5" customWidth="1"/>
    <col min="30" max="30" width="29.33203125" style="5" customWidth="1"/>
    <col min="31" max="31" width="33.44140625" style="5" bestFit="1" customWidth="1"/>
    <col min="32" max="32" width="45.33203125" style="5" customWidth="1"/>
    <col min="33" max="33" width="24" style="5" customWidth="1"/>
    <col min="34" max="34" width="22.109375" style="5" bestFit="1" customWidth="1"/>
    <col min="35" max="36" width="22.109375" style="5" customWidth="1"/>
    <col min="37" max="37" width="55" style="5" bestFit="1" customWidth="1"/>
    <col min="38" max="38" width="20.44140625" style="5" bestFit="1" customWidth="1"/>
    <col min="39" max="39" width="22.6640625" style="5" bestFit="1" customWidth="1"/>
    <col min="40" max="40" width="24.109375" style="5" bestFit="1" customWidth="1"/>
    <col min="41" max="41" width="24.6640625" style="5" bestFit="1" customWidth="1"/>
    <col min="42" max="42" width="30.44140625" style="5" bestFit="1" customWidth="1"/>
    <col min="43" max="43" width="30.44140625" style="5" customWidth="1"/>
    <col min="44" max="44" width="19.6640625" style="5" bestFit="1" customWidth="1"/>
    <col min="45" max="45" width="33" style="5" bestFit="1" customWidth="1"/>
    <col min="46" max="46" width="26.44140625" style="5" bestFit="1" customWidth="1"/>
    <col min="47" max="47" width="44.88671875" style="5" bestFit="1" customWidth="1"/>
    <col min="48" max="48" width="39.88671875" style="5" bestFit="1" customWidth="1"/>
    <col min="49" max="49" width="24.6640625" style="5" bestFit="1" customWidth="1"/>
    <col min="50" max="50" width="24.88671875" style="4" bestFit="1" customWidth="1"/>
    <col min="51" max="51" width="22.88671875" style="4" bestFit="1" customWidth="1"/>
    <col min="52" max="52" width="14.6640625" style="5" bestFit="1" customWidth="1"/>
    <col min="53" max="53" width="20.33203125" style="5" bestFit="1" customWidth="1"/>
    <col min="54" max="54" width="31" style="5" bestFit="1" customWidth="1"/>
    <col min="55" max="55" width="28.88671875" style="5" bestFit="1" customWidth="1"/>
    <col min="56" max="56" width="20.6640625" style="5" bestFit="1" customWidth="1"/>
    <col min="57" max="57" width="26.44140625" style="5" bestFit="1" customWidth="1"/>
    <col min="58" max="58" width="24" style="4" bestFit="1" customWidth="1"/>
    <col min="59" max="59" width="22" style="4" bestFit="1" customWidth="1"/>
    <col min="60" max="60" width="13.88671875" style="5" bestFit="1" customWidth="1"/>
    <col min="61" max="61" width="19.44140625" style="5" bestFit="1" customWidth="1"/>
    <col min="62" max="62" width="30.109375" style="5" bestFit="1" customWidth="1"/>
    <col min="63" max="63" width="28" style="5" bestFit="1" customWidth="1"/>
    <col min="64" max="64" width="19.88671875" style="5" bestFit="1" customWidth="1"/>
    <col min="65" max="65" width="25.5546875" style="5" bestFit="1" customWidth="1"/>
    <col min="66" max="66" width="24.6640625" style="4" bestFit="1" customWidth="1"/>
    <col min="67" max="67" width="22.6640625" style="4" bestFit="1" customWidth="1"/>
    <col min="68" max="68" width="14.5546875" style="5" bestFit="1" customWidth="1"/>
    <col min="69" max="69" width="20.109375" style="5" bestFit="1" customWidth="1"/>
    <col min="70" max="70" width="30.88671875" style="5" bestFit="1" customWidth="1"/>
    <col min="71" max="71" width="28.6640625" style="5" bestFit="1" customWidth="1"/>
    <col min="72" max="72" width="19.88671875" style="5" bestFit="1" customWidth="1"/>
    <col min="73" max="73" width="26.33203125" style="5" bestFit="1" customWidth="1"/>
    <col min="74" max="74" width="27.44140625" style="4" bestFit="1" customWidth="1"/>
    <col min="75" max="75" width="25" style="4" bestFit="1" customWidth="1"/>
    <col min="76" max="76" width="27.44140625" style="4" bestFit="1" customWidth="1"/>
    <col min="77" max="77" width="29.6640625" style="4" bestFit="1" customWidth="1"/>
    <col min="78" max="78" width="11" style="5" bestFit="1" customWidth="1"/>
    <col min="79" max="79" width="17.44140625" style="5" bestFit="1" customWidth="1"/>
    <col min="80" max="80" width="17" style="5" bestFit="1" customWidth="1"/>
    <col min="81" max="82" width="19.6640625" style="5" bestFit="1" customWidth="1"/>
    <col min="83" max="83" width="12.6640625" style="5" bestFit="1" customWidth="1"/>
    <col min="84" max="84" width="30.5546875" style="5" bestFit="1" customWidth="1"/>
    <col min="85" max="85" width="54.88671875" style="5" bestFit="1" customWidth="1"/>
    <col min="86" max="86" width="15.44140625" style="5" bestFit="1" customWidth="1"/>
    <col min="87" max="87" width="23.88671875" style="5" bestFit="1" customWidth="1"/>
    <col min="88" max="88" width="24.6640625" style="5" bestFit="1" customWidth="1"/>
    <col min="89" max="89" width="11.5546875" style="5" bestFit="1" customWidth="1"/>
    <col min="90" max="90" width="15.33203125" style="5" bestFit="1" customWidth="1"/>
    <col min="91" max="91" width="23.88671875" style="5" bestFit="1" customWidth="1"/>
    <col min="92" max="92" width="32.109375" style="5" bestFit="1" customWidth="1"/>
    <col min="93" max="93" width="18" style="5" bestFit="1" customWidth="1"/>
    <col min="94" max="94" width="15.5546875" style="5" bestFit="1" customWidth="1"/>
    <col min="95" max="95" width="12.44140625" style="5" bestFit="1" customWidth="1"/>
    <col min="96" max="96" width="35" style="5" bestFit="1" customWidth="1"/>
    <col min="97" max="97" width="27.44140625" style="5" bestFit="1" customWidth="1"/>
    <col min="98" max="103" width="9.109375" style="5"/>
    <col min="104" max="104" width="20.33203125" style="5" customWidth="1"/>
    <col min="105" max="105" width="20.5546875" style="5" customWidth="1"/>
    <col min="106" max="106" width="9.109375" style="5"/>
    <col min="107" max="107" width="26.44140625" style="5" bestFit="1" customWidth="1"/>
    <col min="108" max="16384" width="9.109375" style="5"/>
  </cols>
  <sheetData>
    <row r="1" spans="1:149" s="16" customFormat="1" ht="16.2" thickBot="1" x14ac:dyDescent="0.35">
      <c r="A1" s="9" t="s">
        <v>127</v>
      </c>
      <c r="B1" s="47" t="s">
        <v>96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 t="s">
        <v>103</v>
      </c>
      <c r="Y1" s="47"/>
      <c r="Z1" s="47" t="s">
        <v>104</v>
      </c>
      <c r="AA1" s="47"/>
      <c r="AB1" s="47" t="s">
        <v>106</v>
      </c>
      <c r="AC1" s="47"/>
      <c r="AD1" s="47"/>
      <c r="AE1" s="47" t="s">
        <v>108</v>
      </c>
      <c r="AF1" s="47"/>
      <c r="AG1" s="7" t="s">
        <v>220</v>
      </c>
      <c r="AH1" s="47" t="s">
        <v>112</v>
      </c>
      <c r="AI1" s="47"/>
      <c r="AJ1" s="47"/>
      <c r="AK1" s="47"/>
      <c r="AL1" s="47" t="s">
        <v>116</v>
      </c>
      <c r="AM1" s="47"/>
      <c r="AN1" s="47"/>
      <c r="AO1" s="47" t="s">
        <v>117</v>
      </c>
      <c r="AP1" s="47"/>
      <c r="AQ1" s="47"/>
      <c r="AR1" s="47"/>
      <c r="AS1" s="47" t="s">
        <v>54</v>
      </c>
      <c r="AT1" s="47"/>
      <c r="AU1" s="47"/>
      <c r="AV1" s="47"/>
      <c r="AW1" s="4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</row>
    <row r="2" spans="1:149" s="17" customFormat="1" ht="16.2" thickBot="1" x14ac:dyDescent="0.35">
      <c r="A2" s="10" t="s">
        <v>63</v>
      </c>
      <c r="B2" s="21" t="s">
        <v>10</v>
      </c>
      <c r="C2" s="6" t="s">
        <v>18</v>
      </c>
      <c r="D2" s="6" t="s">
        <v>1</v>
      </c>
      <c r="E2" s="6" t="s">
        <v>19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125</v>
      </c>
      <c r="K2" s="6" t="s">
        <v>0</v>
      </c>
      <c r="L2" s="6" t="s">
        <v>20</v>
      </c>
      <c r="M2" s="6" t="s">
        <v>2</v>
      </c>
      <c r="N2" s="6" t="s">
        <v>3</v>
      </c>
      <c r="O2" s="6" t="s">
        <v>4</v>
      </c>
      <c r="P2" s="6" t="s">
        <v>5</v>
      </c>
      <c r="Q2" s="6" t="s">
        <v>6</v>
      </c>
      <c r="R2" s="6" t="s">
        <v>7</v>
      </c>
      <c r="S2" s="6" t="s">
        <v>8</v>
      </c>
      <c r="T2" s="6" t="s">
        <v>9</v>
      </c>
      <c r="U2" s="6" t="s">
        <v>15</v>
      </c>
      <c r="V2" s="6" t="s">
        <v>16</v>
      </c>
      <c r="W2" s="6" t="s">
        <v>17</v>
      </c>
      <c r="X2" s="6" t="s">
        <v>39</v>
      </c>
      <c r="Y2" s="6" t="s">
        <v>87</v>
      </c>
      <c r="Z2" s="6" t="s">
        <v>105</v>
      </c>
      <c r="AA2" s="6" t="s">
        <v>64</v>
      </c>
      <c r="AB2" s="6" t="s">
        <v>51</v>
      </c>
      <c r="AC2" s="6" t="s">
        <v>52</v>
      </c>
      <c r="AD2" s="6" t="s">
        <v>111</v>
      </c>
      <c r="AE2" s="6" t="s">
        <v>109</v>
      </c>
      <c r="AF2" s="6" t="s">
        <v>110</v>
      </c>
      <c r="AG2" s="6" t="s">
        <v>219</v>
      </c>
      <c r="AH2" s="6" t="s">
        <v>43</v>
      </c>
      <c r="AI2" s="6" t="s">
        <v>38</v>
      </c>
      <c r="AJ2" s="6" t="s">
        <v>45</v>
      </c>
      <c r="AK2" s="6" t="s">
        <v>113</v>
      </c>
      <c r="AL2" s="6" t="s">
        <v>114</v>
      </c>
      <c r="AM2" s="6" t="s">
        <v>42</v>
      </c>
      <c r="AN2" s="6" t="s">
        <v>115</v>
      </c>
      <c r="AO2" s="6" t="s">
        <v>46</v>
      </c>
      <c r="AP2" s="6" t="s">
        <v>48</v>
      </c>
      <c r="AQ2" s="6" t="s">
        <v>49</v>
      </c>
      <c r="AR2" s="6" t="s">
        <v>118</v>
      </c>
      <c r="AS2" s="6" t="s">
        <v>154</v>
      </c>
      <c r="AT2" s="6" t="s">
        <v>155</v>
      </c>
      <c r="AU2" s="6" t="s">
        <v>156</v>
      </c>
      <c r="AV2" s="6" t="s">
        <v>157</v>
      </c>
      <c r="AW2" s="6" t="s">
        <v>158</v>
      </c>
      <c r="AX2" s="6" t="s">
        <v>84</v>
      </c>
      <c r="AY2" s="6" t="s">
        <v>85</v>
      </c>
      <c r="AZ2" s="6" t="s">
        <v>136</v>
      </c>
      <c r="BA2" s="6" t="s">
        <v>137</v>
      </c>
      <c r="BB2" s="6" t="s">
        <v>147</v>
      </c>
      <c r="BC2" s="6" t="s">
        <v>148</v>
      </c>
      <c r="BD2" s="6" t="s">
        <v>138</v>
      </c>
      <c r="BE2" s="6" t="s">
        <v>139</v>
      </c>
      <c r="BF2" s="6" t="s">
        <v>55</v>
      </c>
      <c r="BG2" s="6" t="s">
        <v>56</v>
      </c>
      <c r="BH2" s="6" t="s">
        <v>140</v>
      </c>
      <c r="BI2" s="6" t="s">
        <v>141</v>
      </c>
      <c r="BJ2" s="6" t="s">
        <v>128</v>
      </c>
      <c r="BK2" s="6" t="s">
        <v>129</v>
      </c>
      <c r="BL2" s="6" t="s">
        <v>134</v>
      </c>
      <c r="BM2" s="6" t="s">
        <v>135</v>
      </c>
      <c r="BN2" s="6" t="s">
        <v>57</v>
      </c>
      <c r="BO2" s="6" t="s">
        <v>58</v>
      </c>
      <c r="BP2" s="6" t="s">
        <v>142</v>
      </c>
      <c r="BQ2" s="6" t="s">
        <v>143</v>
      </c>
      <c r="BR2" s="6" t="s">
        <v>145</v>
      </c>
      <c r="BS2" s="6" t="s">
        <v>146</v>
      </c>
      <c r="BT2" s="6" t="s">
        <v>149</v>
      </c>
      <c r="BU2" s="6" t="s">
        <v>150</v>
      </c>
      <c r="BV2" s="6" t="s">
        <v>59</v>
      </c>
      <c r="BW2" s="6" t="s">
        <v>60</v>
      </c>
      <c r="BX2" s="6" t="s">
        <v>152</v>
      </c>
      <c r="BY2" s="6" t="s">
        <v>153</v>
      </c>
    </row>
    <row r="3" spans="1:149" s="13" customFormat="1" x14ac:dyDescent="0.3">
      <c r="A3" s="11" t="s">
        <v>122</v>
      </c>
      <c r="B3" s="18" t="str">
        <f t="shared" ref="B3:B9" ca="1" si="0">TEXT(TODAY(), "mm/dd/yyyy")</f>
        <v>10/31/2024</v>
      </c>
      <c r="C3" s="13" t="s">
        <v>88</v>
      </c>
      <c r="D3" s="13" t="s">
        <v>41</v>
      </c>
      <c r="E3" s="13" t="s">
        <v>23</v>
      </c>
      <c r="F3" s="13" t="s">
        <v>33</v>
      </c>
      <c r="G3" s="13" t="s">
        <v>66</v>
      </c>
      <c r="H3" s="13" t="s">
        <v>164</v>
      </c>
      <c r="I3" s="13" t="s">
        <v>165</v>
      </c>
      <c r="J3" s="13" t="s">
        <v>126</v>
      </c>
      <c r="K3" s="13" t="s">
        <v>168</v>
      </c>
      <c r="L3" s="13" t="s">
        <v>23</v>
      </c>
      <c r="M3" s="13" t="s">
        <v>25</v>
      </c>
      <c r="N3" s="13" t="s">
        <v>26</v>
      </c>
      <c r="O3" s="13" t="s">
        <v>26</v>
      </c>
      <c r="P3" s="13" t="s">
        <v>25</v>
      </c>
      <c r="Q3" s="13" t="s">
        <v>89</v>
      </c>
      <c r="R3" s="13" t="s">
        <v>90</v>
      </c>
      <c r="S3" s="13" t="s">
        <v>27</v>
      </c>
      <c r="T3" s="13" t="s">
        <v>28</v>
      </c>
      <c r="U3" s="13" t="s">
        <v>26</v>
      </c>
      <c r="V3" s="13" t="s">
        <v>23</v>
      </c>
      <c r="W3" s="13" t="s">
        <v>23</v>
      </c>
      <c r="X3" s="13" t="s">
        <v>40</v>
      </c>
      <c r="Y3" s="13" t="s">
        <v>97</v>
      </c>
      <c r="Z3" s="13" t="s">
        <v>65</v>
      </c>
      <c r="AA3" s="13" t="s">
        <v>36</v>
      </c>
      <c r="AB3" s="13" t="s">
        <v>33</v>
      </c>
      <c r="AC3" s="13" t="s">
        <v>107</v>
      </c>
      <c r="AD3" s="13" t="s">
        <v>62</v>
      </c>
      <c r="AE3" s="13" t="str">
        <f t="shared" ref="AE3:AE9" si="1">CONCATENATE(Q3, " ", R3)</f>
        <v>Automation ES Row 1</v>
      </c>
      <c r="AF3" s="13" t="str">
        <f t="shared" ref="AF3:AF9" si="2">CONCATENATE(G3, "  -   , ", H3, "  , ",F3,"  , ",I3)</f>
        <v>145 E 39th St  -   , Gloversville  , NY  , 12078</v>
      </c>
      <c r="AG3" s="13" t="s">
        <v>236</v>
      </c>
      <c r="AH3" s="13" t="s">
        <v>26</v>
      </c>
      <c r="AI3" s="13" t="s">
        <v>44</v>
      </c>
      <c r="AJ3" s="13" t="s">
        <v>24</v>
      </c>
      <c r="AK3" s="13" t="s">
        <v>26</v>
      </c>
      <c r="AL3" s="13" t="s">
        <v>26</v>
      </c>
      <c r="AM3" s="13" t="s">
        <v>26</v>
      </c>
      <c r="AN3" s="13" t="s">
        <v>26</v>
      </c>
      <c r="AO3" s="13" t="s">
        <v>47</v>
      </c>
      <c r="AP3" s="13" t="s">
        <v>47</v>
      </c>
      <c r="AQ3" s="13" t="s">
        <v>50</v>
      </c>
      <c r="AR3" s="13" t="s">
        <v>86</v>
      </c>
      <c r="AS3" s="13" t="s">
        <v>54</v>
      </c>
      <c r="AT3" s="13" t="s">
        <v>37</v>
      </c>
      <c r="AU3" s="19" t="str">
        <f t="shared" ref="AU3:AU9" ca="1" si="3">TEXT((TODAY()+1), "mm/dd/yyyy")</f>
        <v>11/01/2024</v>
      </c>
      <c r="AV3" s="13" t="s">
        <v>54</v>
      </c>
      <c r="AW3" s="13" t="s">
        <v>53</v>
      </c>
      <c r="AX3" s="13" t="s">
        <v>61</v>
      </c>
      <c r="AY3" s="13" t="s">
        <v>61</v>
      </c>
      <c r="AZ3" s="13" t="s">
        <v>130</v>
      </c>
      <c r="BA3" s="13" t="s">
        <v>131</v>
      </c>
      <c r="BB3" s="13" t="s">
        <v>83</v>
      </c>
      <c r="BC3" s="13" t="s">
        <v>83</v>
      </c>
      <c r="BD3" s="13" t="s">
        <v>132</v>
      </c>
      <c r="BE3" s="13" t="s">
        <v>133</v>
      </c>
      <c r="BF3" s="13" t="s">
        <v>61</v>
      </c>
      <c r="BG3" s="13" t="s">
        <v>61</v>
      </c>
      <c r="BH3" s="13" t="s">
        <v>130</v>
      </c>
      <c r="BI3" s="13" t="s">
        <v>131</v>
      </c>
      <c r="BJ3" s="13" t="s">
        <v>83</v>
      </c>
      <c r="BK3" s="13" t="s">
        <v>83</v>
      </c>
      <c r="BL3" s="13" t="s">
        <v>132</v>
      </c>
      <c r="BM3" s="13" t="s">
        <v>133</v>
      </c>
      <c r="BN3" s="13" t="s">
        <v>151</v>
      </c>
      <c r="BO3" s="13" t="s">
        <v>21</v>
      </c>
      <c r="BP3" s="13" t="s">
        <v>144</v>
      </c>
      <c r="BQ3" s="13" t="s">
        <v>131</v>
      </c>
      <c r="BR3" s="13" t="s">
        <v>83</v>
      </c>
      <c r="BS3" s="13" t="s">
        <v>83</v>
      </c>
      <c r="BT3" s="13" t="s">
        <v>132</v>
      </c>
      <c r="BU3" s="13" t="s">
        <v>133</v>
      </c>
      <c r="BV3" s="13" t="s">
        <v>83</v>
      </c>
      <c r="BW3" s="13" t="s">
        <v>83</v>
      </c>
      <c r="BX3" s="13" t="s">
        <v>83</v>
      </c>
      <c r="BY3" s="13" t="s">
        <v>83</v>
      </c>
      <c r="ES3" s="20"/>
    </row>
    <row r="4" spans="1:149" s="13" customFormat="1" x14ac:dyDescent="0.3">
      <c r="A4" s="11" t="s">
        <v>162</v>
      </c>
      <c r="B4" s="18" t="str">
        <f t="shared" ca="1" si="0"/>
        <v>10/31/2024</v>
      </c>
      <c r="C4" s="13" t="s">
        <v>88</v>
      </c>
      <c r="D4" s="13" t="s">
        <v>41</v>
      </c>
      <c r="E4" s="13" t="s">
        <v>23</v>
      </c>
      <c r="F4" s="13" t="s">
        <v>33</v>
      </c>
      <c r="G4" s="13" t="s">
        <v>163</v>
      </c>
      <c r="H4" s="13" t="s">
        <v>72</v>
      </c>
      <c r="I4" s="13" t="s">
        <v>77</v>
      </c>
      <c r="J4" s="13" t="s">
        <v>126</v>
      </c>
      <c r="K4" s="13" t="s">
        <v>22</v>
      </c>
      <c r="L4" s="13" t="s">
        <v>23</v>
      </c>
      <c r="M4" s="13" t="s">
        <v>25</v>
      </c>
      <c r="N4" s="13" t="s">
        <v>26</v>
      </c>
      <c r="O4" s="13" t="s">
        <v>26</v>
      </c>
      <c r="P4" s="13" t="s">
        <v>25</v>
      </c>
      <c r="Q4" s="13" t="s">
        <v>166</v>
      </c>
      <c r="R4" s="13" t="s">
        <v>167</v>
      </c>
      <c r="S4" s="13" t="s">
        <v>160</v>
      </c>
      <c r="T4" s="13" t="s">
        <v>161</v>
      </c>
      <c r="U4" s="13" t="s">
        <v>26</v>
      </c>
      <c r="V4" s="13" t="s">
        <v>23</v>
      </c>
      <c r="W4" s="13" t="s">
        <v>23</v>
      </c>
      <c r="X4" s="13" t="s">
        <v>40</v>
      </c>
      <c r="Y4" s="13" t="s">
        <v>169</v>
      </c>
      <c r="Z4" s="13" t="s">
        <v>65</v>
      </c>
      <c r="AA4" s="13" t="s">
        <v>36</v>
      </c>
      <c r="AB4" s="13" t="s">
        <v>33</v>
      </c>
      <c r="AC4" s="13" t="s">
        <v>171</v>
      </c>
      <c r="AD4" s="13" t="s">
        <v>170</v>
      </c>
      <c r="AE4" s="13" t="str">
        <f t="shared" ref="AE4" si="4">CONCATENATE(Q4, " ", R4)</f>
        <v>Alexis Castle</v>
      </c>
      <c r="AF4" s="13" t="str">
        <f t="shared" ref="AF4" si="5">CONCATENATE(G4, "  -   , ", H4, "  , ",F4,"  , ",I4)</f>
        <v>23 East State Street  -   , New York  , NY  , 10016</v>
      </c>
      <c r="AG4" s="13" t="s">
        <v>236</v>
      </c>
      <c r="AH4" s="13" t="s">
        <v>26</v>
      </c>
      <c r="AI4" s="13" t="s">
        <v>44</v>
      </c>
      <c r="AJ4" s="13" t="s">
        <v>24</v>
      </c>
      <c r="AK4" s="13" t="s">
        <v>26</v>
      </c>
      <c r="AL4" s="13" t="s">
        <v>26</v>
      </c>
      <c r="AM4" s="13" t="s">
        <v>26</v>
      </c>
      <c r="AN4" s="13" t="s">
        <v>26</v>
      </c>
      <c r="AO4" s="13" t="s">
        <v>47</v>
      </c>
      <c r="AP4" s="13" t="s">
        <v>47</v>
      </c>
      <c r="AQ4" s="13" t="s">
        <v>50</v>
      </c>
      <c r="AR4" s="13" t="s">
        <v>86</v>
      </c>
      <c r="AS4" s="13" t="s">
        <v>54</v>
      </c>
      <c r="AT4" s="13" t="s">
        <v>37</v>
      </c>
      <c r="AU4" s="19" t="str">
        <f t="shared" ca="1" si="3"/>
        <v>11/01/2024</v>
      </c>
      <c r="AV4" s="13" t="s">
        <v>54</v>
      </c>
      <c r="AW4" s="13" t="s">
        <v>53</v>
      </c>
      <c r="AX4" s="13" t="s">
        <v>61</v>
      </c>
      <c r="AY4" s="13" t="s">
        <v>61</v>
      </c>
      <c r="AZ4" s="13" t="s">
        <v>130</v>
      </c>
      <c r="BA4" s="13" t="s">
        <v>131</v>
      </c>
      <c r="BB4" s="13" t="s">
        <v>83</v>
      </c>
      <c r="BC4" s="13" t="s">
        <v>83</v>
      </c>
      <c r="BD4" s="13" t="s">
        <v>132</v>
      </c>
      <c r="BE4" s="13" t="s">
        <v>133</v>
      </c>
      <c r="BF4" s="13" t="s">
        <v>61</v>
      </c>
      <c r="BG4" s="13" t="s">
        <v>61</v>
      </c>
      <c r="BH4" s="13" t="s">
        <v>130</v>
      </c>
      <c r="BI4" s="13" t="s">
        <v>131</v>
      </c>
      <c r="BJ4" s="13" t="s">
        <v>83</v>
      </c>
      <c r="BK4" s="13" t="s">
        <v>83</v>
      </c>
      <c r="BL4" s="13" t="s">
        <v>132</v>
      </c>
      <c r="BM4" s="13" t="s">
        <v>133</v>
      </c>
      <c r="BN4" s="13" t="s">
        <v>151</v>
      </c>
      <c r="BO4" s="13" t="s">
        <v>21</v>
      </c>
      <c r="BP4" s="13" t="s">
        <v>144</v>
      </c>
      <c r="BQ4" s="13" t="s">
        <v>131</v>
      </c>
      <c r="BR4" s="13" t="s">
        <v>83</v>
      </c>
      <c r="BS4" s="13" t="s">
        <v>83</v>
      </c>
      <c r="BT4" s="13" t="s">
        <v>132</v>
      </c>
      <c r="BU4" s="13" t="s">
        <v>133</v>
      </c>
      <c r="BV4" s="13" t="s">
        <v>83</v>
      </c>
      <c r="BW4" s="13" t="s">
        <v>83</v>
      </c>
      <c r="BX4" s="13" t="s">
        <v>83</v>
      </c>
      <c r="BY4" s="13" t="s">
        <v>83</v>
      </c>
      <c r="ES4" s="20"/>
    </row>
    <row r="5" spans="1:149" s="1" customFormat="1" x14ac:dyDescent="0.3">
      <c r="A5" s="12" t="s">
        <v>119</v>
      </c>
      <c r="B5" s="8" t="str">
        <f t="shared" ca="1" si="0"/>
        <v>10/31/2024</v>
      </c>
      <c r="C5" s="1" t="s">
        <v>88</v>
      </c>
      <c r="D5" s="1" t="s">
        <v>41</v>
      </c>
      <c r="E5" s="1" t="s">
        <v>23</v>
      </c>
      <c r="F5" s="1" t="s">
        <v>30</v>
      </c>
      <c r="G5" s="1" t="s">
        <v>67</v>
      </c>
      <c r="H5" s="1" t="s">
        <v>73</v>
      </c>
      <c r="I5" s="1" t="s">
        <v>78</v>
      </c>
      <c r="J5" s="1" t="s">
        <v>126</v>
      </c>
      <c r="K5" s="1" t="s">
        <v>22</v>
      </c>
      <c r="L5" s="1" t="s">
        <v>23</v>
      </c>
      <c r="M5" s="1" t="s">
        <v>25</v>
      </c>
      <c r="N5" s="1" t="s">
        <v>26</v>
      </c>
      <c r="O5" s="1" t="s">
        <v>26</v>
      </c>
      <c r="P5" s="1" t="s">
        <v>25</v>
      </c>
      <c r="Q5" s="1" t="s">
        <v>89</v>
      </c>
      <c r="R5" s="1" t="s">
        <v>91</v>
      </c>
      <c r="S5" s="1" t="s">
        <v>27</v>
      </c>
      <c r="T5" s="1" t="s">
        <v>28</v>
      </c>
      <c r="U5" s="1" t="s">
        <v>26</v>
      </c>
      <c r="V5" s="1" t="s">
        <v>23</v>
      </c>
      <c r="W5" s="1" t="s">
        <v>23</v>
      </c>
      <c r="X5" s="1" t="s">
        <v>40</v>
      </c>
      <c r="Y5" s="1" t="s">
        <v>98</v>
      </c>
      <c r="Z5" s="1" t="s">
        <v>65</v>
      </c>
      <c r="AA5" s="1" t="s">
        <v>36</v>
      </c>
      <c r="AB5" s="1" t="s">
        <v>33</v>
      </c>
      <c r="AC5" s="1" t="s">
        <v>107</v>
      </c>
      <c r="AD5" s="1" t="s">
        <v>62</v>
      </c>
      <c r="AE5" s="1" t="str">
        <f t="shared" si="1"/>
        <v>Automation ES Row 2</v>
      </c>
      <c r="AF5" s="1" t="str">
        <f t="shared" si="2"/>
        <v>1604 Monterey St  -   , SAN LUIS OBISPO  , CA  , 93401</v>
      </c>
      <c r="AG5" s="13" t="s">
        <v>236</v>
      </c>
      <c r="AH5" s="1" t="s">
        <v>26</v>
      </c>
      <c r="AI5" s="1" t="s">
        <v>44</v>
      </c>
      <c r="AJ5" s="1" t="s">
        <v>24</v>
      </c>
      <c r="AK5" s="1" t="s">
        <v>26</v>
      </c>
      <c r="AL5" s="1" t="s">
        <v>26</v>
      </c>
      <c r="AM5" s="1" t="s">
        <v>26</v>
      </c>
      <c r="AN5" s="1" t="s">
        <v>26</v>
      </c>
      <c r="AO5" s="1" t="s">
        <v>47</v>
      </c>
      <c r="AP5" s="1" t="s">
        <v>47</v>
      </c>
      <c r="AQ5" s="1" t="s">
        <v>50</v>
      </c>
      <c r="AR5" s="1" t="s">
        <v>86</v>
      </c>
      <c r="AS5" s="1" t="s">
        <v>54</v>
      </c>
      <c r="AT5" s="1" t="s">
        <v>37</v>
      </c>
      <c r="AU5" s="3" t="str">
        <f t="shared" ca="1" si="3"/>
        <v>11/01/2024</v>
      </c>
      <c r="AV5" s="1" t="s">
        <v>54</v>
      </c>
      <c r="AW5" s="1" t="s">
        <v>53</v>
      </c>
      <c r="AX5" s="1" t="s">
        <v>61</v>
      </c>
      <c r="AY5" s="1" t="s">
        <v>61</v>
      </c>
      <c r="AZ5" s="1" t="s">
        <v>130</v>
      </c>
      <c r="BA5" s="1" t="s">
        <v>131</v>
      </c>
      <c r="BB5" s="1" t="s">
        <v>83</v>
      </c>
      <c r="BC5" s="1" t="s">
        <v>83</v>
      </c>
      <c r="BD5" s="1" t="s">
        <v>132</v>
      </c>
      <c r="BE5" s="1" t="s">
        <v>133</v>
      </c>
      <c r="BF5" s="1" t="s">
        <v>61</v>
      </c>
      <c r="BG5" s="1" t="s">
        <v>61</v>
      </c>
      <c r="BH5" s="1" t="s">
        <v>130</v>
      </c>
      <c r="BI5" s="1" t="s">
        <v>131</v>
      </c>
      <c r="BJ5" s="1" t="s">
        <v>83</v>
      </c>
      <c r="BK5" s="1" t="s">
        <v>83</v>
      </c>
      <c r="BL5" s="1" t="s">
        <v>132</v>
      </c>
      <c r="BM5" s="1" t="s">
        <v>133</v>
      </c>
      <c r="BN5" s="1" t="s">
        <v>151</v>
      </c>
      <c r="BO5" s="1" t="s">
        <v>21</v>
      </c>
      <c r="BP5" s="1" t="s">
        <v>144</v>
      </c>
      <c r="BQ5" s="1" t="s">
        <v>131</v>
      </c>
      <c r="BR5" s="1" t="s">
        <v>83</v>
      </c>
      <c r="BS5" s="1" t="s">
        <v>83</v>
      </c>
      <c r="BT5" s="1" t="s">
        <v>132</v>
      </c>
      <c r="BU5" s="1" t="s">
        <v>133</v>
      </c>
      <c r="BV5" s="1" t="s">
        <v>83</v>
      </c>
      <c r="BW5" s="1" t="s">
        <v>83</v>
      </c>
      <c r="BX5" s="1" t="s">
        <v>83</v>
      </c>
      <c r="BY5" s="1" t="s">
        <v>83</v>
      </c>
      <c r="ES5" s="2"/>
    </row>
    <row r="6" spans="1:149" s="13" customFormat="1" x14ac:dyDescent="0.3">
      <c r="A6" s="11" t="s">
        <v>120</v>
      </c>
      <c r="B6" s="18" t="str">
        <f t="shared" ca="1" si="0"/>
        <v>10/31/2024</v>
      </c>
      <c r="C6" s="13" t="s">
        <v>88</v>
      </c>
      <c r="D6" s="13" t="s">
        <v>41</v>
      </c>
      <c r="E6" s="13" t="s">
        <v>23</v>
      </c>
      <c r="F6" s="13" t="s">
        <v>31</v>
      </c>
      <c r="G6" s="13" t="s">
        <v>69</v>
      </c>
      <c r="H6" s="13" t="s">
        <v>29</v>
      </c>
      <c r="I6" s="13" t="s">
        <v>80</v>
      </c>
      <c r="J6" s="13" t="s">
        <v>126</v>
      </c>
      <c r="K6" s="13" t="s">
        <v>22</v>
      </c>
      <c r="L6" s="13" t="s">
        <v>23</v>
      </c>
      <c r="M6" s="13" t="s">
        <v>25</v>
      </c>
      <c r="N6" s="13" t="s">
        <v>26</v>
      </c>
      <c r="O6" s="13" t="s">
        <v>26</v>
      </c>
      <c r="P6" s="13" t="s">
        <v>25</v>
      </c>
      <c r="Q6" s="13" t="s">
        <v>89</v>
      </c>
      <c r="R6" s="13" t="s">
        <v>92</v>
      </c>
      <c r="S6" s="13" t="s">
        <v>27</v>
      </c>
      <c r="T6" s="13" t="s">
        <v>28</v>
      </c>
      <c r="U6" s="13" t="s">
        <v>26</v>
      </c>
      <c r="V6" s="13" t="s">
        <v>23</v>
      </c>
      <c r="W6" s="13" t="s">
        <v>23</v>
      </c>
      <c r="X6" s="13" t="s">
        <v>40</v>
      </c>
      <c r="Y6" s="13" t="s">
        <v>100</v>
      </c>
      <c r="Z6" s="13" t="s">
        <v>65</v>
      </c>
      <c r="AA6" s="13" t="s">
        <v>36</v>
      </c>
      <c r="AB6" s="13" t="s">
        <v>33</v>
      </c>
      <c r="AC6" s="13" t="s">
        <v>107</v>
      </c>
      <c r="AD6" s="13" t="s">
        <v>62</v>
      </c>
      <c r="AE6" s="13" t="str">
        <f t="shared" si="1"/>
        <v>Automation ES Row 3</v>
      </c>
      <c r="AF6" s="13" t="str">
        <f t="shared" si="2"/>
        <v>191 Spencer St  -   , Manchester  , CT  , 06040</v>
      </c>
      <c r="AG6" s="13" t="s">
        <v>236</v>
      </c>
      <c r="AH6" s="13" t="s">
        <v>26</v>
      </c>
      <c r="AI6" s="13" t="s">
        <v>44</v>
      </c>
      <c r="AJ6" s="13" t="s">
        <v>24</v>
      </c>
      <c r="AK6" s="13" t="s">
        <v>26</v>
      </c>
      <c r="AL6" s="13" t="s">
        <v>26</v>
      </c>
      <c r="AM6" s="13" t="s">
        <v>26</v>
      </c>
      <c r="AN6" s="13" t="s">
        <v>26</v>
      </c>
      <c r="AO6" s="13" t="s">
        <v>47</v>
      </c>
      <c r="AP6" s="13" t="s">
        <v>47</v>
      </c>
      <c r="AQ6" s="13" t="s">
        <v>50</v>
      </c>
      <c r="AR6" s="13" t="s">
        <v>86</v>
      </c>
      <c r="AS6" s="13" t="s">
        <v>54</v>
      </c>
      <c r="AT6" s="13" t="s">
        <v>37</v>
      </c>
      <c r="AU6" s="19" t="str">
        <f t="shared" ca="1" si="3"/>
        <v>11/01/2024</v>
      </c>
      <c r="AV6" s="13" t="s">
        <v>54</v>
      </c>
      <c r="AW6" s="13" t="s">
        <v>53</v>
      </c>
      <c r="AX6" s="13" t="s">
        <v>61</v>
      </c>
      <c r="AY6" s="13" t="s">
        <v>61</v>
      </c>
      <c r="AZ6" s="13" t="s">
        <v>130</v>
      </c>
      <c r="BA6" s="13" t="s">
        <v>131</v>
      </c>
      <c r="BB6" s="13" t="s">
        <v>83</v>
      </c>
      <c r="BC6" s="13" t="s">
        <v>83</v>
      </c>
      <c r="BD6" s="13" t="s">
        <v>132</v>
      </c>
      <c r="BE6" s="13" t="s">
        <v>133</v>
      </c>
      <c r="BF6" s="13" t="s">
        <v>61</v>
      </c>
      <c r="BG6" s="13" t="s">
        <v>61</v>
      </c>
      <c r="BH6" s="13" t="s">
        <v>130</v>
      </c>
      <c r="BI6" s="13" t="s">
        <v>131</v>
      </c>
      <c r="BJ6" s="13" t="s">
        <v>83</v>
      </c>
      <c r="BK6" s="13" t="s">
        <v>83</v>
      </c>
      <c r="BL6" s="13" t="s">
        <v>132</v>
      </c>
      <c r="BM6" s="13" t="s">
        <v>133</v>
      </c>
      <c r="BN6" s="13" t="s">
        <v>151</v>
      </c>
      <c r="BO6" s="13" t="s">
        <v>21</v>
      </c>
      <c r="BP6" s="13" t="s">
        <v>144</v>
      </c>
      <c r="BQ6" s="13" t="s">
        <v>131</v>
      </c>
      <c r="BR6" s="13" t="s">
        <v>83</v>
      </c>
      <c r="BS6" s="13" t="s">
        <v>83</v>
      </c>
      <c r="BT6" s="13" t="s">
        <v>159</v>
      </c>
      <c r="BU6" s="13" t="s">
        <v>131</v>
      </c>
      <c r="BV6" s="13" t="s">
        <v>83</v>
      </c>
      <c r="BW6" s="13" t="s">
        <v>83</v>
      </c>
      <c r="BX6" s="13" t="s">
        <v>83</v>
      </c>
      <c r="BY6" s="13" t="s">
        <v>83</v>
      </c>
      <c r="ES6" s="20"/>
    </row>
    <row r="7" spans="1:149" s="1" customFormat="1" x14ac:dyDescent="0.3">
      <c r="A7" s="12" t="s">
        <v>121</v>
      </c>
      <c r="B7" s="8" t="str">
        <f t="shared" ca="1" si="0"/>
        <v>10/31/2024</v>
      </c>
      <c r="C7" s="1" t="s">
        <v>88</v>
      </c>
      <c r="D7" s="1" t="s">
        <v>41</v>
      </c>
      <c r="E7" s="1" t="s">
        <v>23</v>
      </c>
      <c r="F7" s="1" t="s">
        <v>32</v>
      </c>
      <c r="G7" s="1" t="s">
        <v>68</v>
      </c>
      <c r="H7" s="1" t="s">
        <v>74</v>
      </c>
      <c r="I7" s="1" t="s">
        <v>79</v>
      </c>
      <c r="J7" s="1" t="s">
        <v>126</v>
      </c>
      <c r="K7" s="1" t="s">
        <v>22</v>
      </c>
      <c r="L7" s="1" t="s">
        <v>23</v>
      </c>
      <c r="M7" s="1" t="s">
        <v>25</v>
      </c>
      <c r="N7" s="1" t="s">
        <v>26</v>
      </c>
      <c r="O7" s="1" t="s">
        <v>26</v>
      </c>
      <c r="P7" s="1" t="s">
        <v>25</v>
      </c>
      <c r="Q7" s="1" t="s">
        <v>89</v>
      </c>
      <c r="R7" s="1" t="s">
        <v>93</v>
      </c>
      <c r="S7" s="1" t="s">
        <v>27</v>
      </c>
      <c r="T7" s="1" t="s">
        <v>28</v>
      </c>
      <c r="U7" s="1" t="s">
        <v>26</v>
      </c>
      <c r="V7" s="1" t="s">
        <v>23</v>
      </c>
      <c r="W7" s="1" t="s">
        <v>23</v>
      </c>
      <c r="X7" s="1" t="s">
        <v>40</v>
      </c>
      <c r="Y7" s="1" t="s">
        <v>101</v>
      </c>
      <c r="Z7" s="1" t="s">
        <v>65</v>
      </c>
      <c r="AA7" s="1" t="s">
        <v>36</v>
      </c>
      <c r="AB7" s="1" t="s">
        <v>33</v>
      </c>
      <c r="AC7" s="1" t="s">
        <v>107</v>
      </c>
      <c r="AD7" s="1" t="s">
        <v>62</v>
      </c>
      <c r="AE7" s="1" t="str">
        <f t="shared" si="1"/>
        <v>Automation ES Row 4</v>
      </c>
      <c r="AF7" s="1" t="str">
        <f t="shared" si="2"/>
        <v>39 Dalton St  -   , BOSTON  , MA  , 02199</v>
      </c>
      <c r="AG7" s="13" t="s">
        <v>236</v>
      </c>
      <c r="AH7" s="1" t="s">
        <v>26</v>
      </c>
      <c r="AI7" s="1" t="s">
        <v>44</v>
      </c>
      <c r="AJ7" s="1" t="s">
        <v>24</v>
      </c>
      <c r="AK7" s="1" t="s">
        <v>26</v>
      </c>
      <c r="AL7" s="1" t="s">
        <v>26</v>
      </c>
      <c r="AM7" s="1" t="s">
        <v>26</v>
      </c>
      <c r="AN7" s="1" t="s">
        <v>26</v>
      </c>
      <c r="AO7" s="1" t="s">
        <v>47</v>
      </c>
      <c r="AP7" s="1" t="s">
        <v>47</v>
      </c>
      <c r="AQ7" s="1" t="s">
        <v>50</v>
      </c>
      <c r="AR7" s="1" t="s">
        <v>86</v>
      </c>
      <c r="AS7" s="1" t="s">
        <v>54</v>
      </c>
      <c r="AT7" s="1" t="s">
        <v>37</v>
      </c>
      <c r="AU7" s="3" t="str">
        <f t="shared" ca="1" si="3"/>
        <v>11/01/2024</v>
      </c>
      <c r="AV7" s="1" t="s">
        <v>54</v>
      </c>
      <c r="AW7" s="1" t="s">
        <v>53</v>
      </c>
      <c r="AX7" s="1" t="s">
        <v>61</v>
      </c>
      <c r="AY7" s="1" t="s">
        <v>61</v>
      </c>
      <c r="AZ7" s="1" t="s">
        <v>130</v>
      </c>
      <c r="BA7" s="1" t="s">
        <v>131</v>
      </c>
      <c r="BB7" s="1" t="s">
        <v>83</v>
      </c>
      <c r="BC7" s="1" t="s">
        <v>83</v>
      </c>
      <c r="BD7" s="1" t="s">
        <v>132</v>
      </c>
      <c r="BE7" s="1" t="s">
        <v>133</v>
      </c>
      <c r="BF7" s="1" t="s">
        <v>61</v>
      </c>
      <c r="BG7" s="1" t="s">
        <v>61</v>
      </c>
      <c r="BH7" s="1" t="s">
        <v>130</v>
      </c>
      <c r="BI7" s="1" t="s">
        <v>131</v>
      </c>
      <c r="BJ7" s="1" t="s">
        <v>83</v>
      </c>
      <c r="BK7" s="1" t="s">
        <v>83</v>
      </c>
      <c r="BL7" s="1" t="s">
        <v>132</v>
      </c>
      <c r="BM7" s="1" t="s">
        <v>133</v>
      </c>
      <c r="BN7" s="1" t="s">
        <v>151</v>
      </c>
      <c r="BO7" s="1" t="s">
        <v>21</v>
      </c>
      <c r="BP7" s="1" t="s">
        <v>144</v>
      </c>
      <c r="BQ7" s="1" t="s">
        <v>131</v>
      </c>
      <c r="BR7" s="1" t="s">
        <v>83</v>
      </c>
      <c r="BS7" s="1" t="s">
        <v>83</v>
      </c>
      <c r="BT7" s="1" t="s">
        <v>132</v>
      </c>
      <c r="BU7" s="1" t="s">
        <v>133</v>
      </c>
      <c r="BV7" s="1" t="s">
        <v>83</v>
      </c>
      <c r="BW7" s="1" t="s">
        <v>83</v>
      </c>
      <c r="BX7" s="1" t="s">
        <v>83</v>
      </c>
      <c r="BY7" s="1" t="s">
        <v>83</v>
      </c>
      <c r="ES7" s="2"/>
    </row>
    <row r="8" spans="1:149" s="13" customFormat="1" x14ac:dyDescent="0.3">
      <c r="A8" s="11" t="s">
        <v>124</v>
      </c>
      <c r="B8" s="18" t="str">
        <f t="shared" ca="1" si="0"/>
        <v>10/31/2024</v>
      </c>
      <c r="C8" s="13" t="s">
        <v>88</v>
      </c>
      <c r="D8" s="13" t="s">
        <v>41</v>
      </c>
      <c r="E8" s="13" t="s">
        <v>23</v>
      </c>
      <c r="F8" s="13" t="s">
        <v>35</v>
      </c>
      <c r="G8" s="13" t="s">
        <v>70</v>
      </c>
      <c r="H8" s="13" t="s">
        <v>75</v>
      </c>
      <c r="I8" s="13" t="s">
        <v>81</v>
      </c>
      <c r="J8" s="13" t="s">
        <v>126</v>
      </c>
      <c r="K8" s="13" t="s">
        <v>22</v>
      </c>
      <c r="L8" s="13" t="s">
        <v>23</v>
      </c>
      <c r="M8" s="13" t="s">
        <v>25</v>
      </c>
      <c r="N8" s="13" t="s">
        <v>26</v>
      </c>
      <c r="O8" s="13" t="s">
        <v>26</v>
      </c>
      <c r="P8" s="13" t="s">
        <v>25</v>
      </c>
      <c r="Q8" s="13" t="s">
        <v>89</v>
      </c>
      <c r="R8" s="13" t="s">
        <v>94</v>
      </c>
      <c r="S8" s="13" t="s">
        <v>27</v>
      </c>
      <c r="T8" s="13" t="s">
        <v>28</v>
      </c>
      <c r="U8" s="13" t="s">
        <v>26</v>
      </c>
      <c r="V8" s="13" t="s">
        <v>23</v>
      </c>
      <c r="W8" s="13" t="s">
        <v>23</v>
      </c>
      <c r="X8" s="13" t="s">
        <v>40</v>
      </c>
      <c r="Y8" s="13" t="s">
        <v>102</v>
      </c>
      <c r="Z8" s="13" t="s">
        <v>65</v>
      </c>
      <c r="AA8" s="13" t="s">
        <v>36</v>
      </c>
      <c r="AB8" s="13" t="s">
        <v>33</v>
      </c>
      <c r="AC8" s="13" t="s">
        <v>107</v>
      </c>
      <c r="AD8" s="13" t="s">
        <v>62</v>
      </c>
      <c r="AE8" s="13" t="str">
        <f t="shared" si="1"/>
        <v>Automation ES Row 5</v>
      </c>
      <c r="AF8" s="13" t="str">
        <f t="shared" si="2"/>
        <v>4501 S IH 35 Frontage Rd  -   , Austin  , TX  , 78744</v>
      </c>
      <c r="AG8" s="13" t="s">
        <v>236</v>
      </c>
      <c r="AH8" s="13" t="s">
        <v>26</v>
      </c>
      <c r="AI8" s="13" t="s">
        <v>44</v>
      </c>
      <c r="AJ8" s="13" t="s">
        <v>24</v>
      </c>
      <c r="AK8" s="13" t="s">
        <v>26</v>
      </c>
      <c r="AL8" s="13" t="s">
        <v>26</v>
      </c>
      <c r="AM8" s="13" t="s">
        <v>26</v>
      </c>
      <c r="AN8" s="13" t="s">
        <v>26</v>
      </c>
      <c r="AO8" s="13" t="s">
        <v>47</v>
      </c>
      <c r="AP8" s="13" t="s">
        <v>47</v>
      </c>
      <c r="AQ8" s="13" t="s">
        <v>50</v>
      </c>
      <c r="AR8" s="13" t="s">
        <v>86</v>
      </c>
      <c r="AS8" s="13" t="s">
        <v>54</v>
      </c>
      <c r="AT8" s="13" t="s">
        <v>37</v>
      </c>
      <c r="AU8" s="19" t="str">
        <f t="shared" ca="1" si="3"/>
        <v>11/01/2024</v>
      </c>
      <c r="AV8" s="13" t="s">
        <v>54</v>
      </c>
      <c r="AW8" s="13" t="s">
        <v>53</v>
      </c>
      <c r="AX8" s="13" t="s">
        <v>61</v>
      </c>
      <c r="AY8" s="13" t="s">
        <v>61</v>
      </c>
      <c r="AZ8" s="13" t="s">
        <v>130</v>
      </c>
      <c r="BA8" s="13" t="s">
        <v>131</v>
      </c>
      <c r="BB8" s="13" t="s">
        <v>83</v>
      </c>
      <c r="BC8" s="13" t="s">
        <v>83</v>
      </c>
      <c r="BD8" s="13" t="s">
        <v>132</v>
      </c>
      <c r="BE8" s="13" t="s">
        <v>133</v>
      </c>
      <c r="BF8" s="13" t="s">
        <v>61</v>
      </c>
      <c r="BG8" s="13" t="s">
        <v>61</v>
      </c>
      <c r="BH8" s="13" t="s">
        <v>130</v>
      </c>
      <c r="BI8" s="13" t="s">
        <v>131</v>
      </c>
      <c r="BJ8" s="13" t="s">
        <v>83</v>
      </c>
      <c r="BK8" s="13" t="s">
        <v>83</v>
      </c>
      <c r="BL8" s="13" t="s">
        <v>132</v>
      </c>
      <c r="BM8" s="13" t="s">
        <v>133</v>
      </c>
      <c r="BN8" s="13" t="s">
        <v>151</v>
      </c>
      <c r="BO8" s="13" t="s">
        <v>21</v>
      </c>
      <c r="BP8" s="13" t="s">
        <v>144</v>
      </c>
      <c r="BQ8" s="13" t="s">
        <v>131</v>
      </c>
      <c r="BR8" s="13" t="s">
        <v>83</v>
      </c>
      <c r="BS8" s="13" t="s">
        <v>83</v>
      </c>
      <c r="BT8" s="13" t="s">
        <v>132</v>
      </c>
      <c r="BU8" s="13" t="s">
        <v>133</v>
      </c>
      <c r="BV8" s="13" t="s">
        <v>83</v>
      </c>
      <c r="BW8" s="13" t="s">
        <v>83</v>
      </c>
      <c r="BX8" s="13" t="s">
        <v>83</v>
      </c>
      <c r="BY8" s="13" t="s">
        <v>83</v>
      </c>
      <c r="ES8" s="20"/>
    </row>
    <row r="9" spans="1:149" s="1" customFormat="1" x14ac:dyDescent="0.3">
      <c r="A9" s="12" t="s">
        <v>123</v>
      </c>
      <c r="B9" s="8" t="str">
        <f t="shared" ca="1" si="0"/>
        <v>10/31/2024</v>
      </c>
      <c r="C9" s="1" t="s">
        <v>88</v>
      </c>
      <c r="D9" s="1" t="s">
        <v>41</v>
      </c>
      <c r="E9" s="1" t="s">
        <v>26</v>
      </c>
      <c r="F9" s="1" t="s">
        <v>34</v>
      </c>
      <c r="G9" s="1" t="s">
        <v>71</v>
      </c>
      <c r="H9" s="1" t="s">
        <v>76</v>
      </c>
      <c r="I9" s="1" t="s">
        <v>82</v>
      </c>
      <c r="J9" s="1" t="s">
        <v>126</v>
      </c>
      <c r="K9" s="1" t="s">
        <v>22</v>
      </c>
      <c r="L9" s="1" t="s">
        <v>23</v>
      </c>
      <c r="M9" s="1" t="s">
        <v>25</v>
      </c>
      <c r="N9" s="1" t="s">
        <v>26</v>
      </c>
      <c r="O9" s="1" t="s">
        <v>26</v>
      </c>
      <c r="P9" s="1" t="s">
        <v>25</v>
      </c>
      <c r="Q9" s="1" t="s">
        <v>89</v>
      </c>
      <c r="R9" s="1" t="s">
        <v>95</v>
      </c>
      <c r="S9" s="1" t="s">
        <v>27</v>
      </c>
      <c r="T9" s="1" t="s">
        <v>28</v>
      </c>
      <c r="U9" s="1" t="s">
        <v>26</v>
      </c>
      <c r="V9" s="1" t="s">
        <v>23</v>
      </c>
      <c r="W9" s="1" t="s">
        <v>23</v>
      </c>
      <c r="X9" s="1" t="s">
        <v>40</v>
      </c>
      <c r="Y9" s="1" t="s">
        <v>99</v>
      </c>
      <c r="Z9" s="1" t="s">
        <v>65</v>
      </c>
      <c r="AA9" s="1" t="s">
        <v>36</v>
      </c>
      <c r="AB9" s="1" t="s">
        <v>33</v>
      </c>
      <c r="AC9" s="1" t="s">
        <v>107</v>
      </c>
      <c r="AD9" s="1" t="s">
        <v>62</v>
      </c>
      <c r="AE9" s="1" t="str">
        <f t="shared" si="1"/>
        <v>Automation ES Row 6</v>
      </c>
      <c r="AF9" s="1" t="str">
        <f t="shared" si="2"/>
        <v>1815 E West Pkwy  -   , Fleming Island  , FL  , 32003</v>
      </c>
      <c r="AG9" s="13" t="s">
        <v>236</v>
      </c>
      <c r="AH9" s="1" t="s">
        <v>26</v>
      </c>
      <c r="AI9" s="1" t="s">
        <v>44</v>
      </c>
      <c r="AJ9" s="1" t="s">
        <v>24</v>
      </c>
      <c r="AK9" s="1" t="s">
        <v>26</v>
      </c>
      <c r="AL9" s="1" t="s">
        <v>26</v>
      </c>
      <c r="AM9" s="1" t="s">
        <v>26</v>
      </c>
      <c r="AN9" s="1" t="s">
        <v>26</v>
      </c>
      <c r="AO9" s="1" t="s">
        <v>47</v>
      </c>
      <c r="AP9" s="1" t="s">
        <v>47</v>
      </c>
      <c r="AQ9" s="1" t="s">
        <v>50</v>
      </c>
      <c r="AR9" s="1" t="s">
        <v>86</v>
      </c>
      <c r="AS9" s="1" t="s">
        <v>54</v>
      </c>
      <c r="AT9" s="1" t="s">
        <v>37</v>
      </c>
      <c r="AU9" s="3" t="str">
        <f t="shared" ca="1" si="3"/>
        <v>11/01/2024</v>
      </c>
      <c r="AV9" s="1" t="s">
        <v>54</v>
      </c>
      <c r="AW9" s="1" t="s">
        <v>53</v>
      </c>
      <c r="AX9" s="1" t="s">
        <v>61</v>
      </c>
      <c r="AY9" s="1" t="s">
        <v>61</v>
      </c>
      <c r="AZ9" s="1" t="s">
        <v>130</v>
      </c>
      <c r="BA9" s="1" t="s">
        <v>131</v>
      </c>
      <c r="BB9" s="1" t="s">
        <v>83</v>
      </c>
      <c r="BC9" s="1" t="s">
        <v>83</v>
      </c>
      <c r="BD9" s="1" t="s">
        <v>132</v>
      </c>
      <c r="BE9" s="1" t="s">
        <v>133</v>
      </c>
      <c r="BF9" s="1" t="s">
        <v>61</v>
      </c>
      <c r="BG9" s="1" t="s">
        <v>61</v>
      </c>
      <c r="BH9" s="1" t="s">
        <v>130</v>
      </c>
      <c r="BI9" s="1" t="s">
        <v>131</v>
      </c>
      <c r="BJ9" s="1" t="s">
        <v>83</v>
      </c>
      <c r="BK9" s="1" t="s">
        <v>83</v>
      </c>
      <c r="BL9" s="1" t="s">
        <v>132</v>
      </c>
      <c r="BM9" s="1" t="s">
        <v>133</v>
      </c>
      <c r="BN9" s="1" t="s">
        <v>151</v>
      </c>
      <c r="BO9" s="1" t="s">
        <v>21</v>
      </c>
      <c r="BP9" s="1" t="s">
        <v>144</v>
      </c>
      <c r="BQ9" s="1" t="s">
        <v>131</v>
      </c>
      <c r="BR9" s="1" t="s">
        <v>83</v>
      </c>
      <c r="BS9" s="1" t="s">
        <v>83</v>
      </c>
      <c r="BT9" s="1" t="s">
        <v>132</v>
      </c>
      <c r="BU9" s="1" t="s">
        <v>133</v>
      </c>
      <c r="BV9" s="1" t="s">
        <v>83</v>
      </c>
      <c r="BW9" s="1" t="s">
        <v>83</v>
      </c>
      <c r="BX9" s="1" t="s">
        <v>83</v>
      </c>
      <c r="BY9" s="1" t="s">
        <v>83</v>
      </c>
      <c r="ES9" s="2"/>
    </row>
  </sheetData>
  <mergeCells count="9">
    <mergeCell ref="AS1:AW1"/>
    <mergeCell ref="B1:W1"/>
    <mergeCell ref="X1:Y1"/>
    <mergeCell ref="Z1:AA1"/>
    <mergeCell ref="AL1:AN1"/>
    <mergeCell ref="AO1:AR1"/>
    <mergeCell ref="AH1:AK1"/>
    <mergeCell ref="AB1:AD1"/>
    <mergeCell ref="AE1:AF1"/>
  </mergeCells>
  <phoneticPr fontId="6" type="noConversion"/>
  <conditionalFormatting sqref="F3:F5">
    <cfRule type="duplicateValues" dxfId="1" priority="2"/>
  </conditionalFormatting>
  <conditionalFormatting sqref="F6:F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0DD2-AEC4-4F52-870F-42199F6C0342}">
  <dimension ref="A1:AB5"/>
  <sheetViews>
    <sheetView tabSelected="1" workbookViewId="0">
      <selection activeCell="D9" sqref="D9"/>
    </sheetView>
  </sheetViews>
  <sheetFormatPr defaultRowHeight="14.4" x14ac:dyDescent="0.3"/>
  <cols>
    <col min="1" max="1" width="12.6640625" bestFit="1" customWidth="1"/>
    <col min="2" max="2" width="28.109375" customWidth="1"/>
    <col min="3" max="3" width="32" bestFit="1" customWidth="1"/>
    <col min="4" max="4" width="28.33203125" bestFit="1" customWidth="1"/>
    <col min="5" max="5" width="38.109375" bestFit="1" customWidth="1"/>
    <col min="6" max="6" width="26.33203125" bestFit="1" customWidth="1"/>
    <col min="7" max="7" width="27.6640625" bestFit="1" customWidth="1"/>
    <col min="8" max="8" width="25.5546875" bestFit="1" customWidth="1"/>
    <col min="9" max="11" width="25.5546875" customWidth="1"/>
    <col min="12" max="17" width="25.5546875" bestFit="1" customWidth="1"/>
    <col min="18" max="18" width="26.88671875" customWidth="1"/>
    <col min="19" max="20" width="29.33203125" customWidth="1"/>
    <col min="21" max="26" width="26.88671875" customWidth="1"/>
    <col min="27" max="27" width="71.109375" bestFit="1" customWidth="1"/>
  </cols>
  <sheetData>
    <row r="1" spans="1:28" ht="15" thickBot="1" x14ac:dyDescent="0.35">
      <c r="A1" s="22" t="s">
        <v>207</v>
      </c>
      <c r="B1" s="23" t="s">
        <v>172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ht="15" thickBot="1" x14ac:dyDescent="0.35">
      <c r="A2" s="25" t="s">
        <v>173</v>
      </c>
      <c r="B2" s="26" t="s">
        <v>174</v>
      </c>
      <c r="C2" s="26" t="s">
        <v>175</v>
      </c>
      <c r="D2" s="26" t="s">
        <v>176</v>
      </c>
      <c r="E2" s="26" t="s">
        <v>177</v>
      </c>
      <c r="F2" s="26" t="s">
        <v>178</v>
      </c>
      <c r="G2" s="26" t="s">
        <v>179</v>
      </c>
      <c r="H2" s="26" t="s">
        <v>180</v>
      </c>
      <c r="I2" s="26" t="s">
        <v>231</v>
      </c>
      <c r="J2" s="26" t="s">
        <v>232</v>
      </c>
      <c r="K2" s="26" t="s">
        <v>233</v>
      </c>
      <c r="L2" s="26" t="s">
        <v>271</v>
      </c>
      <c r="M2" s="26" t="s">
        <v>181</v>
      </c>
      <c r="N2" s="26" t="s">
        <v>182</v>
      </c>
      <c r="O2" s="26" t="s">
        <v>183</v>
      </c>
      <c r="P2" s="26" t="s">
        <v>184</v>
      </c>
      <c r="Q2" s="26" t="s">
        <v>185</v>
      </c>
      <c r="R2" s="26" t="s">
        <v>186</v>
      </c>
      <c r="S2" s="26" t="s">
        <v>187</v>
      </c>
      <c r="T2" s="26" t="s">
        <v>188</v>
      </c>
      <c r="U2" s="26" t="s">
        <v>189</v>
      </c>
      <c r="V2" s="26" t="s">
        <v>190</v>
      </c>
      <c r="W2" s="26" t="s">
        <v>191</v>
      </c>
      <c r="X2" s="26" t="s">
        <v>192</v>
      </c>
      <c r="Y2" s="26" t="s">
        <v>193</v>
      </c>
      <c r="Z2" s="26" t="s">
        <v>194</v>
      </c>
      <c r="AA2" s="26" t="s">
        <v>195</v>
      </c>
    </row>
    <row r="3" spans="1:28" x14ac:dyDescent="0.3">
      <c r="A3" s="27" t="s">
        <v>196</v>
      </c>
      <c r="B3" s="28" t="s">
        <v>197</v>
      </c>
      <c r="C3" s="28" t="s">
        <v>25</v>
      </c>
      <c r="D3" s="28" t="s">
        <v>234</v>
      </c>
      <c r="E3" s="28" t="s">
        <v>71</v>
      </c>
      <c r="F3" s="28" t="s">
        <v>76</v>
      </c>
      <c r="G3" s="28" t="s">
        <v>34</v>
      </c>
      <c r="H3" s="28" t="s">
        <v>82</v>
      </c>
      <c r="I3" s="28"/>
      <c r="J3" s="28"/>
      <c r="K3" s="28"/>
      <c r="L3" s="28" t="s">
        <v>211</v>
      </c>
      <c r="M3" s="28"/>
      <c r="N3" s="28" t="s">
        <v>212</v>
      </c>
      <c r="O3" s="28" t="s">
        <v>198</v>
      </c>
      <c r="P3" s="28" t="s">
        <v>37</v>
      </c>
      <c r="Q3" s="28" t="s">
        <v>199</v>
      </c>
      <c r="R3" s="28" t="s">
        <v>200</v>
      </c>
      <c r="S3" s="28" t="s">
        <v>210</v>
      </c>
      <c r="T3" s="28" t="s">
        <v>265</v>
      </c>
      <c r="U3" s="28" t="s">
        <v>201</v>
      </c>
      <c r="V3" s="28" t="s">
        <v>26</v>
      </c>
      <c r="W3" s="28" t="s">
        <v>26</v>
      </c>
      <c r="X3" s="28"/>
      <c r="Y3" s="28" t="s">
        <v>26</v>
      </c>
      <c r="Z3" s="28"/>
      <c r="AA3" s="28" t="s">
        <v>26</v>
      </c>
    </row>
    <row r="4" spans="1:28" x14ac:dyDescent="0.3">
      <c r="A4" s="27" t="s">
        <v>202</v>
      </c>
      <c r="B4" s="28" t="s">
        <v>197</v>
      </c>
      <c r="C4" s="28" t="s">
        <v>26</v>
      </c>
      <c r="D4" s="28" t="s">
        <v>274</v>
      </c>
      <c r="E4" s="28" t="s">
        <v>71</v>
      </c>
      <c r="F4" s="28" t="s">
        <v>76</v>
      </c>
      <c r="G4" s="28" t="s">
        <v>34</v>
      </c>
      <c r="H4" s="28" t="s">
        <v>82</v>
      </c>
      <c r="I4" s="28"/>
      <c r="J4" s="28"/>
      <c r="K4" s="28"/>
      <c r="L4" s="28" t="s">
        <v>272</v>
      </c>
      <c r="M4" s="28"/>
      <c r="N4" s="28" t="s">
        <v>212</v>
      </c>
      <c r="O4" s="28" t="s">
        <v>198</v>
      </c>
      <c r="P4" s="28" t="s">
        <v>37</v>
      </c>
      <c r="Q4" s="28" t="s">
        <v>199</v>
      </c>
      <c r="R4" s="28" t="s">
        <v>200</v>
      </c>
      <c r="S4" s="28" t="s">
        <v>210</v>
      </c>
      <c r="T4" s="28" t="s">
        <v>237</v>
      </c>
      <c r="U4" s="28" t="s">
        <v>203</v>
      </c>
      <c r="V4" s="28" t="s">
        <v>26</v>
      </c>
      <c r="W4" s="28" t="s">
        <v>26</v>
      </c>
      <c r="X4" s="28"/>
      <c r="Y4" s="28" t="s">
        <v>26</v>
      </c>
      <c r="Z4" s="28"/>
      <c r="AA4" s="28" t="s">
        <v>26</v>
      </c>
    </row>
    <row r="5" spans="1:28" x14ac:dyDescent="0.3">
      <c r="A5" s="27" t="s">
        <v>204</v>
      </c>
      <c r="B5" s="28" t="s">
        <v>205</v>
      </c>
      <c r="C5" s="28"/>
      <c r="D5" s="28" t="s">
        <v>235</v>
      </c>
      <c r="E5" s="28" t="s">
        <v>71</v>
      </c>
      <c r="F5" s="28" t="s">
        <v>76</v>
      </c>
      <c r="G5" s="28" t="s">
        <v>34</v>
      </c>
      <c r="H5" s="28" t="s">
        <v>82</v>
      </c>
      <c r="I5" s="28"/>
      <c r="J5" s="28"/>
      <c r="K5" s="28"/>
      <c r="L5" s="28" t="s">
        <v>273</v>
      </c>
      <c r="M5" s="28"/>
      <c r="N5" s="28" t="s">
        <v>212</v>
      </c>
      <c r="O5" s="28" t="s">
        <v>198</v>
      </c>
      <c r="P5" s="28" t="s">
        <v>37</v>
      </c>
      <c r="Q5" s="28" t="s">
        <v>199</v>
      </c>
      <c r="R5" s="28" t="s">
        <v>200</v>
      </c>
      <c r="S5" s="28" t="s">
        <v>210</v>
      </c>
      <c r="T5" s="28" t="s">
        <v>266</v>
      </c>
      <c r="U5" s="28" t="s">
        <v>206</v>
      </c>
      <c r="V5" s="28" t="s">
        <v>26</v>
      </c>
      <c r="W5" s="28" t="s">
        <v>26</v>
      </c>
      <c r="X5" s="28"/>
      <c r="Y5" s="28" t="s">
        <v>26</v>
      </c>
      <c r="Z5" s="28"/>
      <c r="AA5" s="28" t="s">
        <v>26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5C05-8BC4-4358-B9D5-B587A15EE00E}">
  <dimension ref="A1:F4"/>
  <sheetViews>
    <sheetView workbookViewId="0">
      <selection activeCell="F3" sqref="F3"/>
    </sheetView>
  </sheetViews>
  <sheetFormatPr defaultColWidth="9.109375" defaultRowHeight="14.4" x14ac:dyDescent="0.3"/>
  <cols>
    <col min="1" max="1" width="23.109375" style="38" bestFit="1" customWidth="1"/>
    <col min="2" max="2" width="42" style="31" bestFit="1" customWidth="1"/>
    <col min="3" max="3" width="42" style="37" bestFit="1" customWidth="1"/>
    <col min="4" max="4" width="29.5546875" style="37" bestFit="1" customWidth="1"/>
    <col min="5" max="5" width="31.33203125" style="37" bestFit="1" customWidth="1"/>
    <col min="6" max="6" width="51.88671875" style="37" customWidth="1"/>
    <col min="7" max="16384" width="9.109375" style="37"/>
  </cols>
  <sheetData>
    <row r="1" spans="1:6" s="32" customFormat="1" ht="15" thickBot="1" x14ac:dyDescent="0.35">
      <c r="A1" s="29" t="s">
        <v>208</v>
      </c>
      <c r="B1" s="48"/>
      <c r="C1" s="48"/>
      <c r="D1" s="48"/>
      <c r="E1" s="48"/>
      <c r="F1" s="30"/>
    </row>
    <row r="2" spans="1:6" s="33" customFormat="1" ht="15" thickBot="1" x14ac:dyDescent="0.35">
      <c r="A2" s="25" t="s">
        <v>209</v>
      </c>
      <c r="B2" s="39" t="s">
        <v>226</v>
      </c>
      <c r="C2" s="39" t="s">
        <v>227</v>
      </c>
      <c r="D2" s="39" t="s">
        <v>228</v>
      </c>
      <c r="E2" s="39" t="s">
        <v>229</v>
      </c>
      <c r="F2" s="39" t="s">
        <v>230</v>
      </c>
    </row>
    <row r="3" spans="1:6" s="36" customFormat="1" x14ac:dyDescent="0.3">
      <c r="A3" s="34" t="s">
        <v>210</v>
      </c>
      <c r="B3" s="35" t="s">
        <v>211</v>
      </c>
      <c r="C3" s="35"/>
      <c r="D3" s="35" t="s">
        <v>212</v>
      </c>
      <c r="E3" s="35" t="s">
        <v>213</v>
      </c>
      <c r="F3" s="35" t="s">
        <v>214</v>
      </c>
    </row>
    <row r="4" spans="1:6" s="36" customFormat="1" x14ac:dyDescent="0.3">
      <c r="A4" s="34" t="s">
        <v>215</v>
      </c>
      <c r="B4" s="35" t="s">
        <v>216</v>
      </c>
      <c r="C4" s="35"/>
      <c r="D4" s="35" t="s">
        <v>212</v>
      </c>
      <c r="E4" s="35" t="s">
        <v>213</v>
      </c>
      <c r="F4" s="35" t="s">
        <v>214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D3A9-3243-4758-BF41-AC6F190A7F4B}">
  <dimension ref="A1:T318"/>
  <sheetViews>
    <sheetView workbookViewId="0">
      <selection activeCell="E5" sqref="E5"/>
    </sheetView>
  </sheetViews>
  <sheetFormatPr defaultColWidth="9.109375" defaultRowHeight="14.4" x14ac:dyDescent="0.3"/>
  <cols>
    <col min="1" max="1" width="33.44140625" style="38" bestFit="1" customWidth="1"/>
    <col min="2" max="2" width="41.33203125" style="31" bestFit="1" customWidth="1"/>
    <col min="3" max="3" width="41.109375" style="37" bestFit="1" customWidth="1"/>
    <col min="4" max="4" width="34.44140625" style="37" bestFit="1" customWidth="1"/>
    <col min="5" max="5" width="35" style="37" bestFit="1" customWidth="1"/>
    <col min="6" max="6" width="72.77734375" style="37" customWidth="1"/>
    <col min="7" max="8" width="59.109375" style="31" bestFit="1" customWidth="1"/>
    <col min="9" max="9" width="59" style="31" bestFit="1" customWidth="1"/>
    <col min="10" max="10" width="58.88671875" style="37" bestFit="1" customWidth="1"/>
    <col min="11" max="11" width="65.33203125" style="37" bestFit="1" customWidth="1"/>
    <col min="12" max="12" width="65.109375" style="37" bestFit="1" customWidth="1"/>
    <col min="13" max="13" width="65.33203125" style="37" bestFit="1" customWidth="1"/>
    <col min="14" max="15" width="65.5546875" style="37" bestFit="1" customWidth="1"/>
    <col min="16" max="16" width="59" style="37" bestFit="1" customWidth="1"/>
    <col min="17" max="17" width="58.88671875" style="37" bestFit="1" customWidth="1"/>
    <col min="18" max="16384" width="9.109375" style="37"/>
  </cols>
  <sheetData>
    <row r="1" spans="1:20" s="41" customFormat="1" ht="15" thickBot="1" x14ac:dyDescent="0.35">
      <c r="A1" s="40" t="s">
        <v>241</v>
      </c>
      <c r="B1" s="49" t="s">
        <v>242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20" s="41" customFormat="1" ht="15" thickBot="1" x14ac:dyDescent="0.35">
      <c r="A2" s="42" t="s">
        <v>243</v>
      </c>
      <c r="B2" s="42" t="s">
        <v>244</v>
      </c>
      <c r="C2" s="42" t="s">
        <v>221</v>
      </c>
      <c r="D2" s="42" t="s">
        <v>222</v>
      </c>
      <c r="E2" s="42" t="s">
        <v>223</v>
      </c>
      <c r="F2" s="42" t="s">
        <v>224</v>
      </c>
      <c r="G2" s="42" t="s">
        <v>225</v>
      </c>
      <c r="H2" s="42" t="s">
        <v>245</v>
      </c>
      <c r="I2" s="43" t="s">
        <v>246</v>
      </c>
      <c r="J2" s="43" t="s">
        <v>247</v>
      </c>
      <c r="K2" s="43" t="s">
        <v>248</v>
      </c>
      <c r="L2" s="43" t="s">
        <v>249</v>
      </c>
      <c r="M2" s="43" t="s">
        <v>250</v>
      </c>
      <c r="N2" s="43" t="s">
        <v>251</v>
      </c>
    </row>
    <row r="3" spans="1:20" s="41" customFormat="1" x14ac:dyDescent="0.3">
      <c r="A3" s="44" t="s">
        <v>237</v>
      </c>
      <c r="B3" s="45" t="s">
        <v>26</v>
      </c>
      <c r="C3" s="46" t="s">
        <v>252</v>
      </c>
      <c r="D3" s="46" t="s">
        <v>253</v>
      </c>
      <c r="E3" s="46" t="s">
        <v>267</v>
      </c>
      <c r="F3" s="46" t="s">
        <v>217</v>
      </c>
      <c r="G3" s="46" t="s">
        <v>254</v>
      </c>
      <c r="H3" s="46" t="s">
        <v>255</v>
      </c>
      <c r="I3" s="45"/>
      <c r="J3" s="45"/>
      <c r="K3" s="45"/>
      <c r="L3" s="45"/>
      <c r="M3" s="45"/>
      <c r="N3" s="45"/>
    </row>
    <row r="4" spans="1:20" s="41" customFormat="1" x14ac:dyDescent="0.3">
      <c r="A4" s="44" t="s">
        <v>238</v>
      </c>
      <c r="B4" s="46" t="s">
        <v>26</v>
      </c>
      <c r="C4" s="46" t="s">
        <v>256</v>
      </c>
      <c r="D4" s="46" t="s">
        <v>257</v>
      </c>
      <c r="E4" s="46" t="s">
        <v>268</v>
      </c>
      <c r="F4" s="46" t="s">
        <v>218</v>
      </c>
      <c r="G4" s="46" t="s">
        <v>254</v>
      </c>
      <c r="H4" s="46" t="s">
        <v>258</v>
      </c>
      <c r="I4" s="46"/>
      <c r="J4" s="46"/>
      <c r="K4" s="46"/>
      <c r="L4" s="46"/>
      <c r="M4" s="46"/>
      <c r="N4" s="46"/>
    </row>
    <row r="5" spans="1:20" s="41" customFormat="1" x14ac:dyDescent="0.3">
      <c r="A5" s="44" t="s">
        <v>239</v>
      </c>
      <c r="B5" s="46" t="s">
        <v>25</v>
      </c>
      <c r="C5" s="46" t="s">
        <v>201</v>
      </c>
      <c r="D5" s="46" t="s">
        <v>201</v>
      </c>
      <c r="E5" s="46" t="s">
        <v>269</v>
      </c>
      <c r="F5" s="46" t="s">
        <v>218</v>
      </c>
      <c r="G5" s="46" t="s">
        <v>254</v>
      </c>
      <c r="H5" s="46" t="s">
        <v>259</v>
      </c>
      <c r="I5" s="46" t="s">
        <v>260</v>
      </c>
      <c r="J5" s="46" t="s">
        <v>261</v>
      </c>
      <c r="K5" s="46"/>
      <c r="L5" s="46" t="s">
        <v>262</v>
      </c>
      <c r="M5" s="46" t="s">
        <v>34</v>
      </c>
      <c r="N5" s="46">
        <v>33135</v>
      </c>
    </row>
    <row r="6" spans="1:20" s="41" customFormat="1" x14ac:dyDescent="0.3">
      <c r="A6" s="44" t="s">
        <v>240</v>
      </c>
      <c r="B6" s="46" t="s">
        <v>26</v>
      </c>
      <c r="C6" s="46" t="s">
        <v>263</v>
      </c>
      <c r="D6" s="46" t="s">
        <v>264</v>
      </c>
      <c r="E6" s="46" t="s">
        <v>270</v>
      </c>
      <c r="F6" s="46" t="s">
        <v>217</v>
      </c>
      <c r="G6" s="46" t="s">
        <v>254</v>
      </c>
      <c r="H6" s="46" t="s">
        <v>258</v>
      </c>
      <c r="I6" s="46"/>
      <c r="J6" s="46"/>
      <c r="K6" s="46"/>
      <c r="L6" s="46"/>
      <c r="M6" s="46"/>
      <c r="N6" s="46"/>
    </row>
    <row r="7" spans="1:20" x14ac:dyDescent="0.3">
      <c r="A7" s="31"/>
      <c r="C7" s="31"/>
      <c r="D7" s="31"/>
      <c r="E7" s="31"/>
      <c r="F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spans="1:20" x14ac:dyDescent="0.3">
      <c r="A8" s="31"/>
      <c r="C8" s="31"/>
      <c r="D8" s="31"/>
      <c r="E8" s="31"/>
      <c r="F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</row>
    <row r="9" spans="1:20" x14ac:dyDescent="0.3">
      <c r="A9" s="31"/>
      <c r="C9" s="31"/>
      <c r="D9" s="31"/>
      <c r="E9" s="31"/>
      <c r="F9" s="31"/>
    </row>
    <row r="10" spans="1:20" x14ac:dyDescent="0.3">
      <c r="A10" s="31"/>
      <c r="C10" s="31"/>
      <c r="D10" s="31"/>
      <c r="E10" s="31"/>
      <c r="F10" s="31"/>
    </row>
    <row r="11" spans="1:20" x14ac:dyDescent="0.3">
      <c r="A11" s="31"/>
      <c r="C11" s="31"/>
      <c r="D11" s="31"/>
      <c r="E11" s="31"/>
      <c r="F11" s="31"/>
    </row>
    <row r="12" spans="1:20" x14ac:dyDescent="0.3">
      <c r="A12" s="31"/>
      <c r="C12" s="31"/>
      <c r="D12" s="31"/>
      <c r="E12" s="31"/>
      <c r="F12" s="31"/>
    </row>
    <row r="13" spans="1:20" x14ac:dyDescent="0.3">
      <c r="A13" s="31"/>
      <c r="C13" s="31"/>
      <c r="D13" s="31"/>
      <c r="E13" s="31"/>
      <c r="F13" s="31"/>
    </row>
    <row r="14" spans="1:20" x14ac:dyDescent="0.3">
      <c r="A14" s="31"/>
      <c r="C14" s="31"/>
      <c r="D14" s="31"/>
      <c r="E14" s="31"/>
      <c r="F14" s="31"/>
    </row>
    <row r="15" spans="1:20" x14ac:dyDescent="0.3">
      <c r="A15" s="31"/>
      <c r="C15" s="31"/>
      <c r="D15" s="31"/>
      <c r="E15" s="31"/>
      <c r="F15" s="31"/>
    </row>
    <row r="16" spans="1:20" x14ac:dyDescent="0.3">
      <c r="A16" s="31"/>
      <c r="C16" s="31"/>
      <c r="D16" s="31"/>
      <c r="E16" s="31"/>
      <c r="F16" s="31"/>
    </row>
    <row r="17" spans="1:6" x14ac:dyDescent="0.3">
      <c r="A17" s="31"/>
      <c r="C17" s="31"/>
      <c r="D17" s="31"/>
      <c r="E17" s="31"/>
      <c r="F17" s="31"/>
    </row>
    <row r="18" spans="1:6" x14ac:dyDescent="0.3">
      <c r="A18" s="31"/>
      <c r="C18" s="31"/>
      <c r="D18" s="31"/>
      <c r="E18" s="31"/>
      <c r="F18" s="31"/>
    </row>
    <row r="19" spans="1:6" x14ac:dyDescent="0.3">
      <c r="A19" s="31"/>
      <c r="C19" s="31"/>
      <c r="D19" s="31"/>
      <c r="E19" s="31"/>
      <c r="F19" s="31"/>
    </row>
    <row r="20" spans="1:6" x14ac:dyDescent="0.3">
      <c r="A20" s="31"/>
      <c r="C20" s="31"/>
      <c r="D20" s="31"/>
      <c r="E20" s="31"/>
      <c r="F20" s="31"/>
    </row>
    <row r="21" spans="1:6" x14ac:dyDescent="0.3">
      <c r="A21" s="31"/>
      <c r="C21" s="31"/>
      <c r="D21" s="31"/>
      <c r="E21" s="31"/>
      <c r="F21" s="31"/>
    </row>
    <row r="22" spans="1:6" x14ac:dyDescent="0.3">
      <c r="A22" s="31"/>
      <c r="C22" s="31"/>
      <c r="D22" s="31"/>
      <c r="E22" s="31"/>
      <c r="F22" s="31"/>
    </row>
    <row r="23" spans="1:6" x14ac:dyDescent="0.3">
      <c r="A23" s="31"/>
      <c r="C23" s="31"/>
      <c r="D23" s="31"/>
      <c r="E23" s="31"/>
      <c r="F23" s="31"/>
    </row>
    <row r="24" spans="1:6" x14ac:dyDescent="0.3">
      <c r="A24" s="31"/>
      <c r="C24" s="31"/>
      <c r="D24" s="31"/>
      <c r="E24" s="31"/>
      <c r="F24" s="31"/>
    </row>
    <row r="25" spans="1:6" x14ac:dyDescent="0.3">
      <c r="A25" s="31"/>
      <c r="C25" s="31"/>
      <c r="D25" s="31"/>
      <c r="E25" s="31"/>
      <c r="F25" s="31"/>
    </row>
    <row r="26" spans="1:6" x14ac:dyDescent="0.3">
      <c r="A26" s="31"/>
      <c r="C26" s="31"/>
      <c r="D26" s="31"/>
      <c r="E26" s="31"/>
      <c r="F26" s="31"/>
    </row>
    <row r="27" spans="1:6" x14ac:dyDescent="0.3">
      <c r="A27" s="31"/>
      <c r="C27" s="31"/>
      <c r="D27" s="31"/>
      <c r="E27" s="31"/>
      <c r="F27" s="31"/>
    </row>
    <row r="28" spans="1:6" x14ac:dyDescent="0.3">
      <c r="A28" s="31"/>
      <c r="C28" s="31"/>
      <c r="D28" s="31"/>
      <c r="E28" s="31"/>
      <c r="F28" s="31"/>
    </row>
    <row r="29" spans="1:6" x14ac:dyDescent="0.3">
      <c r="A29" s="31"/>
      <c r="C29" s="31"/>
      <c r="D29" s="31"/>
      <c r="E29" s="31"/>
      <c r="F29" s="31"/>
    </row>
    <row r="30" spans="1:6" x14ac:dyDescent="0.3">
      <c r="A30" s="31"/>
      <c r="C30" s="31"/>
      <c r="D30" s="31"/>
      <c r="E30" s="31"/>
      <c r="F30" s="31"/>
    </row>
    <row r="31" spans="1:6" x14ac:dyDescent="0.3">
      <c r="A31" s="31"/>
      <c r="C31" s="31"/>
      <c r="D31" s="31"/>
      <c r="E31" s="31"/>
      <c r="F31" s="31"/>
    </row>
    <row r="32" spans="1:6" x14ac:dyDescent="0.3">
      <c r="A32" s="31"/>
      <c r="C32" s="31"/>
      <c r="D32" s="31"/>
      <c r="E32" s="31"/>
      <c r="F32" s="31"/>
    </row>
    <row r="33" spans="1:6" x14ac:dyDescent="0.3">
      <c r="A33" s="31"/>
      <c r="C33" s="31"/>
      <c r="D33" s="31"/>
      <c r="E33" s="31"/>
      <c r="F33" s="31"/>
    </row>
    <row r="34" spans="1:6" x14ac:dyDescent="0.3">
      <c r="A34" s="31"/>
      <c r="C34" s="31"/>
      <c r="D34" s="31"/>
      <c r="E34" s="31"/>
      <c r="F34" s="31"/>
    </row>
    <row r="35" spans="1:6" x14ac:dyDescent="0.3">
      <c r="A35" s="31"/>
      <c r="C35" s="31"/>
      <c r="D35" s="31"/>
      <c r="E35" s="31"/>
      <c r="F35" s="31"/>
    </row>
    <row r="36" spans="1:6" x14ac:dyDescent="0.3">
      <c r="A36" s="31"/>
      <c r="C36" s="31"/>
      <c r="D36" s="31"/>
      <c r="E36" s="31"/>
      <c r="F36" s="31"/>
    </row>
    <row r="37" spans="1:6" x14ac:dyDescent="0.3">
      <c r="A37" s="31"/>
      <c r="C37" s="31"/>
      <c r="D37" s="31"/>
      <c r="E37" s="31"/>
      <c r="F37" s="31"/>
    </row>
    <row r="38" spans="1:6" x14ac:dyDescent="0.3">
      <c r="A38" s="31"/>
      <c r="C38" s="31"/>
      <c r="D38" s="31"/>
      <c r="E38" s="31"/>
      <c r="F38" s="31"/>
    </row>
    <row r="39" spans="1:6" x14ac:dyDescent="0.3">
      <c r="A39" s="31"/>
      <c r="C39" s="31"/>
      <c r="D39" s="31"/>
      <c r="E39" s="31"/>
      <c r="F39" s="31"/>
    </row>
    <row r="40" spans="1:6" x14ac:dyDescent="0.3">
      <c r="A40" s="31"/>
      <c r="C40" s="31"/>
      <c r="D40" s="31"/>
      <c r="E40" s="31"/>
      <c r="F40" s="31"/>
    </row>
    <row r="41" spans="1:6" x14ac:dyDescent="0.3">
      <c r="A41" s="31"/>
      <c r="C41" s="31"/>
      <c r="D41" s="31"/>
      <c r="E41" s="31"/>
      <c r="F41" s="31"/>
    </row>
    <row r="42" spans="1:6" x14ac:dyDescent="0.3">
      <c r="A42" s="31"/>
      <c r="C42" s="31"/>
      <c r="D42" s="31"/>
      <c r="E42" s="31"/>
      <c r="F42" s="31"/>
    </row>
    <row r="43" spans="1:6" x14ac:dyDescent="0.3">
      <c r="A43" s="31"/>
      <c r="C43" s="31"/>
      <c r="D43" s="31"/>
      <c r="E43" s="31"/>
      <c r="F43" s="31"/>
    </row>
    <row r="44" spans="1:6" x14ac:dyDescent="0.3">
      <c r="A44" s="31"/>
      <c r="C44" s="31"/>
      <c r="D44" s="31"/>
      <c r="E44" s="31"/>
      <c r="F44" s="31"/>
    </row>
    <row r="45" spans="1:6" x14ac:dyDescent="0.3">
      <c r="A45" s="31"/>
      <c r="C45" s="31"/>
      <c r="D45" s="31"/>
      <c r="E45" s="31"/>
      <c r="F45" s="31"/>
    </row>
    <row r="46" spans="1:6" x14ac:dyDescent="0.3">
      <c r="A46" s="31"/>
      <c r="C46" s="31"/>
      <c r="D46" s="31"/>
      <c r="E46" s="31"/>
      <c r="F46" s="31"/>
    </row>
    <row r="47" spans="1:6" x14ac:dyDescent="0.3">
      <c r="A47" s="31"/>
      <c r="C47" s="31"/>
      <c r="D47" s="31"/>
      <c r="E47" s="31"/>
      <c r="F47" s="31"/>
    </row>
    <row r="48" spans="1:6" x14ac:dyDescent="0.3">
      <c r="A48" s="31"/>
      <c r="C48" s="31"/>
      <c r="D48" s="31"/>
      <c r="E48" s="31"/>
      <c r="F48" s="31"/>
    </row>
    <row r="49" spans="1:6" x14ac:dyDescent="0.3">
      <c r="A49" s="31"/>
      <c r="C49" s="31"/>
      <c r="D49" s="31"/>
      <c r="E49" s="31"/>
      <c r="F49" s="31"/>
    </row>
    <row r="50" spans="1:6" x14ac:dyDescent="0.3">
      <c r="A50" s="31"/>
      <c r="C50" s="31"/>
      <c r="D50" s="31"/>
      <c r="E50" s="31"/>
      <c r="F50" s="31"/>
    </row>
    <row r="51" spans="1:6" x14ac:dyDescent="0.3">
      <c r="A51" s="31"/>
      <c r="C51" s="31"/>
      <c r="D51" s="31"/>
      <c r="E51" s="31"/>
      <c r="F51" s="31"/>
    </row>
    <row r="52" spans="1:6" x14ac:dyDescent="0.3">
      <c r="A52" s="31"/>
      <c r="C52" s="31"/>
      <c r="D52" s="31"/>
      <c r="E52" s="31"/>
      <c r="F52" s="31"/>
    </row>
    <row r="53" spans="1:6" x14ac:dyDescent="0.3">
      <c r="A53" s="31"/>
      <c r="C53" s="31"/>
      <c r="D53" s="31"/>
      <c r="E53" s="31"/>
      <c r="F53" s="31"/>
    </row>
    <row r="54" spans="1:6" x14ac:dyDescent="0.3">
      <c r="A54" s="31"/>
      <c r="C54" s="31"/>
      <c r="D54" s="31"/>
      <c r="E54" s="31"/>
      <c r="F54" s="31"/>
    </row>
    <row r="55" spans="1:6" x14ac:dyDescent="0.3">
      <c r="A55" s="31"/>
      <c r="C55" s="31"/>
      <c r="D55" s="31"/>
      <c r="E55" s="31"/>
      <c r="F55" s="31"/>
    </row>
    <row r="56" spans="1:6" x14ac:dyDescent="0.3">
      <c r="A56" s="31"/>
      <c r="C56" s="31"/>
      <c r="D56" s="31"/>
      <c r="E56" s="31"/>
      <c r="F56" s="31"/>
    </row>
    <row r="57" spans="1:6" x14ac:dyDescent="0.3">
      <c r="A57" s="31"/>
      <c r="C57" s="31"/>
      <c r="D57" s="31"/>
      <c r="E57" s="31"/>
      <c r="F57" s="31"/>
    </row>
    <row r="58" spans="1:6" x14ac:dyDescent="0.3">
      <c r="A58" s="31"/>
      <c r="C58" s="31"/>
      <c r="D58" s="31"/>
      <c r="E58" s="31"/>
      <c r="F58" s="31"/>
    </row>
    <row r="59" spans="1:6" x14ac:dyDescent="0.3">
      <c r="A59" s="31"/>
      <c r="C59" s="31"/>
      <c r="D59" s="31"/>
      <c r="E59" s="31"/>
      <c r="F59" s="31"/>
    </row>
    <row r="60" spans="1:6" x14ac:dyDescent="0.3">
      <c r="A60" s="31"/>
      <c r="C60" s="31"/>
      <c r="D60" s="31"/>
      <c r="E60" s="31"/>
      <c r="F60" s="31"/>
    </row>
    <row r="61" spans="1:6" x14ac:dyDescent="0.3">
      <c r="A61" s="31"/>
      <c r="C61" s="31"/>
      <c r="D61" s="31"/>
      <c r="E61" s="31"/>
      <c r="F61" s="31"/>
    </row>
    <row r="62" spans="1:6" x14ac:dyDescent="0.3">
      <c r="A62" s="31"/>
      <c r="C62" s="31"/>
      <c r="D62" s="31"/>
      <c r="E62" s="31"/>
      <c r="F62" s="31"/>
    </row>
    <row r="63" spans="1:6" x14ac:dyDescent="0.3">
      <c r="A63" s="31"/>
      <c r="C63" s="31"/>
      <c r="D63" s="31"/>
      <c r="E63" s="31"/>
      <c r="F63" s="31"/>
    </row>
    <row r="64" spans="1:6" x14ac:dyDescent="0.3">
      <c r="A64" s="31"/>
      <c r="C64" s="31"/>
      <c r="D64" s="31"/>
      <c r="E64" s="31"/>
      <c r="F64" s="31"/>
    </row>
    <row r="65" spans="1:6" x14ac:dyDescent="0.3">
      <c r="A65" s="31"/>
      <c r="C65" s="31"/>
      <c r="D65" s="31"/>
      <c r="E65" s="31"/>
      <c r="F65" s="31"/>
    </row>
    <row r="66" spans="1:6" x14ac:dyDescent="0.3">
      <c r="A66" s="31"/>
      <c r="C66" s="31"/>
      <c r="D66" s="31"/>
      <c r="E66" s="31"/>
      <c r="F66" s="31"/>
    </row>
    <row r="67" spans="1:6" x14ac:dyDescent="0.3">
      <c r="A67" s="31"/>
      <c r="C67" s="31"/>
      <c r="D67" s="31"/>
      <c r="E67" s="31"/>
      <c r="F67" s="31"/>
    </row>
    <row r="68" spans="1:6" x14ac:dyDescent="0.3">
      <c r="A68" s="31"/>
      <c r="C68" s="31"/>
      <c r="D68" s="31"/>
      <c r="E68" s="31"/>
      <c r="F68" s="31"/>
    </row>
    <row r="69" spans="1:6" x14ac:dyDescent="0.3">
      <c r="A69" s="31"/>
      <c r="C69" s="31"/>
      <c r="D69" s="31"/>
      <c r="E69" s="31"/>
      <c r="F69" s="31"/>
    </row>
    <row r="70" spans="1:6" x14ac:dyDescent="0.3">
      <c r="A70" s="31"/>
      <c r="C70" s="31"/>
      <c r="D70" s="31"/>
      <c r="E70" s="31"/>
      <c r="F70" s="31"/>
    </row>
    <row r="71" spans="1:6" x14ac:dyDescent="0.3">
      <c r="A71" s="31"/>
      <c r="C71" s="31"/>
      <c r="D71" s="31"/>
      <c r="E71" s="31"/>
      <c r="F71" s="31"/>
    </row>
    <row r="72" spans="1:6" x14ac:dyDescent="0.3">
      <c r="A72" s="31"/>
      <c r="C72" s="31"/>
      <c r="D72" s="31"/>
      <c r="E72" s="31"/>
      <c r="F72" s="31"/>
    </row>
    <row r="73" spans="1:6" x14ac:dyDescent="0.3">
      <c r="A73" s="31"/>
      <c r="C73" s="31"/>
      <c r="D73" s="31"/>
      <c r="E73" s="31"/>
      <c r="F73" s="31"/>
    </row>
    <row r="74" spans="1:6" x14ac:dyDescent="0.3">
      <c r="A74" s="31"/>
      <c r="C74" s="31"/>
      <c r="D74" s="31"/>
      <c r="E74" s="31"/>
      <c r="F74" s="31"/>
    </row>
    <row r="75" spans="1:6" x14ac:dyDescent="0.3">
      <c r="A75" s="31"/>
      <c r="C75" s="31"/>
      <c r="D75" s="31"/>
      <c r="E75" s="31"/>
      <c r="F75" s="31"/>
    </row>
    <row r="76" spans="1:6" x14ac:dyDescent="0.3">
      <c r="A76" s="31"/>
      <c r="C76" s="31"/>
      <c r="D76" s="31"/>
      <c r="E76" s="31"/>
      <c r="F76" s="31"/>
    </row>
    <row r="77" spans="1:6" x14ac:dyDescent="0.3">
      <c r="A77" s="31"/>
      <c r="C77" s="31"/>
      <c r="D77" s="31"/>
      <c r="E77" s="31"/>
      <c r="F77" s="31"/>
    </row>
    <row r="78" spans="1:6" x14ac:dyDescent="0.3">
      <c r="A78" s="31"/>
      <c r="C78" s="31"/>
      <c r="D78" s="31"/>
      <c r="E78" s="31"/>
      <c r="F78" s="31"/>
    </row>
    <row r="79" spans="1:6" x14ac:dyDescent="0.3">
      <c r="A79" s="31"/>
      <c r="C79" s="31"/>
      <c r="D79" s="31"/>
      <c r="E79" s="31"/>
      <c r="F79" s="31"/>
    </row>
    <row r="80" spans="1:6" x14ac:dyDescent="0.3">
      <c r="A80" s="31"/>
      <c r="C80" s="31"/>
      <c r="D80" s="31"/>
      <c r="E80" s="31"/>
      <c r="F80" s="31"/>
    </row>
    <row r="81" spans="1:6" x14ac:dyDescent="0.3">
      <c r="A81" s="31"/>
      <c r="C81" s="31"/>
      <c r="D81" s="31"/>
      <c r="E81" s="31"/>
      <c r="F81" s="31"/>
    </row>
    <row r="82" spans="1:6" x14ac:dyDescent="0.3">
      <c r="A82" s="31"/>
      <c r="C82" s="31"/>
      <c r="D82" s="31"/>
      <c r="E82" s="31"/>
      <c r="F82" s="31"/>
    </row>
    <row r="83" spans="1:6" x14ac:dyDescent="0.3">
      <c r="A83" s="31"/>
      <c r="C83" s="31"/>
      <c r="D83" s="31"/>
      <c r="E83" s="31"/>
      <c r="F83" s="31"/>
    </row>
    <row r="84" spans="1:6" x14ac:dyDescent="0.3">
      <c r="A84" s="31"/>
      <c r="C84" s="31"/>
      <c r="D84" s="31"/>
      <c r="E84" s="31"/>
      <c r="F84" s="31"/>
    </row>
    <row r="85" spans="1:6" x14ac:dyDescent="0.3">
      <c r="A85" s="31"/>
      <c r="C85" s="31"/>
      <c r="D85" s="31"/>
      <c r="E85" s="31"/>
      <c r="F85" s="31"/>
    </row>
    <row r="86" spans="1:6" x14ac:dyDescent="0.3">
      <c r="A86" s="31"/>
      <c r="C86" s="31"/>
      <c r="D86" s="31"/>
      <c r="E86" s="31"/>
      <c r="F86" s="31"/>
    </row>
    <row r="87" spans="1:6" x14ac:dyDescent="0.3">
      <c r="A87" s="31"/>
      <c r="C87" s="31"/>
      <c r="D87" s="31"/>
      <c r="E87" s="31"/>
      <c r="F87" s="31"/>
    </row>
    <row r="88" spans="1:6" x14ac:dyDescent="0.3">
      <c r="A88" s="31"/>
      <c r="C88" s="31"/>
      <c r="D88" s="31"/>
      <c r="E88" s="31"/>
      <c r="F88" s="31"/>
    </row>
    <row r="89" spans="1:6" x14ac:dyDescent="0.3">
      <c r="A89" s="31"/>
      <c r="C89" s="31"/>
      <c r="D89" s="31"/>
      <c r="E89" s="31"/>
      <c r="F89" s="31"/>
    </row>
    <row r="90" spans="1:6" x14ac:dyDescent="0.3">
      <c r="A90" s="31"/>
      <c r="C90" s="31"/>
      <c r="D90" s="31"/>
      <c r="E90" s="31"/>
      <c r="F90" s="31"/>
    </row>
    <row r="91" spans="1:6" x14ac:dyDescent="0.3">
      <c r="A91" s="31"/>
      <c r="C91" s="31"/>
      <c r="D91" s="31"/>
      <c r="E91" s="31"/>
      <c r="F91" s="31"/>
    </row>
    <row r="92" spans="1:6" x14ac:dyDescent="0.3">
      <c r="A92" s="31"/>
      <c r="C92" s="31"/>
      <c r="D92" s="31"/>
      <c r="E92" s="31"/>
      <c r="F92" s="31"/>
    </row>
    <row r="93" spans="1:6" x14ac:dyDescent="0.3">
      <c r="A93" s="31"/>
      <c r="C93" s="31"/>
      <c r="D93" s="31"/>
      <c r="E93" s="31"/>
      <c r="F93" s="31"/>
    </row>
    <row r="94" spans="1:6" x14ac:dyDescent="0.3">
      <c r="A94" s="31"/>
      <c r="C94" s="31"/>
      <c r="D94" s="31"/>
      <c r="E94" s="31"/>
      <c r="F94" s="31"/>
    </row>
    <row r="95" spans="1:6" x14ac:dyDescent="0.3">
      <c r="A95" s="31"/>
      <c r="C95" s="31"/>
      <c r="D95" s="31"/>
      <c r="E95" s="31"/>
      <c r="F95" s="31"/>
    </row>
    <row r="96" spans="1:6" x14ac:dyDescent="0.3">
      <c r="A96" s="31"/>
      <c r="C96" s="31"/>
      <c r="D96" s="31"/>
      <c r="E96" s="31"/>
      <c r="F96" s="31"/>
    </row>
    <row r="97" spans="1:6" x14ac:dyDescent="0.3">
      <c r="A97" s="31"/>
      <c r="C97" s="31"/>
      <c r="D97" s="31"/>
      <c r="E97" s="31"/>
      <c r="F97" s="31"/>
    </row>
    <row r="98" spans="1:6" x14ac:dyDescent="0.3">
      <c r="A98" s="31"/>
      <c r="C98" s="31"/>
      <c r="D98" s="31"/>
      <c r="E98" s="31"/>
      <c r="F98" s="31"/>
    </row>
    <row r="99" spans="1:6" x14ac:dyDescent="0.3">
      <c r="A99" s="31"/>
      <c r="C99" s="31"/>
      <c r="D99" s="31"/>
      <c r="E99" s="31"/>
      <c r="F99" s="31"/>
    </row>
    <row r="100" spans="1:6" x14ac:dyDescent="0.3">
      <c r="A100" s="31"/>
      <c r="C100" s="31"/>
      <c r="D100" s="31"/>
      <c r="E100" s="31"/>
      <c r="F100" s="31"/>
    </row>
    <row r="101" spans="1:6" x14ac:dyDescent="0.3">
      <c r="A101" s="31"/>
      <c r="C101" s="31"/>
      <c r="D101" s="31"/>
      <c r="E101" s="31"/>
      <c r="F101" s="31"/>
    </row>
    <row r="102" spans="1:6" x14ac:dyDescent="0.3">
      <c r="A102" s="31"/>
      <c r="C102" s="31"/>
      <c r="D102" s="31"/>
      <c r="E102" s="31"/>
      <c r="F102" s="31"/>
    </row>
    <row r="103" spans="1:6" x14ac:dyDescent="0.3">
      <c r="A103" s="31"/>
      <c r="C103" s="31"/>
      <c r="D103" s="31"/>
      <c r="E103" s="31"/>
      <c r="F103" s="31"/>
    </row>
    <row r="104" spans="1:6" x14ac:dyDescent="0.3">
      <c r="A104" s="31"/>
      <c r="C104" s="31"/>
      <c r="D104" s="31"/>
      <c r="E104" s="31"/>
      <c r="F104" s="31"/>
    </row>
    <row r="105" spans="1:6" x14ac:dyDescent="0.3">
      <c r="A105" s="31"/>
      <c r="C105" s="31"/>
      <c r="D105" s="31"/>
      <c r="E105" s="31"/>
      <c r="F105" s="31"/>
    </row>
    <row r="106" spans="1:6" x14ac:dyDescent="0.3">
      <c r="A106" s="31"/>
      <c r="C106" s="31"/>
      <c r="D106" s="31"/>
      <c r="E106" s="31"/>
      <c r="F106" s="31"/>
    </row>
    <row r="107" spans="1:6" x14ac:dyDescent="0.3">
      <c r="A107" s="31"/>
      <c r="C107" s="31"/>
      <c r="D107" s="31"/>
      <c r="E107" s="31"/>
      <c r="F107" s="31"/>
    </row>
    <row r="108" spans="1:6" x14ac:dyDescent="0.3">
      <c r="A108" s="31"/>
      <c r="C108" s="31"/>
      <c r="D108" s="31"/>
      <c r="E108" s="31"/>
      <c r="F108" s="31"/>
    </row>
    <row r="109" spans="1:6" x14ac:dyDescent="0.3">
      <c r="A109" s="31"/>
      <c r="C109" s="31"/>
      <c r="D109" s="31"/>
      <c r="E109" s="31"/>
      <c r="F109" s="31"/>
    </row>
    <row r="110" spans="1:6" x14ac:dyDescent="0.3">
      <c r="A110" s="31"/>
      <c r="C110" s="31"/>
      <c r="D110" s="31"/>
      <c r="E110" s="31"/>
      <c r="F110" s="31"/>
    </row>
    <row r="111" spans="1:6" x14ac:dyDescent="0.3">
      <c r="A111" s="31"/>
      <c r="C111" s="31"/>
      <c r="D111" s="31"/>
      <c r="E111" s="31"/>
      <c r="F111" s="31"/>
    </row>
    <row r="112" spans="1:6" x14ac:dyDescent="0.3">
      <c r="A112" s="31"/>
      <c r="C112" s="31"/>
      <c r="D112" s="31"/>
      <c r="E112" s="31"/>
      <c r="F112" s="31"/>
    </row>
    <row r="113" spans="1:6" x14ac:dyDescent="0.3">
      <c r="A113" s="31"/>
      <c r="C113" s="31"/>
      <c r="D113" s="31"/>
      <c r="E113" s="31"/>
      <c r="F113" s="31"/>
    </row>
    <row r="114" spans="1:6" x14ac:dyDescent="0.3">
      <c r="A114" s="31"/>
      <c r="C114" s="31"/>
      <c r="D114" s="31"/>
      <c r="E114" s="31"/>
      <c r="F114" s="31"/>
    </row>
    <row r="115" spans="1:6" x14ac:dyDescent="0.3">
      <c r="A115" s="31"/>
      <c r="C115" s="31"/>
      <c r="D115" s="31"/>
      <c r="E115" s="31"/>
      <c r="F115" s="31"/>
    </row>
    <row r="116" spans="1:6" x14ac:dyDescent="0.3">
      <c r="A116" s="31"/>
      <c r="C116" s="31"/>
      <c r="D116" s="31"/>
      <c r="E116" s="31"/>
      <c r="F116" s="31"/>
    </row>
    <row r="117" spans="1:6" x14ac:dyDescent="0.3">
      <c r="A117" s="31"/>
      <c r="C117" s="31"/>
      <c r="D117" s="31"/>
      <c r="E117" s="31"/>
      <c r="F117" s="31"/>
    </row>
    <row r="118" spans="1:6" x14ac:dyDescent="0.3">
      <c r="A118" s="31"/>
      <c r="C118" s="31"/>
      <c r="D118" s="31"/>
      <c r="E118" s="31"/>
      <c r="F118" s="31"/>
    </row>
    <row r="119" spans="1:6" x14ac:dyDescent="0.3">
      <c r="A119" s="31"/>
      <c r="C119" s="31"/>
      <c r="D119" s="31"/>
      <c r="E119" s="31"/>
      <c r="F119" s="31"/>
    </row>
    <row r="120" spans="1:6" x14ac:dyDescent="0.3">
      <c r="A120" s="31"/>
      <c r="C120" s="31"/>
      <c r="D120" s="31"/>
      <c r="E120" s="31"/>
      <c r="F120" s="31"/>
    </row>
    <row r="121" spans="1:6" x14ac:dyDescent="0.3">
      <c r="A121" s="31"/>
      <c r="C121" s="31"/>
      <c r="D121" s="31"/>
      <c r="E121" s="31"/>
      <c r="F121" s="31"/>
    </row>
    <row r="122" spans="1:6" x14ac:dyDescent="0.3">
      <c r="A122" s="31"/>
      <c r="C122" s="31"/>
      <c r="D122" s="31"/>
      <c r="E122" s="31"/>
      <c r="F122" s="31"/>
    </row>
    <row r="123" spans="1:6" x14ac:dyDescent="0.3">
      <c r="A123" s="31"/>
      <c r="C123" s="31"/>
      <c r="D123" s="31"/>
      <c r="E123" s="31"/>
      <c r="F123" s="31"/>
    </row>
    <row r="124" spans="1:6" x14ac:dyDescent="0.3">
      <c r="A124" s="31"/>
      <c r="C124" s="31"/>
      <c r="D124" s="31"/>
      <c r="E124" s="31"/>
      <c r="F124" s="31"/>
    </row>
    <row r="125" spans="1:6" x14ac:dyDescent="0.3">
      <c r="A125" s="31"/>
      <c r="C125" s="31"/>
      <c r="D125" s="31"/>
      <c r="E125" s="31"/>
      <c r="F125" s="31"/>
    </row>
    <row r="126" spans="1:6" x14ac:dyDescent="0.3">
      <c r="A126" s="31"/>
      <c r="C126" s="31"/>
      <c r="D126" s="31"/>
      <c r="E126" s="31"/>
      <c r="F126" s="31"/>
    </row>
    <row r="127" spans="1:6" x14ac:dyDescent="0.3">
      <c r="A127" s="31"/>
      <c r="C127" s="31"/>
      <c r="D127" s="31"/>
      <c r="E127" s="31"/>
      <c r="F127" s="31"/>
    </row>
    <row r="128" spans="1:6" x14ac:dyDescent="0.3">
      <c r="A128" s="31"/>
      <c r="C128" s="31"/>
      <c r="D128" s="31"/>
      <c r="E128" s="31"/>
      <c r="F128" s="31"/>
    </row>
    <row r="129" spans="1:6" x14ac:dyDescent="0.3">
      <c r="A129" s="31"/>
      <c r="C129" s="31"/>
      <c r="D129" s="31"/>
      <c r="E129" s="31"/>
      <c r="F129" s="31"/>
    </row>
    <row r="130" spans="1:6" x14ac:dyDescent="0.3">
      <c r="A130" s="31"/>
      <c r="C130" s="31"/>
      <c r="D130" s="31"/>
      <c r="E130" s="31"/>
      <c r="F130" s="31"/>
    </row>
    <row r="131" spans="1:6" x14ac:dyDescent="0.3">
      <c r="A131" s="31"/>
      <c r="C131" s="31"/>
      <c r="D131" s="31"/>
      <c r="E131" s="31"/>
      <c r="F131" s="31"/>
    </row>
    <row r="132" spans="1:6" x14ac:dyDescent="0.3">
      <c r="A132" s="31"/>
      <c r="C132" s="31"/>
      <c r="D132" s="31"/>
      <c r="E132" s="31"/>
      <c r="F132" s="31"/>
    </row>
    <row r="133" spans="1:6" x14ac:dyDescent="0.3">
      <c r="A133" s="31"/>
      <c r="C133" s="31"/>
      <c r="D133" s="31"/>
      <c r="E133" s="31"/>
      <c r="F133" s="31"/>
    </row>
    <row r="134" spans="1:6" x14ac:dyDescent="0.3">
      <c r="A134" s="31"/>
      <c r="C134" s="31"/>
      <c r="D134" s="31"/>
      <c r="E134" s="31"/>
      <c r="F134" s="31"/>
    </row>
    <row r="135" spans="1:6" x14ac:dyDescent="0.3">
      <c r="A135" s="31"/>
      <c r="C135" s="31"/>
      <c r="D135" s="31"/>
      <c r="E135" s="31"/>
      <c r="F135" s="31"/>
    </row>
    <row r="136" spans="1:6" x14ac:dyDescent="0.3">
      <c r="A136" s="31"/>
      <c r="C136" s="31"/>
      <c r="D136" s="31"/>
      <c r="E136" s="31"/>
      <c r="F136" s="31"/>
    </row>
    <row r="137" spans="1:6" x14ac:dyDescent="0.3">
      <c r="A137" s="31"/>
      <c r="C137" s="31"/>
      <c r="D137" s="31"/>
      <c r="E137" s="31"/>
      <c r="F137" s="31"/>
    </row>
    <row r="138" spans="1:6" x14ac:dyDescent="0.3">
      <c r="A138" s="31"/>
      <c r="C138" s="31"/>
      <c r="D138" s="31"/>
      <c r="E138" s="31"/>
      <c r="F138" s="31"/>
    </row>
    <row r="139" spans="1:6" x14ac:dyDescent="0.3">
      <c r="A139" s="31"/>
      <c r="C139" s="31"/>
      <c r="D139" s="31"/>
      <c r="E139" s="31"/>
      <c r="F139" s="31"/>
    </row>
    <row r="140" spans="1:6" x14ac:dyDescent="0.3">
      <c r="A140" s="31"/>
      <c r="C140" s="31"/>
      <c r="D140" s="31"/>
      <c r="E140" s="31"/>
      <c r="F140" s="31"/>
    </row>
    <row r="141" spans="1:6" x14ac:dyDescent="0.3">
      <c r="A141" s="31"/>
      <c r="C141" s="31"/>
      <c r="D141" s="31"/>
      <c r="E141" s="31"/>
      <c r="F141" s="31"/>
    </row>
    <row r="142" spans="1:6" x14ac:dyDescent="0.3">
      <c r="A142" s="31"/>
      <c r="C142" s="31"/>
      <c r="D142" s="31"/>
      <c r="E142" s="31"/>
      <c r="F142" s="31"/>
    </row>
    <row r="143" spans="1:6" x14ac:dyDescent="0.3">
      <c r="A143" s="31"/>
      <c r="C143" s="31"/>
      <c r="D143" s="31"/>
      <c r="E143" s="31"/>
      <c r="F143" s="31"/>
    </row>
    <row r="144" spans="1:6" x14ac:dyDescent="0.3">
      <c r="A144" s="31"/>
      <c r="C144" s="31"/>
      <c r="D144" s="31"/>
      <c r="E144" s="31"/>
      <c r="F144" s="31"/>
    </row>
    <row r="145" spans="1:6" x14ac:dyDescent="0.3">
      <c r="A145" s="31"/>
      <c r="C145" s="31"/>
      <c r="D145" s="31"/>
      <c r="E145" s="31"/>
      <c r="F145" s="31"/>
    </row>
    <row r="146" spans="1:6" x14ac:dyDescent="0.3">
      <c r="A146" s="31"/>
      <c r="C146" s="31"/>
      <c r="D146" s="31"/>
      <c r="E146" s="31"/>
      <c r="F146" s="31"/>
    </row>
    <row r="147" spans="1:6" x14ac:dyDescent="0.3">
      <c r="A147" s="31"/>
      <c r="C147" s="31"/>
      <c r="D147" s="31"/>
      <c r="E147" s="31"/>
      <c r="F147" s="31"/>
    </row>
    <row r="148" spans="1:6" x14ac:dyDescent="0.3">
      <c r="A148" s="31"/>
      <c r="C148" s="31"/>
      <c r="D148" s="31"/>
      <c r="E148" s="31"/>
      <c r="F148" s="31"/>
    </row>
    <row r="149" spans="1:6" x14ac:dyDescent="0.3">
      <c r="A149" s="31"/>
      <c r="C149" s="31"/>
      <c r="D149" s="31"/>
      <c r="E149" s="31"/>
      <c r="F149" s="31"/>
    </row>
    <row r="150" spans="1:6" x14ac:dyDescent="0.3">
      <c r="A150" s="31"/>
      <c r="C150" s="31"/>
      <c r="D150" s="31"/>
      <c r="E150" s="31"/>
      <c r="F150" s="31"/>
    </row>
    <row r="151" spans="1:6" x14ac:dyDescent="0.3">
      <c r="A151" s="31"/>
      <c r="C151" s="31"/>
      <c r="D151" s="31"/>
      <c r="E151" s="31"/>
      <c r="F151" s="31"/>
    </row>
    <row r="152" spans="1:6" x14ac:dyDescent="0.3">
      <c r="A152" s="31"/>
      <c r="C152" s="31"/>
      <c r="D152" s="31"/>
      <c r="E152" s="31"/>
      <c r="F152" s="31"/>
    </row>
    <row r="153" spans="1:6" x14ac:dyDescent="0.3">
      <c r="A153" s="31"/>
      <c r="C153" s="31"/>
      <c r="D153" s="31"/>
      <c r="E153" s="31"/>
      <c r="F153" s="31"/>
    </row>
    <row r="154" spans="1:6" x14ac:dyDescent="0.3">
      <c r="A154" s="31"/>
      <c r="C154" s="31"/>
      <c r="D154" s="31"/>
      <c r="E154" s="31"/>
      <c r="F154" s="31"/>
    </row>
    <row r="155" spans="1:6" x14ac:dyDescent="0.3">
      <c r="A155" s="31"/>
      <c r="C155" s="31"/>
      <c r="D155" s="31"/>
      <c r="E155" s="31"/>
      <c r="F155" s="31"/>
    </row>
    <row r="156" spans="1:6" x14ac:dyDescent="0.3">
      <c r="A156" s="31"/>
      <c r="C156" s="31"/>
      <c r="D156" s="31"/>
      <c r="E156" s="31"/>
      <c r="F156" s="31"/>
    </row>
    <row r="157" spans="1:6" x14ac:dyDescent="0.3">
      <c r="A157" s="31"/>
      <c r="C157" s="31"/>
      <c r="D157" s="31"/>
      <c r="E157" s="31"/>
      <c r="F157" s="31"/>
    </row>
    <row r="158" spans="1:6" x14ac:dyDescent="0.3">
      <c r="A158" s="31"/>
      <c r="C158" s="31"/>
      <c r="D158" s="31"/>
      <c r="E158" s="31"/>
      <c r="F158" s="31"/>
    </row>
    <row r="159" spans="1:6" x14ac:dyDescent="0.3">
      <c r="A159" s="31"/>
      <c r="C159" s="31"/>
      <c r="D159" s="31"/>
      <c r="E159" s="31"/>
      <c r="F159" s="31"/>
    </row>
    <row r="160" spans="1:6" x14ac:dyDescent="0.3">
      <c r="A160" s="31"/>
      <c r="C160" s="31"/>
      <c r="D160" s="31"/>
      <c r="E160" s="31"/>
      <c r="F160" s="31"/>
    </row>
    <row r="161" spans="1:6" x14ac:dyDescent="0.3">
      <c r="A161" s="31"/>
      <c r="C161" s="31"/>
      <c r="D161" s="31"/>
      <c r="E161" s="31"/>
      <c r="F161" s="31"/>
    </row>
    <row r="162" spans="1:6" x14ac:dyDescent="0.3">
      <c r="A162" s="31"/>
      <c r="C162" s="31"/>
      <c r="D162" s="31"/>
      <c r="E162" s="31"/>
      <c r="F162" s="31"/>
    </row>
    <row r="163" spans="1:6" x14ac:dyDescent="0.3">
      <c r="A163" s="31"/>
      <c r="C163" s="31"/>
      <c r="D163" s="31"/>
      <c r="E163" s="31"/>
      <c r="F163" s="31"/>
    </row>
    <row r="164" spans="1:6" x14ac:dyDescent="0.3">
      <c r="A164" s="31"/>
      <c r="C164" s="31"/>
      <c r="D164" s="31"/>
      <c r="E164" s="31"/>
      <c r="F164" s="31"/>
    </row>
    <row r="165" spans="1:6" x14ac:dyDescent="0.3">
      <c r="A165" s="31"/>
      <c r="C165" s="31"/>
      <c r="D165" s="31"/>
      <c r="E165" s="31"/>
      <c r="F165" s="31"/>
    </row>
    <row r="166" spans="1:6" x14ac:dyDescent="0.3">
      <c r="A166" s="31"/>
      <c r="C166" s="31"/>
      <c r="D166" s="31"/>
      <c r="E166" s="31"/>
      <c r="F166" s="31"/>
    </row>
    <row r="167" spans="1:6" x14ac:dyDescent="0.3">
      <c r="A167" s="31"/>
      <c r="C167" s="31"/>
      <c r="D167" s="31"/>
      <c r="E167" s="31"/>
      <c r="F167" s="31"/>
    </row>
    <row r="168" spans="1:6" x14ac:dyDescent="0.3">
      <c r="A168" s="31"/>
      <c r="C168" s="31"/>
      <c r="D168" s="31"/>
      <c r="E168" s="31"/>
      <c r="F168" s="31"/>
    </row>
    <row r="169" spans="1:6" x14ac:dyDescent="0.3">
      <c r="A169" s="31"/>
      <c r="C169" s="31"/>
      <c r="D169" s="31"/>
      <c r="E169" s="31"/>
      <c r="F169" s="31"/>
    </row>
    <row r="170" spans="1:6" x14ac:dyDescent="0.3">
      <c r="A170" s="31"/>
      <c r="C170" s="31"/>
      <c r="D170" s="31"/>
      <c r="E170" s="31"/>
      <c r="F170" s="31"/>
    </row>
    <row r="171" spans="1:6" x14ac:dyDescent="0.3">
      <c r="A171" s="31"/>
      <c r="C171" s="31"/>
      <c r="D171" s="31"/>
      <c r="E171" s="31"/>
      <c r="F171" s="31"/>
    </row>
    <row r="172" spans="1:6" x14ac:dyDescent="0.3">
      <c r="A172" s="31"/>
      <c r="C172" s="31"/>
      <c r="D172" s="31"/>
      <c r="E172" s="31"/>
      <c r="F172" s="31"/>
    </row>
    <row r="173" spans="1:6" x14ac:dyDescent="0.3">
      <c r="A173" s="31"/>
      <c r="C173" s="31"/>
      <c r="D173" s="31"/>
      <c r="E173" s="31"/>
      <c r="F173" s="31"/>
    </row>
    <row r="174" spans="1:6" x14ac:dyDescent="0.3">
      <c r="A174" s="31"/>
      <c r="C174" s="31"/>
      <c r="D174" s="31"/>
      <c r="E174" s="31"/>
      <c r="F174" s="31"/>
    </row>
    <row r="175" spans="1:6" x14ac:dyDescent="0.3">
      <c r="A175" s="31"/>
      <c r="C175" s="31"/>
      <c r="D175" s="31"/>
      <c r="E175" s="31"/>
      <c r="F175" s="31"/>
    </row>
    <row r="176" spans="1:6" x14ac:dyDescent="0.3">
      <c r="A176" s="31"/>
      <c r="C176" s="31"/>
      <c r="D176" s="31"/>
      <c r="E176" s="31"/>
      <c r="F176" s="31"/>
    </row>
    <row r="177" spans="1:6" x14ac:dyDescent="0.3">
      <c r="A177" s="31"/>
      <c r="C177" s="31"/>
      <c r="D177" s="31"/>
      <c r="E177" s="31"/>
      <c r="F177" s="31"/>
    </row>
    <row r="178" spans="1:6" x14ac:dyDescent="0.3">
      <c r="A178" s="31"/>
      <c r="C178" s="31"/>
      <c r="D178" s="31"/>
      <c r="E178" s="31"/>
      <c r="F178" s="31"/>
    </row>
    <row r="179" spans="1:6" x14ac:dyDescent="0.3">
      <c r="A179" s="31"/>
      <c r="C179" s="31"/>
      <c r="D179" s="31"/>
      <c r="E179" s="31"/>
      <c r="F179" s="31"/>
    </row>
    <row r="180" spans="1:6" x14ac:dyDescent="0.3">
      <c r="A180" s="31"/>
      <c r="C180" s="31"/>
      <c r="D180" s="31"/>
      <c r="E180" s="31"/>
      <c r="F180" s="31"/>
    </row>
    <row r="181" spans="1:6" x14ac:dyDescent="0.3">
      <c r="A181" s="31"/>
      <c r="C181" s="31"/>
      <c r="D181" s="31"/>
      <c r="E181" s="31"/>
      <c r="F181" s="31"/>
    </row>
    <row r="182" spans="1:6" x14ac:dyDescent="0.3">
      <c r="A182" s="31"/>
      <c r="C182" s="31"/>
      <c r="D182" s="31"/>
      <c r="E182" s="31"/>
      <c r="F182" s="31"/>
    </row>
    <row r="183" spans="1:6" x14ac:dyDescent="0.3">
      <c r="A183" s="31"/>
      <c r="C183" s="31"/>
      <c r="D183" s="31"/>
      <c r="E183" s="31"/>
      <c r="F183" s="31"/>
    </row>
    <row r="184" spans="1:6" x14ac:dyDescent="0.3">
      <c r="A184" s="31"/>
      <c r="C184" s="31"/>
      <c r="D184" s="31"/>
      <c r="E184" s="31"/>
      <c r="F184" s="31"/>
    </row>
    <row r="185" spans="1:6" x14ac:dyDescent="0.3">
      <c r="A185" s="31"/>
      <c r="C185" s="31"/>
      <c r="D185" s="31"/>
      <c r="E185" s="31"/>
      <c r="F185" s="31"/>
    </row>
    <row r="186" spans="1:6" x14ac:dyDescent="0.3">
      <c r="A186" s="31"/>
      <c r="C186" s="31"/>
      <c r="D186" s="31"/>
      <c r="E186" s="31"/>
      <c r="F186" s="31"/>
    </row>
    <row r="187" spans="1:6" x14ac:dyDescent="0.3">
      <c r="A187" s="31"/>
      <c r="C187" s="31"/>
      <c r="D187" s="31"/>
      <c r="E187" s="31"/>
      <c r="F187" s="31"/>
    </row>
    <row r="188" spans="1:6" x14ac:dyDescent="0.3">
      <c r="A188" s="31"/>
      <c r="C188" s="31"/>
      <c r="D188" s="31"/>
      <c r="E188" s="31"/>
      <c r="F188" s="31"/>
    </row>
    <row r="189" spans="1:6" x14ac:dyDescent="0.3">
      <c r="A189" s="31"/>
      <c r="C189" s="31"/>
      <c r="D189" s="31"/>
      <c r="E189" s="31"/>
      <c r="F189" s="31"/>
    </row>
    <row r="190" spans="1:6" x14ac:dyDescent="0.3">
      <c r="A190" s="31"/>
      <c r="C190" s="31"/>
      <c r="D190" s="31"/>
      <c r="E190" s="31"/>
      <c r="F190" s="31"/>
    </row>
    <row r="191" spans="1:6" x14ac:dyDescent="0.3">
      <c r="A191" s="31"/>
      <c r="C191" s="31"/>
      <c r="D191" s="31"/>
      <c r="E191" s="31"/>
      <c r="F191" s="31"/>
    </row>
    <row r="192" spans="1:6" x14ac:dyDescent="0.3">
      <c r="A192" s="31"/>
      <c r="C192" s="31"/>
      <c r="D192" s="31"/>
      <c r="E192" s="31"/>
      <c r="F192" s="31"/>
    </row>
    <row r="193" spans="1:6" x14ac:dyDescent="0.3">
      <c r="A193" s="31"/>
      <c r="C193" s="31"/>
      <c r="D193" s="31"/>
      <c r="E193" s="31"/>
      <c r="F193" s="31"/>
    </row>
    <row r="194" spans="1:6" x14ac:dyDescent="0.3">
      <c r="A194" s="31"/>
      <c r="C194" s="31"/>
      <c r="D194" s="31"/>
      <c r="E194" s="31"/>
      <c r="F194" s="31"/>
    </row>
    <row r="195" spans="1:6" x14ac:dyDescent="0.3">
      <c r="A195" s="31"/>
      <c r="C195" s="31"/>
      <c r="D195" s="31"/>
      <c r="E195" s="31"/>
      <c r="F195" s="31"/>
    </row>
    <row r="196" spans="1:6" x14ac:dyDescent="0.3">
      <c r="A196" s="31"/>
      <c r="C196" s="31"/>
      <c r="D196" s="31"/>
      <c r="E196" s="31"/>
      <c r="F196" s="31"/>
    </row>
    <row r="197" spans="1:6" x14ac:dyDescent="0.3">
      <c r="A197" s="31"/>
      <c r="C197" s="31"/>
      <c r="D197" s="31"/>
      <c r="E197" s="31"/>
      <c r="F197" s="31"/>
    </row>
    <row r="198" spans="1:6" x14ac:dyDescent="0.3">
      <c r="A198" s="31"/>
      <c r="C198" s="31"/>
      <c r="D198" s="31"/>
      <c r="E198" s="31"/>
      <c r="F198" s="31"/>
    </row>
    <row r="199" spans="1:6" x14ac:dyDescent="0.3">
      <c r="A199" s="31"/>
      <c r="C199" s="31"/>
      <c r="D199" s="31"/>
      <c r="E199" s="31"/>
      <c r="F199" s="31"/>
    </row>
    <row r="200" spans="1:6" x14ac:dyDescent="0.3">
      <c r="A200" s="31"/>
      <c r="C200" s="31"/>
      <c r="D200" s="31"/>
      <c r="E200" s="31"/>
      <c r="F200" s="31"/>
    </row>
    <row r="201" spans="1:6" x14ac:dyDescent="0.3">
      <c r="A201" s="31"/>
      <c r="C201" s="31"/>
      <c r="D201" s="31"/>
      <c r="E201" s="31"/>
      <c r="F201" s="31"/>
    </row>
    <row r="202" spans="1:6" x14ac:dyDescent="0.3">
      <c r="A202" s="31"/>
      <c r="C202" s="31"/>
      <c r="D202" s="31"/>
      <c r="E202" s="31"/>
      <c r="F202" s="31"/>
    </row>
    <row r="203" spans="1:6" x14ac:dyDescent="0.3">
      <c r="A203" s="31"/>
      <c r="C203" s="31"/>
      <c r="D203" s="31"/>
      <c r="E203" s="31"/>
      <c r="F203" s="31"/>
    </row>
    <row r="204" spans="1:6" x14ac:dyDescent="0.3">
      <c r="A204" s="31"/>
      <c r="C204" s="31"/>
      <c r="D204" s="31"/>
      <c r="E204" s="31"/>
      <c r="F204" s="31"/>
    </row>
    <row r="205" spans="1:6" x14ac:dyDescent="0.3">
      <c r="A205" s="31"/>
      <c r="C205" s="31"/>
      <c r="D205" s="31"/>
      <c r="E205" s="31"/>
      <c r="F205" s="31"/>
    </row>
    <row r="206" spans="1:6" x14ac:dyDescent="0.3">
      <c r="A206" s="31"/>
      <c r="C206" s="31"/>
      <c r="D206" s="31"/>
      <c r="E206" s="31"/>
      <c r="F206" s="31"/>
    </row>
    <row r="207" spans="1:6" x14ac:dyDescent="0.3">
      <c r="A207" s="31"/>
      <c r="C207" s="31"/>
      <c r="D207" s="31"/>
      <c r="E207" s="31"/>
      <c r="F207" s="31"/>
    </row>
    <row r="208" spans="1:6" x14ac:dyDescent="0.3">
      <c r="A208" s="31"/>
      <c r="C208" s="31"/>
      <c r="D208" s="31"/>
      <c r="E208" s="31"/>
      <c r="F208" s="31"/>
    </row>
    <row r="209" spans="1:6" x14ac:dyDescent="0.3">
      <c r="A209" s="31"/>
      <c r="C209" s="31"/>
      <c r="D209" s="31"/>
      <c r="E209" s="31"/>
      <c r="F209" s="31"/>
    </row>
    <row r="210" spans="1:6" x14ac:dyDescent="0.3">
      <c r="A210" s="31"/>
      <c r="C210" s="31"/>
      <c r="D210" s="31"/>
      <c r="E210" s="31"/>
      <c r="F210" s="31"/>
    </row>
    <row r="211" spans="1:6" x14ac:dyDescent="0.3">
      <c r="A211" s="31"/>
      <c r="C211" s="31"/>
      <c r="D211" s="31"/>
      <c r="E211" s="31"/>
      <c r="F211" s="31"/>
    </row>
    <row r="212" spans="1:6" x14ac:dyDescent="0.3">
      <c r="A212" s="31"/>
      <c r="C212" s="31"/>
      <c r="D212" s="31"/>
      <c r="E212" s="31"/>
      <c r="F212" s="31"/>
    </row>
    <row r="213" spans="1:6" x14ac:dyDescent="0.3">
      <c r="A213" s="31"/>
      <c r="C213" s="31"/>
      <c r="D213" s="31"/>
      <c r="E213" s="31"/>
      <c r="F213" s="31"/>
    </row>
    <row r="214" spans="1:6" x14ac:dyDescent="0.3">
      <c r="A214" s="31"/>
      <c r="C214" s="31"/>
      <c r="D214" s="31"/>
      <c r="E214" s="31"/>
      <c r="F214" s="31"/>
    </row>
    <row r="215" spans="1:6" x14ac:dyDescent="0.3">
      <c r="A215" s="31"/>
      <c r="C215" s="31"/>
      <c r="D215" s="31"/>
      <c r="E215" s="31"/>
      <c r="F215" s="31"/>
    </row>
    <row r="216" spans="1:6" x14ac:dyDescent="0.3">
      <c r="A216" s="31"/>
      <c r="C216" s="31"/>
      <c r="D216" s="31"/>
      <c r="E216" s="31"/>
      <c r="F216" s="31"/>
    </row>
    <row r="217" spans="1:6" x14ac:dyDescent="0.3">
      <c r="A217" s="31"/>
      <c r="C217" s="31"/>
      <c r="D217" s="31"/>
      <c r="E217" s="31"/>
      <c r="F217" s="31"/>
    </row>
    <row r="218" spans="1:6" x14ac:dyDescent="0.3">
      <c r="A218" s="31"/>
      <c r="C218" s="31"/>
      <c r="D218" s="31"/>
      <c r="E218" s="31"/>
      <c r="F218" s="31"/>
    </row>
    <row r="219" spans="1:6" x14ac:dyDescent="0.3">
      <c r="A219" s="31"/>
      <c r="C219" s="31"/>
      <c r="D219" s="31"/>
      <c r="E219" s="31"/>
      <c r="F219" s="31"/>
    </row>
    <row r="220" spans="1:6" x14ac:dyDescent="0.3">
      <c r="A220" s="31"/>
      <c r="C220" s="31"/>
      <c r="D220" s="31"/>
      <c r="E220" s="31"/>
      <c r="F220" s="31"/>
    </row>
    <row r="221" spans="1:6" x14ac:dyDescent="0.3">
      <c r="A221" s="31"/>
      <c r="C221" s="31"/>
      <c r="D221" s="31"/>
      <c r="E221" s="31"/>
      <c r="F221" s="31"/>
    </row>
    <row r="222" spans="1:6" x14ac:dyDescent="0.3">
      <c r="A222" s="31"/>
      <c r="C222" s="31"/>
      <c r="D222" s="31"/>
      <c r="E222" s="31"/>
      <c r="F222" s="31"/>
    </row>
    <row r="223" spans="1:6" x14ac:dyDescent="0.3">
      <c r="A223" s="31"/>
      <c r="C223" s="31"/>
      <c r="D223" s="31"/>
      <c r="E223" s="31"/>
      <c r="F223" s="31"/>
    </row>
    <row r="224" spans="1:6" x14ac:dyDescent="0.3">
      <c r="A224" s="31"/>
      <c r="C224" s="31"/>
      <c r="D224" s="31"/>
      <c r="E224" s="31"/>
      <c r="F224" s="31"/>
    </row>
    <row r="225" spans="1:6" x14ac:dyDescent="0.3">
      <c r="A225" s="31"/>
      <c r="C225" s="31"/>
      <c r="D225" s="31"/>
      <c r="E225" s="31"/>
      <c r="F225" s="31"/>
    </row>
    <row r="226" spans="1:6" x14ac:dyDescent="0.3">
      <c r="A226" s="31"/>
      <c r="C226" s="31"/>
      <c r="D226" s="31"/>
      <c r="E226" s="31"/>
      <c r="F226" s="31"/>
    </row>
    <row r="227" spans="1:6" x14ac:dyDescent="0.3">
      <c r="A227" s="31"/>
      <c r="C227" s="31"/>
      <c r="D227" s="31"/>
      <c r="E227" s="31"/>
      <c r="F227" s="31"/>
    </row>
    <row r="228" spans="1:6" x14ac:dyDescent="0.3">
      <c r="A228" s="31"/>
      <c r="C228" s="31"/>
      <c r="D228" s="31"/>
      <c r="E228" s="31"/>
      <c r="F228" s="31"/>
    </row>
    <row r="229" spans="1:6" x14ac:dyDescent="0.3">
      <c r="A229" s="31"/>
      <c r="C229" s="31"/>
      <c r="D229" s="31"/>
      <c r="E229" s="31"/>
      <c r="F229" s="31"/>
    </row>
    <row r="230" spans="1:6" x14ac:dyDescent="0.3">
      <c r="A230" s="31"/>
      <c r="C230" s="31"/>
      <c r="D230" s="31"/>
      <c r="E230" s="31"/>
      <c r="F230" s="31"/>
    </row>
    <row r="231" spans="1:6" x14ac:dyDescent="0.3">
      <c r="A231" s="31"/>
      <c r="C231" s="31"/>
      <c r="D231" s="31"/>
      <c r="E231" s="31"/>
      <c r="F231" s="31"/>
    </row>
    <row r="232" spans="1:6" x14ac:dyDescent="0.3">
      <c r="A232" s="31"/>
      <c r="C232" s="31"/>
      <c r="D232" s="31"/>
      <c r="E232" s="31"/>
      <c r="F232" s="31"/>
    </row>
    <row r="233" spans="1:6" x14ac:dyDescent="0.3">
      <c r="A233" s="31"/>
      <c r="C233" s="31"/>
      <c r="D233" s="31"/>
      <c r="E233" s="31"/>
      <c r="F233" s="31"/>
    </row>
    <row r="234" spans="1:6" x14ac:dyDescent="0.3">
      <c r="A234" s="31"/>
      <c r="C234" s="31"/>
      <c r="D234" s="31"/>
      <c r="E234" s="31"/>
      <c r="F234" s="31"/>
    </row>
    <row r="235" spans="1:6" x14ac:dyDescent="0.3">
      <c r="A235" s="31"/>
      <c r="C235" s="31"/>
      <c r="D235" s="31"/>
      <c r="E235" s="31"/>
      <c r="F235" s="31"/>
    </row>
    <row r="236" spans="1:6" x14ac:dyDescent="0.3">
      <c r="A236" s="31"/>
      <c r="C236" s="31"/>
      <c r="D236" s="31"/>
      <c r="E236" s="31"/>
      <c r="F236" s="31"/>
    </row>
    <row r="237" spans="1:6" x14ac:dyDescent="0.3">
      <c r="A237" s="31"/>
      <c r="C237" s="31"/>
      <c r="D237" s="31"/>
      <c r="E237" s="31"/>
      <c r="F237" s="31"/>
    </row>
    <row r="238" spans="1:6" x14ac:dyDescent="0.3">
      <c r="A238" s="31"/>
      <c r="C238" s="31"/>
      <c r="D238" s="31"/>
      <c r="E238" s="31"/>
      <c r="F238" s="31"/>
    </row>
    <row r="239" spans="1:6" x14ac:dyDescent="0.3">
      <c r="A239" s="31"/>
      <c r="C239" s="31"/>
      <c r="D239" s="31"/>
      <c r="E239" s="31"/>
      <c r="F239" s="31"/>
    </row>
    <row r="240" spans="1:6" x14ac:dyDescent="0.3">
      <c r="A240" s="31"/>
      <c r="C240" s="31"/>
      <c r="D240" s="31"/>
      <c r="E240" s="31"/>
      <c r="F240" s="31"/>
    </row>
    <row r="241" spans="1:6" x14ac:dyDescent="0.3">
      <c r="A241" s="31"/>
      <c r="C241" s="31"/>
      <c r="D241" s="31"/>
      <c r="E241" s="31"/>
      <c r="F241" s="31"/>
    </row>
    <row r="242" spans="1:6" x14ac:dyDescent="0.3">
      <c r="A242" s="31"/>
      <c r="C242" s="31"/>
      <c r="D242" s="31"/>
      <c r="E242" s="31"/>
      <c r="F242" s="31"/>
    </row>
    <row r="243" spans="1:6" x14ac:dyDescent="0.3">
      <c r="A243" s="31"/>
      <c r="C243" s="31"/>
      <c r="D243" s="31"/>
      <c r="E243" s="31"/>
      <c r="F243" s="31"/>
    </row>
    <row r="244" spans="1:6" x14ac:dyDescent="0.3">
      <c r="A244" s="31"/>
      <c r="C244" s="31"/>
      <c r="D244" s="31"/>
      <c r="E244" s="31"/>
      <c r="F244" s="31"/>
    </row>
    <row r="245" spans="1:6" x14ac:dyDescent="0.3">
      <c r="A245" s="31"/>
      <c r="C245" s="31"/>
      <c r="D245" s="31"/>
      <c r="E245" s="31"/>
      <c r="F245" s="31"/>
    </row>
    <row r="246" spans="1:6" x14ac:dyDescent="0.3">
      <c r="A246" s="31"/>
      <c r="C246" s="31"/>
      <c r="D246" s="31"/>
      <c r="E246" s="31"/>
      <c r="F246" s="31"/>
    </row>
    <row r="247" spans="1:6" x14ac:dyDescent="0.3">
      <c r="A247" s="31"/>
      <c r="C247" s="31"/>
      <c r="D247" s="31"/>
      <c r="E247" s="31"/>
      <c r="F247" s="31"/>
    </row>
    <row r="248" spans="1:6" x14ac:dyDescent="0.3">
      <c r="A248" s="31"/>
      <c r="C248" s="31"/>
      <c r="D248" s="31"/>
      <c r="E248" s="31"/>
      <c r="F248" s="31"/>
    </row>
    <row r="249" spans="1:6" x14ac:dyDescent="0.3">
      <c r="A249" s="31"/>
      <c r="C249" s="31"/>
      <c r="D249" s="31"/>
      <c r="E249" s="31"/>
      <c r="F249" s="31"/>
    </row>
    <row r="250" spans="1:6" x14ac:dyDescent="0.3">
      <c r="A250" s="31"/>
      <c r="C250" s="31"/>
      <c r="D250" s="31"/>
      <c r="E250" s="31"/>
      <c r="F250" s="31"/>
    </row>
    <row r="251" spans="1:6" x14ac:dyDescent="0.3">
      <c r="A251" s="31"/>
      <c r="C251" s="31"/>
      <c r="D251" s="31"/>
      <c r="E251" s="31"/>
      <c r="F251" s="31"/>
    </row>
    <row r="252" spans="1:6" x14ac:dyDescent="0.3">
      <c r="A252" s="31"/>
      <c r="C252" s="31"/>
      <c r="D252" s="31"/>
      <c r="E252" s="31"/>
      <c r="F252" s="31"/>
    </row>
    <row r="253" spans="1:6" x14ac:dyDescent="0.3">
      <c r="A253" s="31"/>
      <c r="C253" s="31"/>
      <c r="D253" s="31"/>
      <c r="E253" s="31"/>
      <c r="F253" s="31"/>
    </row>
    <row r="254" spans="1:6" x14ac:dyDescent="0.3">
      <c r="A254" s="31"/>
      <c r="C254" s="31"/>
      <c r="D254" s="31"/>
      <c r="E254" s="31"/>
      <c r="F254" s="31"/>
    </row>
    <row r="255" spans="1:6" x14ac:dyDescent="0.3">
      <c r="A255" s="31"/>
      <c r="C255" s="31"/>
      <c r="D255" s="31"/>
      <c r="E255" s="31"/>
      <c r="F255" s="31"/>
    </row>
    <row r="256" spans="1:6" x14ac:dyDescent="0.3">
      <c r="A256" s="31"/>
      <c r="C256" s="31"/>
      <c r="D256" s="31"/>
      <c r="E256" s="31"/>
      <c r="F256" s="31"/>
    </row>
    <row r="257" spans="1:6" x14ac:dyDescent="0.3">
      <c r="A257" s="31"/>
      <c r="C257" s="31"/>
      <c r="D257" s="31"/>
      <c r="E257" s="31"/>
      <c r="F257" s="31"/>
    </row>
    <row r="258" spans="1:6" x14ac:dyDescent="0.3">
      <c r="A258" s="31"/>
      <c r="C258" s="31"/>
      <c r="D258" s="31"/>
      <c r="E258" s="31"/>
      <c r="F258" s="31"/>
    </row>
    <row r="259" spans="1:6" x14ac:dyDescent="0.3">
      <c r="A259" s="31"/>
      <c r="C259" s="31"/>
      <c r="D259" s="31"/>
      <c r="E259" s="31"/>
      <c r="F259" s="31"/>
    </row>
    <row r="260" spans="1:6" x14ac:dyDescent="0.3">
      <c r="A260" s="31"/>
      <c r="C260" s="31"/>
      <c r="D260" s="31"/>
      <c r="E260" s="31"/>
      <c r="F260" s="31"/>
    </row>
    <row r="261" spans="1:6" x14ac:dyDescent="0.3">
      <c r="A261" s="31"/>
      <c r="C261" s="31"/>
      <c r="D261" s="31"/>
      <c r="E261" s="31"/>
      <c r="F261" s="31"/>
    </row>
    <row r="262" spans="1:6" x14ac:dyDescent="0.3">
      <c r="A262" s="31"/>
      <c r="C262" s="31"/>
      <c r="D262" s="31"/>
      <c r="E262" s="31"/>
      <c r="F262" s="31"/>
    </row>
    <row r="263" spans="1:6" x14ac:dyDescent="0.3">
      <c r="A263" s="31"/>
      <c r="C263" s="31"/>
      <c r="D263" s="31"/>
      <c r="E263" s="31"/>
      <c r="F263" s="31"/>
    </row>
    <row r="264" spans="1:6" x14ac:dyDescent="0.3">
      <c r="A264" s="31"/>
      <c r="C264" s="31"/>
      <c r="D264" s="31"/>
      <c r="E264" s="31"/>
      <c r="F264" s="31"/>
    </row>
    <row r="265" spans="1:6" x14ac:dyDescent="0.3">
      <c r="A265" s="31"/>
      <c r="C265" s="31"/>
      <c r="D265" s="31"/>
      <c r="E265" s="31"/>
      <c r="F265" s="31"/>
    </row>
    <row r="266" spans="1:6" x14ac:dyDescent="0.3">
      <c r="A266" s="31"/>
      <c r="C266" s="31"/>
      <c r="D266" s="31"/>
      <c r="E266" s="31"/>
      <c r="F266" s="31"/>
    </row>
    <row r="267" spans="1:6" x14ac:dyDescent="0.3">
      <c r="A267" s="31"/>
      <c r="C267" s="31"/>
      <c r="D267" s="31"/>
      <c r="E267" s="31"/>
      <c r="F267" s="31"/>
    </row>
    <row r="268" spans="1:6" x14ac:dyDescent="0.3">
      <c r="A268" s="31"/>
      <c r="C268" s="31"/>
      <c r="D268" s="31"/>
      <c r="E268" s="31"/>
      <c r="F268" s="31"/>
    </row>
    <row r="269" spans="1:6" x14ac:dyDescent="0.3">
      <c r="A269" s="31"/>
      <c r="C269" s="31"/>
      <c r="D269" s="31"/>
      <c r="E269" s="31"/>
      <c r="F269" s="31"/>
    </row>
    <row r="270" spans="1:6" x14ac:dyDescent="0.3">
      <c r="A270" s="31"/>
      <c r="C270" s="31"/>
      <c r="D270" s="31"/>
      <c r="E270" s="31"/>
      <c r="F270" s="31"/>
    </row>
    <row r="271" spans="1:6" x14ac:dyDescent="0.3">
      <c r="A271" s="31"/>
      <c r="C271" s="31"/>
      <c r="D271" s="31"/>
      <c r="E271" s="31"/>
      <c r="F271" s="31"/>
    </row>
    <row r="272" spans="1:6" x14ac:dyDescent="0.3">
      <c r="A272" s="31"/>
      <c r="C272" s="31"/>
      <c r="D272" s="31"/>
      <c r="E272" s="31"/>
      <c r="F272" s="31"/>
    </row>
    <row r="273" spans="1:6" x14ac:dyDescent="0.3">
      <c r="A273" s="31"/>
      <c r="C273" s="31"/>
      <c r="D273" s="31"/>
      <c r="E273" s="31"/>
      <c r="F273" s="31"/>
    </row>
    <row r="274" spans="1:6" x14ac:dyDescent="0.3">
      <c r="A274" s="31"/>
      <c r="C274" s="31"/>
      <c r="D274" s="31"/>
      <c r="E274" s="31"/>
      <c r="F274" s="31"/>
    </row>
    <row r="275" spans="1:6" x14ac:dyDescent="0.3">
      <c r="A275" s="31"/>
      <c r="C275" s="31"/>
      <c r="D275" s="31"/>
      <c r="E275" s="31"/>
      <c r="F275" s="31"/>
    </row>
    <row r="276" spans="1:6" x14ac:dyDescent="0.3">
      <c r="A276" s="31"/>
      <c r="C276" s="31"/>
      <c r="D276" s="31"/>
      <c r="E276" s="31"/>
      <c r="F276" s="31"/>
    </row>
    <row r="277" spans="1:6" x14ac:dyDescent="0.3">
      <c r="A277" s="31"/>
      <c r="C277" s="31"/>
      <c r="D277" s="31"/>
      <c r="E277" s="31"/>
      <c r="F277" s="31"/>
    </row>
    <row r="278" spans="1:6" x14ac:dyDescent="0.3">
      <c r="A278" s="31"/>
      <c r="C278" s="31"/>
      <c r="D278" s="31"/>
      <c r="E278" s="31"/>
      <c r="F278" s="31"/>
    </row>
    <row r="279" spans="1:6" x14ac:dyDescent="0.3">
      <c r="A279" s="31"/>
      <c r="C279" s="31"/>
      <c r="D279" s="31"/>
      <c r="E279" s="31"/>
      <c r="F279" s="31"/>
    </row>
    <row r="280" spans="1:6" x14ac:dyDescent="0.3">
      <c r="A280" s="31"/>
      <c r="C280" s="31"/>
      <c r="D280" s="31"/>
      <c r="E280" s="31"/>
      <c r="F280" s="31"/>
    </row>
    <row r="281" spans="1:6" x14ac:dyDescent="0.3">
      <c r="A281" s="31"/>
      <c r="C281" s="31"/>
      <c r="D281" s="31"/>
      <c r="E281" s="31"/>
      <c r="F281" s="31"/>
    </row>
    <row r="282" spans="1:6" x14ac:dyDescent="0.3">
      <c r="A282" s="31"/>
      <c r="C282" s="31"/>
      <c r="D282" s="31"/>
      <c r="E282" s="31"/>
      <c r="F282" s="31"/>
    </row>
    <row r="283" spans="1:6" x14ac:dyDescent="0.3">
      <c r="A283" s="31"/>
      <c r="C283" s="31"/>
      <c r="D283" s="31"/>
      <c r="E283" s="31"/>
      <c r="F283" s="31"/>
    </row>
    <row r="284" spans="1:6" x14ac:dyDescent="0.3">
      <c r="A284" s="31"/>
      <c r="C284" s="31"/>
      <c r="D284" s="31"/>
      <c r="E284" s="31"/>
      <c r="F284" s="31"/>
    </row>
    <row r="285" spans="1:6" x14ac:dyDescent="0.3">
      <c r="A285" s="31"/>
      <c r="C285" s="31"/>
      <c r="D285" s="31"/>
      <c r="E285" s="31"/>
      <c r="F285" s="31"/>
    </row>
    <row r="286" spans="1:6" x14ac:dyDescent="0.3">
      <c r="A286" s="31"/>
      <c r="C286" s="31"/>
      <c r="D286" s="31"/>
      <c r="E286" s="31"/>
      <c r="F286" s="31"/>
    </row>
    <row r="287" spans="1:6" x14ac:dyDescent="0.3">
      <c r="A287" s="31"/>
      <c r="C287" s="31"/>
      <c r="D287" s="31"/>
      <c r="E287" s="31"/>
      <c r="F287" s="31"/>
    </row>
    <row r="288" spans="1:6" x14ac:dyDescent="0.3">
      <c r="A288" s="31"/>
      <c r="C288" s="31"/>
      <c r="D288" s="31"/>
      <c r="E288" s="31"/>
      <c r="F288" s="31"/>
    </row>
    <row r="289" spans="1:6" x14ac:dyDescent="0.3">
      <c r="A289" s="31"/>
      <c r="C289" s="31"/>
      <c r="D289" s="31"/>
      <c r="E289" s="31"/>
      <c r="F289" s="31"/>
    </row>
    <row r="290" spans="1:6" x14ac:dyDescent="0.3">
      <c r="A290" s="31"/>
      <c r="C290" s="31"/>
      <c r="D290" s="31"/>
      <c r="E290" s="31"/>
      <c r="F290" s="31"/>
    </row>
    <row r="291" spans="1:6" x14ac:dyDescent="0.3">
      <c r="A291" s="31"/>
      <c r="C291" s="31"/>
      <c r="D291" s="31"/>
      <c r="E291" s="31"/>
      <c r="F291" s="31"/>
    </row>
    <row r="292" spans="1:6" x14ac:dyDescent="0.3">
      <c r="A292" s="31"/>
      <c r="C292" s="31"/>
      <c r="D292" s="31"/>
      <c r="E292" s="31"/>
      <c r="F292" s="31"/>
    </row>
    <row r="293" spans="1:6" x14ac:dyDescent="0.3">
      <c r="A293" s="31"/>
      <c r="C293" s="31"/>
      <c r="D293" s="31"/>
      <c r="E293" s="31"/>
      <c r="F293" s="31"/>
    </row>
    <row r="294" spans="1:6" x14ac:dyDescent="0.3">
      <c r="A294" s="31"/>
      <c r="C294" s="31"/>
      <c r="D294" s="31"/>
      <c r="E294" s="31"/>
      <c r="F294" s="31"/>
    </row>
    <row r="295" spans="1:6" x14ac:dyDescent="0.3">
      <c r="A295" s="31"/>
      <c r="C295" s="31"/>
      <c r="D295" s="31"/>
      <c r="E295" s="31"/>
      <c r="F295" s="31"/>
    </row>
    <row r="296" spans="1:6" x14ac:dyDescent="0.3">
      <c r="A296" s="31"/>
      <c r="C296" s="31"/>
      <c r="D296" s="31"/>
      <c r="E296" s="31"/>
      <c r="F296" s="31"/>
    </row>
    <row r="297" spans="1:6" x14ac:dyDescent="0.3">
      <c r="A297" s="31"/>
      <c r="C297" s="31"/>
      <c r="D297" s="31"/>
      <c r="E297" s="31"/>
      <c r="F297" s="31"/>
    </row>
    <row r="298" spans="1:6" x14ac:dyDescent="0.3">
      <c r="A298" s="31"/>
      <c r="C298" s="31"/>
      <c r="D298" s="31"/>
      <c r="E298" s="31"/>
      <c r="F298" s="31"/>
    </row>
    <row r="299" spans="1:6" x14ac:dyDescent="0.3">
      <c r="A299" s="31"/>
      <c r="C299" s="31"/>
      <c r="D299" s="31"/>
      <c r="E299" s="31"/>
      <c r="F299" s="31"/>
    </row>
    <row r="300" spans="1:6" x14ac:dyDescent="0.3">
      <c r="A300" s="31"/>
      <c r="C300" s="31"/>
      <c r="D300" s="31"/>
      <c r="E300" s="31"/>
      <c r="F300" s="31"/>
    </row>
    <row r="301" spans="1:6" x14ac:dyDescent="0.3">
      <c r="A301" s="31"/>
      <c r="C301" s="31"/>
      <c r="D301" s="31"/>
      <c r="E301" s="31"/>
      <c r="F301" s="31"/>
    </row>
    <row r="302" spans="1:6" x14ac:dyDescent="0.3">
      <c r="A302" s="31"/>
      <c r="C302" s="31"/>
      <c r="D302" s="31"/>
      <c r="E302" s="31"/>
      <c r="F302" s="31"/>
    </row>
    <row r="303" spans="1:6" x14ac:dyDescent="0.3">
      <c r="A303" s="31"/>
      <c r="C303" s="31"/>
      <c r="D303" s="31"/>
      <c r="E303" s="31"/>
      <c r="F303" s="31"/>
    </row>
    <row r="304" spans="1:6" x14ac:dyDescent="0.3">
      <c r="A304" s="31"/>
      <c r="C304" s="31"/>
      <c r="D304" s="31"/>
      <c r="E304" s="31"/>
      <c r="F304" s="31"/>
    </row>
    <row r="305" spans="1:6" x14ac:dyDescent="0.3">
      <c r="A305" s="31"/>
      <c r="C305" s="31"/>
      <c r="D305" s="31"/>
      <c r="E305" s="31"/>
      <c r="F305" s="31"/>
    </row>
    <row r="306" spans="1:6" x14ac:dyDescent="0.3">
      <c r="A306" s="31"/>
      <c r="C306" s="31"/>
      <c r="D306" s="31"/>
      <c r="E306" s="31"/>
      <c r="F306" s="31"/>
    </row>
    <row r="307" spans="1:6" x14ac:dyDescent="0.3">
      <c r="A307" s="31"/>
      <c r="C307" s="31"/>
      <c r="D307" s="31"/>
      <c r="E307" s="31"/>
      <c r="F307" s="31"/>
    </row>
    <row r="308" spans="1:6" x14ac:dyDescent="0.3">
      <c r="A308" s="31"/>
      <c r="C308" s="31"/>
      <c r="D308" s="31"/>
      <c r="E308" s="31"/>
      <c r="F308" s="31"/>
    </row>
    <row r="309" spans="1:6" x14ac:dyDescent="0.3">
      <c r="A309" s="31"/>
      <c r="C309" s="31"/>
      <c r="D309" s="31"/>
      <c r="E309" s="31"/>
      <c r="F309" s="31"/>
    </row>
    <row r="310" spans="1:6" x14ac:dyDescent="0.3">
      <c r="A310" s="31"/>
      <c r="C310" s="31"/>
      <c r="D310" s="31"/>
      <c r="E310" s="31"/>
      <c r="F310" s="31"/>
    </row>
    <row r="311" spans="1:6" x14ac:dyDescent="0.3">
      <c r="A311" s="31"/>
      <c r="C311" s="31"/>
      <c r="D311" s="31"/>
      <c r="E311" s="31"/>
      <c r="F311" s="31"/>
    </row>
    <row r="312" spans="1:6" x14ac:dyDescent="0.3">
      <c r="A312" s="31"/>
      <c r="C312" s="31"/>
      <c r="D312" s="31"/>
      <c r="E312" s="31"/>
      <c r="F312" s="31"/>
    </row>
    <row r="313" spans="1:6" x14ac:dyDescent="0.3">
      <c r="A313" s="31"/>
      <c r="C313" s="31"/>
      <c r="D313" s="31"/>
      <c r="E313" s="31"/>
      <c r="F313" s="31"/>
    </row>
    <row r="314" spans="1:6" x14ac:dyDescent="0.3">
      <c r="A314" s="31"/>
      <c r="C314" s="31"/>
      <c r="D314" s="31"/>
      <c r="E314" s="31"/>
      <c r="F314" s="31"/>
    </row>
    <row r="315" spans="1:6" x14ac:dyDescent="0.3">
      <c r="A315" s="31"/>
      <c r="C315" s="31"/>
      <c r="D315" s="31"/>
      <c r="E315" s="31"/>
      <c r="F315" s="31"/>
    </row>
    <row r="316" spans="1:6" x14ac:dyDescent="0.3">
      <c r="A316" s="31"/>
      <c r="C316" s="31"/>
      <c r="D316" s="31"/>
      <c r="E316" s="31"/>
      <c r="F316" s="31"/>
    </row>
    <row r="317" spans="1:6" x14ac:dyDescent="0.3">
      <c r="A317" s="31"/>
      <c r="C317" s="31"/>
      <c r="D317" s="31"/>
      <c r="E317" s="31"/>
      <c r="F317" s="31"/>
    </row>
    <row r="318" spans="1:6" x14ac:dyDescent="0.3">
      <c r="A318" s="31"/>
      <c r="C318" s="31"/>
      <c r="D318" s="31"/>
      <c r="E318" s="31"/>
      <c r="F318" s="31"/>
    </row>
  </sheetData>
  <mergeCells count="1">
    <mergeCell ref="B1:N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QuoteCreatorES</vt:lpstr>
      <vt:lpstr>ES_Additional_Insured</vt:lpstr>
      <vt:lpstr>ES_LegalEntityLocations</vt:lpstr>
      <vt:lpstr>ES_BeneficialOwners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2024-10-31T12:18:30Z</dcterms:modified>
</cp:coreProperties>
</file>
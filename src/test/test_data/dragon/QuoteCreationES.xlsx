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dtrnavac_privilegeunderwriters_com/Documents/Desktop/GitHub/qa-automation-dragon-usa/src/test/test_data/dragon/"/>
    </mc:Choice>
  </mc:AlternateContent>
  <xr:revisionPtr revIDLastSave="2" documentId="13_ncr:1_{839EF9AE-FD4E-40EE-9238-F43C13BEAAC1}" xr6:coauthVersionLast="47" xr6:coauthVersionMax="47" xr10:uidLastSave="{E3D3339A-E6A3-4E55-936C-BC186CB9CA06}"/>
  <bookViews>
    <workbookView xWindow="-108" yWindow="-108" windowWidth="23256" windowHeight="12456" xr2:uid="{00000000-000D-0000-FFFF-FFFF00000000}"/>
  </bookViews>
  <sheets>
    <sheet name="QuoteCreatorES" sheetId="9" r:id="rId1"/>
    <sheet name="ES_Additional_Insured" sheetId="11" r:id="rId2"/>
    <sheet name="ES_LegalEntityLocations" sheetId="10" r:id="rId3"/>
    <sheet name="ES_BeneficialOwners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8" i="9" l="1"/>
  <c r="BS18" i="9"/>
  <c r="BR18" i="9"/>
  <c r="B18" i="9"/>
  <c r="EJ17" i="9"/>
  <c r="EJ16" i="9"/>
  <c r="EJ15" i="9"/>
  <c r="EJ14" i="9"/>
  <c r="EJ13" i="9"/>
  <c r="EJ12" i="9"/>
  <c r="EJ11" i="9"/>
  <c r="B11" i="9" l="1"/>
  <c r="B12" i="9"/>
  <c r="B13" i="9"/>
  <c r="B14" i="9"/>
  <c r="B15" i="9"/>
  <c r="B16" i="9"/>
  <c r="B17" i="9"/>
  <c r="EJ10" i="9"/>
  <c r="BS10" i="9"/>
  <c r="BR10" i="9"/>
  <c r="B10" i="9"/>
  <c r="EJ4" i="9"/>
  <c r="BS4" i="9"/>
  <c r="BR4" i="9"/>
  <c r="B4" i="9"/>
  <c r="EJ9" i="9" l="1"/>
  <c r="EJ8" i="9"/>
  <c r="EJ7" i="9"/>
  <c r="EJ6" i="9"/>
  <c r="EJ5" i="9"/>
  <c r="EJ3" i="9"/>
  <c r="BS9" i="9" l="1"/>
  <c r="BS8" i="9"/>
  <c r="BS7" i="9"/>
  <c r="BS6" i="9"/>
  <c r="BS5" i="9"/>
  <c r="BS3" i="9"/>
  <c r="BR9" i="9" l="1"/>
  <c r="BR8" i="9"/>
  <c r="BR7" i="9"/>
  <c r="BR6" i="9"/>
  <c r="BR5" i="9"/>
  <c r="BR3" i="9"/>
  <c r="B9" i="9" l="1"/>
  <c r="B8" i="9"/>
  <c r="B7" i="9"/>
  <c r="B6" i="9"/>
  <c r="B5" i="9"/>
  <c r="B3" i="9"/>
</calcChain>
</file>

<file path=xl/sharedStrings.xml><?xml version="1.0" encoding="utf-8"?>
<sst xmlns="http://schemas.openxmlformats.org/spreadsheetml/2006/main" count="2426" uniqueCount="469">
  <si>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</si>
  <si>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</si>
  <si>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</si>
  <si>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</si>
  <si>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</si>
  <si>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</si>
  <si>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</si>
  <si>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</si>
  <si>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</si>
  <si>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</si>
  <si>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</si>
  <si>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</si>
  <si>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</si>
  <si>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</si>
  <si>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</si>
  <si>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</si>
  <si>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</si>
  <si>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</si>
  <si>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</si>
  <si>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</si>
  <si>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</si>
  <si>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</si>
  <si>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</si>
  <si>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</si>
  <si>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</si>
  <si>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</si>
  <si>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Occupation</t>
  </si>
  <si>
    <t>Employer</t>
  </si>
  <si>
    <t>Manchester</t>
  </si>
  <si>
    <t>CA</t>
  </si>
  <si>
    <t>CT</t>
  </si>
  <si>
    <t>MA</t>
  </si>
  <si>
    <t>NY</t>
  </si>
  <si>
    <t>FL</t>
  </si>
  <si>
    <t>TX</t>
  </si>
  <si>
    <t>1000</t>
  </si>
  <si>
    <t>Other</t>
  </si>
  <si>
    <t>Named_Insured_Type</t>
  </si>
  <si>
    <t>Individual</t>
  </si>
  <si>
    <t>Excess Liability</t>
  </si>
  <si>
    <t>Domestic_Employees</t>
  </si>
  <si>
    <t>Excess_Liability_Limit</t>
  </si>
  <si>
    <t>1,000,000</t>
  </si>
  <si>
    <t>UIM_Limit</t>
  </si>
  <si>
    <t>Underinsured_Liability_Limit</t>
  </si>
  <si>
    <t>No Coverage</t>
  </si>
  <si>
    <t>License_State</t>
  </si>
  <si>
    <t>License_Number</t>
  </si>
  <si>
    <t>Notes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</si>
  <si>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</si>
  <si>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</si>
  <si>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</si>
  <si>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</si>
  <si>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</si>
  <si>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</si>
  <si>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</si>
  <si>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</si>
  <si>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</si>
  <si>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TC_ID</t>
  </si>
  <si>
    <t>Current_Premium</t>
  </si>
  <si>
    <t>AIG</t>
  </si>
  <si>
    <t>145 E 39th St</t>
  </si>
  <si>
    <t>1604 Monterey St</t>
  </si>
  <si>
    <t>39 Dalton St</t>
  </si>
  <si>
    <t>191 Spencer St</t>
  </si>
  <si>
    <t>4501 S IH 35 Frontage Rd</t>
  </si>
  <si>
    <t>1815 E West Pkwy</t>
  </si>
  <si>
    <t>New York</t>
  </si>
  <si>
    <t>SAN LUIS OBISPO</t>
  </si>
  <si>
    <t>BOSTON</t>
  </si>
  <si>
    <t>Austin</t>
  </si>
  <si>
    <t>Fleming Island</t>
  </si>
  <si>
    <t>10016</t>
  </si>
  <si>
    <t>93401</t>
  </si>
  <si>
    <t>02199</t>
  </si>
  <si>
    <t>06040</t>
  </si>
  <si>
    <t>78744</t>
  </si>
  <si>
    <t>32003</t>
  </si>
  <si>
    <t>Patty1 Clement</t>
  </si>
  <si>
    <t>Licensed_Producer_DEV</t>
  </si>
  <si>
    <t>Advisor_Servicer_DEV</t>
  </si>
  <si>
    <t>50,000</t>
  </si>
  <si>
    <t>Quote_Name</t>
  </si>
  <si>
    <t>Surplus</t>
  </si>
  <si>
    <t>Automation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</si>
  <si>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</si>
  <si>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</si>
  <si>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</si>
  <si>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</si>
  <si>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</si>
  <si>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</si>
  <si>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</si>
  <si>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</si>
  <si>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</si>
  <si>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</si>
  <si>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</si>
  <si>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</si>
  <si>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</si>
  <si>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</si>
  <si>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</si>
  <si>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</si>
  <si>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999999</t>
  </si>
  <si>
    <t>ES / Operator Information / auto CLUE reports</t>
  </si>
  <si>
    <t>Household_Members</t>
  </si>
  <si>
    <t>Household_Locations</t>
  </si>
  <si>
    <t>Gender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</si>
  <si>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</si>
  <si>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</si>
  <si>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</si>
  <si>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</si>
  <si>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</si>
  <si>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CA_001</t>
  </si>
  <si>
    <t>CT_001</t>
  </si>
  <si>
    <t>MA_001</t>
  </si>
  <si>
    <t>NY_001</t>
  </si>
  <si>
    <t>FL_001</t>
  </si>
  <si>
    <t>TX_001</t>
  </si>
  <si>
    <t>Underwriter</t>
  </si>
  <si>
    <t>XXX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</si>
  <si>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</si>
  <si>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</si>
  <si>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</si>
  <si>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</si>
  <si>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</si>
  <si>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</si>
  <si>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</si>
  <si>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</si>
  <si>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</si>
  <si>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</si>
  <si>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</si>
  <si>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</si>
  <si>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</si>
  <si>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</si>
  <si>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</si>
  <si>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</si>
  <si>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</si>
  <si>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</si>
  <si>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</si>
  <si>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</si>
  <si>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</si>
  <si>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</si>
  <si>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</si>
  <si>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</si>
  <si>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</si>
  <si>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</si>
  <si>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</si>
  <si>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</si>
  <si>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</si>
  <si>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</si>
  <si>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</si>
  <si>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800391600</t>
  </si>
  <si>
    <t>Smoke</t>
  </si>
  <si>
    <t>Co</t>
  </si>
  <si>
    <t>NY_101</t>
  </si>
  <si>
    <t>23 East State Street</t>
  </si>
  <si>
    <t>Gloversville</t>
  </si>
  <si>
    <t>12078</t>
  </si>
  <si>
    <t>Alexis</t>
  </si>
  <si>
    <t>Castle</t>
  </si>
  <si>
    <t>01/30/1975</t>
  </si>
  <si>
    <t>Extended Smoke</t>
  </si>
  <si>
    <t>Gender X</t>
  </si>
  <si>
    <t>789235</t>
  </si>
  <si>
    <t>Additional Insured Page - Additional Insured Block</t>
  </si>
  <si>
    <t>Insured_ID</t>
  </si>
  <si>
    <t>Additional_Insured_Type</t>
  </si>
  <si>
    <t>Additional_Insured_LLC_Trust</t>
  </si>
  <si>
    <t>Additional_Insured_Name</t>
  </si>
  <si>
    <t>Additional_Insured_Street</t>
  </si>
  <si>
    <t>Additional_Insured_City</t>
  </si>
  <si>
    <t>Additional_Insured_State</t>
  </si>
  <si>
    <t>Additional_Insured_ZIP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</si>
  <si>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</si>
  <si>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</si>
  <si>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</si>
  <si>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</si>
  <si>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</si>
  <si>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</si>
  <si>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Household_Entity_Locations_LLC</t>
  </si>
  <si>
    <t>Beneficial_Owners_LLC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</si>
  <si>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</si>
  <si>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</si>
  <si>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</si>
  <si>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</si>
  <si>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</si>
  <si>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</si>
  <si>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</si>
  <si>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Insured_001</t>
  </si>
  <si>
    <t>Additional Insured</t>
  </si>
  <si>
    <t>Test1</t>
  </si>
  <si>
    <t>32007</t>
  </si>
  <si>
    <t>Houston</t>
  </si>
  <si>
    <t>LLC</t>
  </si>
  <si>
    <t>IT</t>
  </si>
  <si>
    <t>36210</t>
  </si>
  <si>
    <t>Location_001_LLC,</t>
  </si>
  <si>
    <t>Principal_Beneficial_Owner_001</t>
  </si>
  <si>
    <t>Test</t>
  </si>
  <si>
    <t>Insured_002</t>
  </si>
  <si>
    <t>Test2</t>
  </si>
  <si>
    <t>Location_002_LLC,Location_001_LLC,</t>
  </si>
  <si>
    <t>Testing</t>
  </si>
  <si>
    <t>Insured_003</t>
  </si>
  <si>
    <t>Additional Insured - Legal Entity</t>
  </si>
  <si>
    <t>Test3</t>
  </si>
  <si>
    <t>Principal_Beneficial_Owner_002,Principal_Beneficial_Owner_001</t>
  </si>
  <si>
    <t>Testiing</t>
  </si>
  <si>
    <t>ES</t>
  </si>
  <si>
    <t>Legal Entity Locations</t>
  </si>
  <si>
    <t>Location_ID</t>
  </si>
  <si>
    <t>Location_001_LLC</t>
  </si>
  <si>
    <t>2625 S Greaves Pl</t>
  </si>
  <si>
    <t>Cornville</t>
  </si>
  <si>
    <t>AZ</t>
  </si>
  <si>
    <t>86325</t>
  </si>
  <si>
    <t>Location_002_LLC</t>
  </si>
  <si>
    <t>3000 S Greaves Pl</t>
  </si>
  <si>
    <t>Principal Beneficial Owner</t>
  </si>
  <si>
    <t>Trust LLC Other Legal Entity - Principal Beneficial Owner Block</t>
  </si>
  <si>
    <t>Principal_Beneficial_Owner_ID</t>
  </si>
  <si>
    <t>Jonny</t>
  </si>
  <si>
    <t>Bravo</t>
  </si>
  <si>
    <t>Principal/Beneficial Owner</t>
  </si>
  <si>
    <t>Son</t>
  </si>
  <si>
    <t>Principal_Beneficial_Owner_002</t>
  </si>
  <si>
    <t>BravoTwo</t>
  </si>
  <si>
    <t>Employee</t>
  </si>
  <si>
    <t>Additional_Insured</t>
  </si>
  <si>
    <t>Additional Insured Page</t>
  </si>
  <si>
    <t>,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</si>
  <si>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</si>
  <si>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</si>
  <si>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</si>
  <si>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</si>
  <si>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</si>
  <si>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</si>
  <si>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</si>
  <si>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</si>
  <si>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</si>
  <si>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</si>
  <si>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Additional_Insured_Address_Dropdown_Liability_Coverage</t>
  </si>
  <si>
    <t>Additional_Insured_Address_Form_Liability_Coverage</t>
  </si>
  <si>
    <t>Additional_Insured_Property_Description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</si>
  <si>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</si>
  <si>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</si>
  <si>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</si>
  <si>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</si>
  <si>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</si>
  <si>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</si>
  <si>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</si>
  <si>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</si>
  <si>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</si>
  <si>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</si>
  <si>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</si>
  <si>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</si>
  <si>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SC</t>
  </si>
  <si>
    <t>221 James L Taylor Road</t>
  </si>
  <si>
    <t>Ridgeland</t>
  </si>
  <si>
    <t>29936</t>
  </si>
  <si>
    <t>SC_001</t>
  </si>
  <si>
    <t>LLC/Trust Page - First Block Questions</t>
  </si>
  <si>
    <t>LLC/Trust Page - Legal Entities and Owners</t>
  </si>
  <si>
    <t>LLC/Trust Page - Questionnaire Block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</si>
  <si>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</si>
  <si>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</si>
  <si>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</si>
  <si>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</si>
  <si>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</si>
  <si>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</si>
  <si>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Household_Entity_Locations</t>
  </si>
  <si>
    <t>Principal_Beneficial_Owners</t>
  </si>
  <si>
    <t xml:space="preserve">Please_Provide_Additional_Details_What_Is_The_Intent_Or_Purpose_Of_The_Entity </t>
  </si>
  <si>
    <t>Please_Provide_Additional_Details_Does_The_Entity_Generate_Income_Or_Conduct_Business_Details</t>
  </si>
  <si>
    <t>Please_Provide_Additional_Details_Does_The_Entity_Generate_Income_In_Any_Other_Ways_Details</t>
  </si>
  <si>
    <t>Please_Provide_Additional_Details_Does_The_Entity_Own_Any_Other_Real_Estate_Vehicles_Watercraft_Or_Other_Tangible_Assets_Details</t>
  </si>
  <si>
    <t>AL_001</t>
  </si>
  <si>
    <t>GA_001</t>
  </si>
  <si>
    <t>LA_001</t>
  </si>
  <si>
    <t>MS_001</t>
  </si>
  <si>
    <t>NC_001</t>
  </si>
  <si>
    <t>ND_001</t>
  </si>
  <si>
    <t>AL</t>
  </si>
  <si>
    <t>GA</t>
  </si>
  <si>
    <t>LA</t>
  </si>
  <si>
    <t>MS</t>
  </si>
  <si>
    <t>NC</t>
  </si>
  <si>
    <t>ND</t>
  </si>
  <si>
    <t>NJ</t>
  </si>
  <si>
    <t>2922 Topeka St</t>
  </si>
  <si>
    <t>Gadsden</t>
  </si>
  <si>
    <t>35904</t>
  </si>
  <si>
    <t>Jonny Bravo</t>
  </si>
  <si>
    <t>Po Box 957135</t>
  </si>
  <si>
    <t>Duluth</t>
  </si>
  <si>
    <t>30095</t>
  </si>
  <si>
    <t>103 Lestin Rd</t>
  </si>
  <si>
    <t>Slidell</t>
  </si>
  <si>
    <t>103 Lestin Rd - , Slidell , LA , 70460</t>
  </si>
  <si>
    <t>22206 Berry Rd</t>
  </si>
  <si>
    <t>Pheba</t>
  </si>
  <si>
    <t>39755</t>
  </si>
  <si>
    <t>22206 Berry Rd - , Pheba , MS , 39755</t>
  </si>
  <si>
    <t>4301 La Vale Ct</t>
  </si>
  <si>
    <t>Clemmons</t>
  </si>
  <si>
    <t>27012</t>
  </si>
  <si>
    <t>4301 La Vale Ct - , Clemmons , NC , 27012</t>
  </si>
  <si>
    <t>219 7th St S</t>
  </si>
  <si>
    <t>La Vista</t>
  </si>
  <si>
    <t>68128</t>
  </si>
  <si>
    <t>219 7th St S - , La Vista , ND , 68128</t>
  </si>
  <si>
    <t>200 Bristol Glen Dr</t>
  </si>
  <si>
    <t>Newton</t>
  </si>
  <si>
    <t>07860</t>
  </si>
  <si>
    <t>200 Bristol Glen Dr - , Newton , NJ ,  07860</t>
  </si>
  <si>
    <t>Credit Score/Tiers Block</t>
  </si>
  <si>
    <t>Credit_Score_Tiers_Insurance_Score_Tier</t>
  </si>
  <si>
    <t>Credit_Score_Tiers_Insurance_Score_For_Rating</t>
  </si>
  <si>
    <t>Credit_Score_Tiers_Insurance_Score_Type</t>
  </si>
  <si>
    <t>Credit_Score_Tiers_Date_Pulled</t>
  </si>
  <si>
    <t>Underwriting_Company_Underwriting_Company</t>
  </si>
  <si>
    <t>Underwriting_ Company</t>
  </si>
  <si>
    <t>Underwriting_Company_Manager_Override</t>
  </si>
  <si>
    <t>PURE Specialty Exchange</t>
  </si>
  <si>
    <t>Additional_Operator_Prefix</t>
  </si>
  <si>
    <t>Additional_Operator_FirstName</t>
  </si>
  <si>
    <t>Additional_Operator_License_State</t>
  </si>
  <si>
    <t>Additional_Operator_License_Number</t>
  </si>
  <si>
    <t>Additional_Operator_Gender</t>
  </si>
  <si>
    <t>Operator Information Page - Additional Operators</t>
  </si>
  <si>
    <t>Additional_Operators_Num</t>
  </si>
  <si>
    <t>0</t>
  </si>
  <si>
    <t>1</t>
  </si>
  <si>
    <t>Additional_Operator_MI</t>
  </si>
  <si>
    <t>Additional_Operator_LastName</t>
  </si>
  <si>
    <t>Additional_Operator_Suffix</t>
  </si>
  <si>
    <t>Additional_Operator_DOB</t>
  </si>
  <si>
    <t>2</t>
  </si>
  <si>
    <t>Mr.,</t>
  </si>
  <si>
    <t>Mr.,Mr.,</t>
  </si>
  <si>
    <t>Youth ,Mature</t>
  </si>
  <si>
    <t>Operator,</t>
  </si>
  <si>
    <t>Opeartor,Opeartor</t>
  </si>
  <si>
    <t>Two,</t>
  </si>
  <si>
    <t>Jr.,Sr.</t>
  </si>
  <si>
    <t>Jr.,</t>
  </si>
  <si>
    <t>O,</t>
  </si>
  <si>
    <t>10/18/1979,11/14/2003</t>
  </si>
  <si>
    <t>07/07/1977,</t>
  </si>
  <si>
    <t>AL,</t>
  </si>
  <si>
    <t>GA,GA,</t>
  </si>
  <si>
    <t>1111111,222222</t>
  </si>
  <si>
    <t>987654321,</t>
  </si>
  <si>
    <t>Additional_Operator_Relationship_To_Insured</t>
  </si>
  <si>
    <t>Assistant,Aunt/Uncle,</t>
  </si>
  <si>
    <t>Spouse,</t>
  </si>
  <si>
    <t>Additional_Operator_Exclude</t>
  </si>
  <si>
    <t>Incidents_Num</t>
  </si>
  <si>
    <t>Male,</t>
  </si>
  <si>
    <t>Male,Male,</t>
  </si>
  <si>
    <t>O,M</t>
  </si>
  <si>
    <t>Excluded,</t>
  </si>
  <si>
    <t>Excluded,No,</t>
  </si>
  <si>
    <t>Incident_Driver</t>
  </si>
  <si>
    <t>Incidents</t>
  </si>
  <si>
    <t xml:space="preserve">PURE, </t>
  </si>
  <si>
    <t xml:space="preserve">PURE,PURE, </t>
  </si>
  <si>
    <t>Jonny Bravo,</t>
  </si>
  <si>
    <t>Jonny Bravo,Jonny Bravo</t>
  </si>
  <si>
    <t>Defective Equipment,</t>
  </si>
  <si>
    <t>Following too close,Minor moving violation,</t>
  </si>
  <si>
    <t>07/26/2019,12/14/2020</t>
  </si>
  <si>
    <t>12/14/2020</t>
  </si>
  <si>
    <t>Po Box 957135  -   , Duluth  , GA  , 30095</t>
  </si>
  <si>
    <t>2922 Topeka St -  , Gadsden , AL , 35904</t>
  </si>
  <si>
    <t>Incident_Source</t>
  </si>
  <si>
    <t>Incident_Accident_Or_Violation</t>
  </si>
  <si>
    <t>Incident_Accident_Or_Conviction_Date</t>
  </si>
  <si>
    <t>Insurance_Score</t>
  </si>
  <si>
    <t>Watercraft_Make</t>
  </si>
  <si>
    <t>Watercraft_Model</t>
  </si>
  <si>
    <t>Watercraft_Hull_Value</t>
  </si>
  <si>
    <t>Watercraft_Horsepower</t>
  </si>
  <si>
    <t>NY_002</t>
  </si>
  <si>
    <t>Watercraft_Length</t>
  </si>
  <si>
    <t>NJ,</t>
  </si>
  <si>
    <t>Uncle,</t>
  </si>
  <si>
    <t>Coverage Information Page</t>
  </si>
  <si>
    <t>Optional_Coverages_Exclusions_Equine_Liability_Coverage</t>
  </si>
  <si>
    <t>Excess_Underlying_Policies_Does_The_Member_Have_Excess_Policy</t>
  </si>
  <si>
    <t>5%</t>
  </si>
  <si>
    <t>Optional_Coverages_Exclusions_Animal_Liability_Exclusion</t>
  </si>
  <si>
    <t>Optional_Coverages_Exclusions_Automobile_Liability_Exclusion</t>
  </si>
  <si>
    <t>Optional_Coverages_Exclusions_Coinsurance_Clause</t>
  </si>
  <si>
    <t>Optional_Coverages_Exclusions_Coinsurance_Clause_Limit</t>
  </si>
  <si>
    <t>Optional_Coverages_Exclusions_Employers_Liability_Exclusion</t>
  </si>
  <si>
    <t>Optional_Coverages_Exclusions_Exclusion_For_Permissive_Use</t>
  </si>
  <si>
    <t>Optional_Coverages_Exclusions_Extended_Coverage_For_Rented_Or_Borrowed_Autos</t>
  </si>
  <si>
    <t>Optional_Coverages_Exclusions_Libel_Slander_Exclusion</t>
  </si>
  <si>
    <t>Optional_Coverages_Exclusions_Personal_Injury_Exclusion</t>
  </si>
  <si>
    <t>Optional_Coverages_Exclusions_Political_Activity_Exclusion</t>
  </si>
  <si>
    <t>Optional_Coverages_Exclusions_Premises_Liability_Limitation</t>
  </si>
  <si>
    <t>Optional_Coverages_Exclusions_Sub-Limit_For_Permissive_Use</t>
  </si>
  <si>
    <t>Optional_Coverages_Exclusions_Sub-Limit_For_Permissive_Use_Limit</t>
  </si>
  <si>
    <t>Optional_Coverages_Exclusions_Sub-Limit_For_Named_Operator</t>
  </si>
  <si>
    <t>Yes,No,</t>
  </si>
  <si>
    <t>Additional_Property_Is_Residence_Rented</t>
  </si>
  <si>
    <t>Additional_Property_Information_How_Many_Weeks_Per_Year_Is_The_Property_Rented</t>
  </si>
  <si>
    <t>Additional_Property_Information_What_Is_The_Minimum_Night_Stay</t>
  </si>
  <si>
    <t>No,Yes,</t>
  </si>
  <si>
    <t>,&lt; 10,</t>
  </si>
  <si>
    <t>Watercraft_Num</t>
  </si>
  <si>
    <t>Watercraft 1,Watercraft 2,</t>
  </si>
  <si>
    <t>Vehicles and Watercraft Page - Watercraft Information Block</t>
  </si>
  <si>
    <t>Jet Ski,TUG BOAT,</t>
  </si>
  <si>
    <t>999999,999000,</t>
  </si>
  <si>
    <t>24,40</t>
  </si>
  <si>
    <t>40,50,</t>
  </si>
  <si>
    <t>$1,000,000</t>
  </si>
  <si>
    <t>,7+,</t>
  </si>
  <si>
    <t>Vehicles and Watercraft Page - Additional Vehicle Block</t>
  </si>
  <si>
    <t>Vehicles_Num</t>
  </si>
  <si>
    <t>Vehicles_Type</t>
  </si>
  <si>
    <t>Vehicles_Make</t>
  </si>
  <si>
    <t>Vehicles_Model</t>
  </si>
  <si>
    <t>Vehicles_Exclude</t>
  </si>
  <si>
    <t>Vehicles_High_Performance_Override</t>
  </si>
  <si>
    <t>Vehicles_High_Performance</t>
  </si>
  <si>
    <t>Vehicles_Body_Type</t>
  </si>
  <si>
    <t>Private Passenger,Classic Collectors Car</t>
  </si>
  <si>
    <t>Acura,Rolls-Royce</t>
  </si>
  <si>
    <t>,Yes,</t>
  </si>
  <si>
    <t>Vehicles_Year</t>
  </si>
  <si>
    <t>2000,1999,</t>
  </si>
  <si>
    <t>Utility Vehicle - Four-Wheel Drive 4-Door,</t>
  </si>
  <si>
    <t>Dr.,</t>
  </si>
  <si>
    <t>Not in Household,</t>
  </si>
  <si>
    <t xml:space="preserve"> Property Information / Additional Property Information</t>
  </si>
  <si>
    <t>Swimming_Pool</t>
  </si>
  <si>
    <t>Usage</t>
  </si>
  <si>
    <t>Dwelling_Type</t>
  </si>
  <si>
    <t>Is_Residence_Rented</t>
  </si>
  <si>
    <t>Property_Information_How_Many_Weeks_Per_Year_Is_The_Property_Rented</t>
  </si>
  <si>
    <t>Property_Information_What_Is_The_Minimum_Night_Stay</t>
  </si>
  <si>
    <t>Primary</t>
  </si>
  <si>
    <t>Homeowner</t>
  </si>
  <si>
    <t>&lt; 10</t>
  </si>
  <si>
    <t>&lt; 3</t>
  </si>
  <si>
    <t>Additional_Properties_Num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</si>
  <si>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</si>
  <si>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</si>
  <si>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</si>
  <si>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</si>
  <si>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</si>
  <si>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</si>
  <si>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</si>
  <si>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1404 N River Ridge Blvd,36214 N Milan Elk Rd,</t>
  </si>
  <si>
    <t>Spokane,Chattaroy,</t>
  </si>
  <si>
    <t>WA,WA,</t>
  </si>
  <si>
    <t>99224,99003,</t>
  </si>
  <si>
    <t>Secondary,Secondary,</t>
  </si>
  <si>
    <t>Condo/Co-op,Condo/Co-op,</t>
  </si>
  <si>
    <t>3.5RL,R100,</t>
  </si>
  <si>
    <t>Employment_Practices_Liability_Limit</t>
  </si>
  <si>
    <t>How_Many_Employees</t>
  </si>
  <si>
    <t>Directors_And_Officers_Liability_Limit</t>
  </si>
  <si>
    <t>Carly Barnes</t>
  </si>
  <si>
    <t>Optional_Coverages_Exclusions_Named_Operator_Limit</t>
  </si>
  <si>
    <t>Dr. Operator Operator,Dr. Operator Operator,</t>
  </si>
  <si>
    <t>NJ_001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</si>
</sst>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1" fillId="6" borderId="7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9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164" fontId="1" fillId="6" borderId="8" xfId="0" applyNumberFormat="1" applyFont="1" applyFill="1" applyBorder="1" applyAlignment="1">
      <alignment horizontal="left" vertical="top"/>
    </xf>
    <xf numFmtId="49" fontId="5" fillId="6" borderId="6" xfId="0" applyNumberFormat="1" applyFont="1" applyFill="1" applyBorder="1" applyAlignment="1">
      <alignment horizontal="left" vertical="top"/>
    </xf>
    <xf numFmtId="49" fontId="5" fillId="5" borderId="10" xfId="0" applyNumberFormat="1" applyFont="1" applyFill="1" applyBorder="1" applyAlignment="1">
      <alignment vertical="top"/>
    </xf>
    <xf numFmtId="49" fontId="5" fillId="5" borderId="0" xfId="0" applyNumberFormat="1" applyFont="1" applyFill="1" applyAlignment="1">
      <alignment vertical="top"/>
    </xf>
    <xf numFmtId="49" fontId="6" fillId="6" borderId="6" xfId="0" applyNumberFormat="1" applyFont="1" applyFill="1" applyBorder="1" applyAlignment="1">
      <alignment horizontal="left" vertical="top"/>
    </xf>
    <xf numFmtId="49" fontId="6" fillId="6" borderId="11" xfId="0" applyNumberFormat="1" applyFon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5" fillId="7" borderId="12" xfId="0" applyNumberFormat="1" applyFont="1" applyFill="1" applyBorder="1" applyAlignment="1">
      <alignment horizontal="left" vertical="top"/>
    </xf>
    <xf numFmtId="49" fontId="5" fillId="7" borderId="13" xfId="0" applyNumberFormat="1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5" fillId="7" borderId="7" xfId="0" applyFont="1" applyFill="1" applyBorder="1" applyAlignment="1">
      <alignment horizontal="left" vertical="top"/>
    </xf>
    <xf numFmtId="49" fontId="6" fillId="6" borderId="8" xfId="0" applyNumberFormat="1" applyFont="1" applyFill="1" applyBorder="1" applyAlignment="1">
      <alignment horizontal="left" vertical="top"/>
    </xf>
    <xf numFmtId="49" fontId="6" fillId="6" borderId="7" xfId="0" applyNumberFormat="1" applyFont="1" applyFill="1" applyBorder="1" applyAlignment="1">
      <alignment horizontal="left" vertical="top"/>
    </xf>
    <xf numFmtId="0" fontId="5" fillId="6" borderId="7" xfId="0" applyFont="1" applyFill="1" applyBorder="1" applyAlignment="1">
      <alignment horizontal="left" vertical="top"/>
    </xf>
    <xf numFmtId="49" fontId="5" fillId="6" borderId="9" xfId="0" applyNumberFormat="1" applyFon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5" fillId="6" borderId="5" xfId="0" applyFont="1" applyFill="1" applyBorder="1" applyAlignment="1">
      <alignment horizontal="left" vertical="top"/>
    </xf>
    <xf numFmtId="49" fontId="6" fillId="7" borderId="7" xfId="0" applyNumberFormat="1" applyFont="1" applyFill="1" applyBorder="1" applyAlignment="1">
      <alignment horizontal="left" vertical="top"/>
    </xf>
    <xf numFmtId="49" fontId="7" fillId="8" borderId="8" xfId="0" applyNumberFormat="1" applyFont="1" applyFill="1" applyBorder="1" applyAlignment="1">
      <alignment horizontal="left" vertical="top"/>
    </xf>
    <xf numFmtId="49" fontId="1" fillId="9" borderId="15" xfId="0" applyNumberFormat="1" applyFont="1" applyFill="1" applyBorder="1" applyAlignment="1">
      <alignment horizontal="left" vertical="top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14" xfId="0" applyNumberFormat="1" applyFont="1" applyFill="1" applyBorder="1" applyAlignment="1">
      <alignment horizontal="left"/>
    </xf>
    <xf numFmtId="49" fontId="2" fillId="5" borderId="13" xfId="0" applyNumberFormat="1" applyFont="1" applyFill="1" applyBorder="1" applyAlignment="1">
      <alignment horizontal="left"/>
    </xf>
    <xf numFmtId="49" fontId="2" fillId="5" borderId="8" xfId="0" applyNumberFormat="1" applyFont="1" applyFill="1" applyBorder="1" applyAlignment="1">
      <alignment horizontal="left"/>
    </xf>
    <xf numFmtId="0" fontId="0" fillId="0" borderId="1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9" fontId="5" fillId="7" borderId="13" xfId="0" applyNumberFormat="1" applyFont="1" applyFill="1" applyBorder="1" applyAlignment="1">
      <alignment horizontal="left" vertical="top"/>
    </xf>
    <xf numFmtId="49" fontId="5" fillId="7" borderId="14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T18"/>
  <sheetViews>
    <sheetView tabSelected="1" zoomScaleNormal="100" workbookViewId="0">
      <pane xSplit="1" ySplit="2" topLeftCell="BQ3" activePane="bottomRight" state="frozen"/>
      <selection pane="topRight" activeCell="B1" sqref="B1"/>
      <selection pane="bottomLeft" activeCell="A3" sqref="A3"/>
      <selection pane="bottomRight" activeCell="BT16" sqref="BT16"/>
    </sheetView>
  </sheetViews>
  <sheetFormatPr defaultColWidth="9.109375" defaultRowHeight="15.6" x14ac:dyDescent="0.3"/>
  <cols>
    <col min="1" max="1" width="8.6640625" style="13" bestFit="1" customWidth="1"/>
    <col min="2" max="2" width="15.33203125" style="12" bestFit="1" customWidth="1"/>
    <col min="3" max="3" width="22.6640625" style="3" bestFit="1" customWidth="1"/>
    <col min="4" max="4" width="18.5546875" style="3" bestFit="1" customWidth="1"/>
    <col min="5" max="5" width="9.5546875" style="3" bestFit="1" customWidth="1"/>
    <col min="6" max="6" width="6.109375" style="3" bestFit="1" customWidth="1"/>
    <col min="7" max="7" width="22.5546875" style="3" bestFit="1" customWidth="1"/>
    <col min="8" max="8" width="16.109375" style="3" bestFit="1" customWidth="1"/>
    <col min="9" max="9" width="10" style="3" bestFit="1" customWidth="1"/>
    <col min="10" max="10" width="13.109375" style="3" bestFit="1" customWidth="1"/>
    <col min="11" max="11" width="15.109375" style="3" bestFit="1" customWidth="1"/>
    <col min="12" max="12" width="38" style="3" bestFit="1" customWidth="1"/>
    <col min="13" max="13" width="25.33203125" style="3" bestFit="1" customWidth="1"/>
    <col min="14" max="14" width="20.88671875" style="3" bestFit="1" customWidth="1"/>
    <col min="15" max="15" width="21.109375" style="3" bestFit="1" customWidth="1"/>
    <col min="16" max="16" width="17.88671875" style="3" bestFit="1" customWidth="1"/>
    <col min="17" max="17" width="12" style="3" bestFit="1" customWidth="1"/>
    <col min="18" max="18" width="11.6640625" style="3" bestFit="1" customWidth="1"/>
    <col min="19" max="19" width="22.109375" style="3" bestFit="1" customWidth="1"/>
    <col min="20" max="20" width="20" style="3" bestFit="1" customWidth="1"/>
    <col min="21" max="21" width="16.6640625" style="3" bestFit="1" customWidth="1"/>
    <col min="22" max="22" width="20.88671875" style="3" bestFit="1" customWidth="1"/>
    <col min="23" max="23" width="20.5546875" style="3" bestFit="1" customWidth="1"/>
    <col min="24" max="24" width="22.6640625" style="3" bestFit="1" customWidth="1"/>
    <col min="25" max="25" width="21.44140625" style="3" bestFit="1" customWidth="1"/>
    <col min="26" max="26" width="34.33203125" style="3" bestFit="1" customWidth="1"/>
    <col min="27" max="27" width="18.6640625" style="3" bestFit="1" customWidth="1"/>
    <col min="28" max="28" width="48.6640625" style="3" bestFit="1" customWidth="1"/>
    <col min="29" max="31" width="46.33203125" style="3" customWidth="1"/>
    <col min="32" max="32" width="34.44140625" style="3" customWidth="1"/>
    <col min="33" max="33" width="45" style="3" bestFit="1" customWidth="1"/>
    <col min="34" max="34" width="50" style="3" bestFit="1" customWidth="1"/>
    <col min="35" max="52" width="18.6640625" style="3" customWidth="1"/>
    <col min="53" max="53" width="76.5546875" style="3" bestFit="1" customWidth="1"/>
    <col min="54" max="58" width="30.88671875" style="3" customWidth="1"/>
    <col min="59" max="59" width="29.33203125" style="3" customWidth="1"/>
    <col min="60" max="60" width="49.21875" style="3" customWidth="1"/>
    <col min="61" max="61" width="29.33203125" style="3" customWidth="1"/>
    <col min="62" max="62" width="33.109375" style="3" customWidth="1"/>
    <col min="63" max="64" width="29.33203125" style="3" customWidth="1"/>
    <col min="65" max="65" width="36.6640625" style="3" bestFit="1" customWidth="1"/>
    <col min="66" max="69" width="36.6640625" style="3" customWidth="1"/>
    <col min="70" max="70" width="33.44140625" style="3" bestFit="1" customWidth="1"/>
    <col min="71" max="71" width="52.33203125" style="3" bestFit="1" customWidth="1"/>
    <col min="72" max="76" width="45.33203125" style="3" customWidth="1"/>
    <col min="77" max="78" width="24" style="3" customWidth="1"/>
    <col min="79" max="81" width="22.109375" style="3" customWidth="1"/>
    <col min="82" max="82" width="16.44140625" style="3" bestFit="1" customWidth="1"/>
    <col min="83" max="83" width="40.44140625" style="3" bestFit="1" customWidth="1"/>
    <col min="84" max="84" width="17.6640625" style="3" bestFit="1" customWidth="1"/>
    <col min="85" max="85" width="38.88671875" style="3" bestFit="1" customWidth="1"/>
    <col min="86" max="86" width="28.6640625" style="3" bestFit="1" customWidth="1"/>
    <col min="87" max="87" width="17.88671875" style="3" bestFit="1" customWidth="1"/>
    <col min="88" max="88" width="26.109375" style="3" bestFit="1" customWidth="1"/>
    <col min="89" max="89" width="19.44140625" style="3" bestFit="1" customWidth="1"/>
    <col min="90" max="90" width="23.6640625" style="3" bestFit="1" customWidth="1"/>
    <col min="91" max="91" width="19.88671875" style="3" bestFit="1" customWidth="1"/>
    <col min="92" max="92" width="25.109375" style="3" bestFit="1" customWidth="1"/>
    <col min="93" max="98" width="25.109375" style="3" customWidth="1"/>
    <col min="99" max="99" width="43.88671875" style="3" bestFit="1" customWidth="1"/>
    <col min="100" max="108" width="43.88671875" style="3" customWidth="1"/>
    <col min="109" max="110" width="57.6640625" style="3" customWidth="1"/>
    <col min="111" max="111" width="20.44140625" style="3" bestFit="1" customWidth="1"/>
    <col min="112" max="112" width="22.6640625" style="3" bestFit="1" customWidth="1"/>
    <col min="113" max="113" width="24.109375" style="3" bestFit="1" customWidth="1"/>
    <col min="114" max="114" width="24.6640625" style="3" bestFit="1" customWidth="1"/>
    <col min="115" max="115" width="30.44140625" style="3" bestFit="1" customWidth="1"/>
    <col min="116" max="116" width="30.44140625" style="3" customWidth="1"/>
    <col min="117" max="117" width="19.6640625" style="3" bestFit="1" customWidth="1"/>
    <col min="118" max="120" width="19.6640625" style="3" customWidth="1"/>
    <col min="121" max="121" width="70.109375" style="3" customWidth="1"/>
    <col min="122" max="122" width="60.109375" style="3" bestFit="1" customWidth="1"/>
    <col min="123" max="123" width="60.109375" style="3" customWidth="1"/>
    <col min="124" max="124" width="65" style="3" bestFit="1" customWidth="1"/>
    <col min="125" max="125" width="53.109375" style="3" bestFit="1" customWidth="1"/>
    <col min="126" max="126" width="59.44140625" style="3" bestFit="1" customWidth="1"/>
    <col min="127" max="127" width="63.5546875" style="3" bestFit="1" customWidth="1"/>
    <col min="128" max="128" width="63.6640625" style="3" bestFit="1" customWidth="1"/>
    <col min="129" max="129" width="88.33203125" style="3" bestFit="1" customWidth="1"/>
    <col min="130" max="130" width="57.44140625" style="3" bestFit="1" customWidth="1"/>
    <col min="131" max="131" width="59.6640625" style="3" bestFit="1" customWidth="1"/>
    <col min="132" max="132" width="61" style="3" bestFit="1" customWidth="1"/>
    <col min="133" max="134" width="61" style="3" customWidth="1"/>
    <col min="135" max="135" width="70.109375" style="3" bestFit="1" customWidth="1"/>
    <col min="136" max="136" width="66.33203125" style="3" bestFit="1" customWidth="1"/>
    <col min="137" max="137" width="51.109375" style="3" bestFit="1" customWidth="1"/>
    <col min="138" max="138" width="33" style="3" bestFit="1" customWidth="1"/>
    <col min="139" max="139" width="26.44140625" style="3" bestFit="1" customWidth="1"/>
    <col min="140" max="140" width="44.88671875" style="3" bestFit="1" customWidth="1"/>
    <col min="141" max="141" width="39.88671875" style="3" bestFit="1" customWidth="1"/>
    <col min="142" max="142" width="24.6640625" style="3" bestFit="1" customWidth="1"/>
    <col min="143" max="143" width="24.88671875" style="2" bestFit="1" customWidth="1"/>
    <col min="144" max="144" width="22.88671875" style="2" bestFit="1" customWidth="1"/>
    <col min="145" max="145" width="14.6640625" style="3" bestFit="1" customWidth="1"/>
    <col min="146" max="146" width="20.33203125" style="3" bestFit="1" customWidth="1"/>
    <col min="147" max="147" width="26.109375" style="3" bestFit="1" customWidth="1"/>
    <col min="148" max="148" width="24" style="3" bestFit="1" customWidth="1"/>
    <col min="149" max="149" width="15.88671875" style="3" bestFit="1" customWidth="1"/>
    <col min="150" max="150" width="22" style="3" bestFit="1" customWidth="1"/>
    <col min="151" max="151" width="31" style="3" bestFit="1" customWidth="1"/>
    <col min="152" max="152" width="28.88671875" style="3" bestFit="1" customWidth="1"/>
    <col min="153" max="153" width="20.6640625" style="3" bestFit="1" customWidth="1"/>
    <col min="154" max="154" width="26.44140625" style="3" bestFit="1" customWidth="1"/>
    <col min="155" max="155" width="24" style="2" bestFit="1" customWidth="1"/>
    <col min="156" max="156" width="22" style="2" bestFit="1" customWidth="1"/>
    <col min="157" max="157" width="13.88671875" style="3" bestFit="1" customWidth="1"/>
    <col min="158" max="158" width="19.44140625" style="3" bestFit="1" customWidth="1"/>
    <col min="159" max="159" width="26.109375" style="3" bestFit="1" customWidth="1"/>
    <col min="160" max="160" width="24" style="3" bestFit="1" customWidth="1"/>
    <col min="161" max="161" width="15.88671875" style="3" bestFit="1" customWidth="1"/>
    <col min="162" max="162" width="21.5546875" style="3" bestFit="1" customWidth="1"/>
    <col min="163" max="163" width="30.109375" style="3" bestFit="1" customWidth="1"/>
    <col min="164" max="164" width="28" style="3" bestFit="1" customWidth="1"/>
    <col min="165" max="165" width="19.88671875" style="3" bestFit="1" customWidth="1"/>
    <col min="166" max="166" width="25.5546875" style="3" bestFit="1" customWidth="1"/>
    <col min="167" max="167" width="24.6640625" style="2" bestFit="1" customWidth="1"/>
    <col min="168" max="168" width="22.6640625" style="2" bestFit="1" customWidth="1"/>
    <col min="169" max="169" width="14.5546875" style="3" bestFit="1" customWidth="1"/>
    <col min="170" max="170" width="20.109375" style="3" bestFit="1" customWidth="1"/>
    <col min="171" max="171" width="30.88671875" style="3" bestFit="1" customWidth="1"/>
    <col min="172" max="172" width="28.6640625" style="3" bestFit="1" customWidth="1"/>
    <col min="173" max="173" width="19.88671875" style="3" bestFit="1" customWidth="1"/>
    <col min="174" max="174" width="26.33203125" style="3" bestFit="1" customWidth="1"/>
    <col min="175" max="175" width="27.44140625" style="2" bestFit="1" customWidth="1"/>
    <col min="176" max="176" width="25" style="2" bestFit="1" customWidth="1"/>
    <col min="177" max="177" width="27.44140625" style="2" bestFit="1" customWidth="1"/>
    <col min="178" max="178" width="29.6640625" style="2" bestFit="1" customWidth="1"/>
    <col min="179" max="16384" width="9.109375" style="3"/>
  </cols>
  <sheetData>
    <row r="1" spans="1:202" s="14" customFormat="1" ht="16.2" thickBot="1" x14ac:dyDescent="0.35">
      <c r="A1" s="7" t="s">
        <v>118</v>
      </c>
      <c r="B1" s="43" t="s">
        <v>91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 t="s">
        <v>98</v>
      </c>
      <c r="Y1" s="43"/>
      <c r="Z1" s="43" t="s">
        <v>99</v>
      </c>
      <c r="AA1" s="43"/>
      <c r="AB1" s="44" t="s">
        <v>314</v>
      </c>
      <c r="AC1" s="45"/>
      <c r="AD1" s="45"/>
      <c r="AE1" s="45"/>
      <c r="AF1" s="46"/>
      <c r="AG1" s="44" t="s">
        <v>320</v>
      </c>
      <c r="AH1" s="46"/>
      <c r="AI1" s="40" t="s">
        <v>260</v>
      </c>
      <c r="AJ1" s="42"/>
      <c r="AK1" s="40" t="s">
        <v>261</v>
      </c>
      <c r="AL1" s="41"/>
      <c r="AM1" s="41"/>
      <c r="AN1" s="41"/>
      <c r="AO1" s="41"/>
      <c r="AP1" s="41"/>
      <c r="AQ1" s="41"/>
      <c r="AR1" s="41"/>
      <c r="AS1" s="42"/>
      <c r="AT1" s="40" t="s">
        <v>262</v>
      </c>
      <c r="AU1" s="41"/>
      <c r="AV1" s="41"/>
      <c r="AW1" s="41"/>
      <c r="AX1" s="41"/>
      <c r="AY1" s="41"/>
      <c r="AZ1" s="41"/>
      <c r="BA1" s="42"/>
      <c r="BB1" s="40" t="s">
        <v>328</v>
      </c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2"/>
      <c r="BR1" s="43" t="s">
        <v>102</v>
      </c>
      <c r="BS1" s="43"/>
      <c r="BT1" s="40" t="s">
        <v>363</v>
      </c>
      <c r="BU1" s="41"/>
      <c r="BV1" s="41"/>
      <c r="BW1" s="41"/>
      <c r="BX1" s="42"/>
      <c r="BY1" s="5" t="s">
        <v>228</v>
      </c>
      <c r="BZ1" s="40" t="s">
        <v>419</v>
      </c>
      <c r="CA1" s="47"/>
      <c r="CB1" s="47"/>
      <c r="CC1" s="47"/>
      <c r="CD1" s="47"/>
      <c r="CE1" s="47"/>
      <c r="CF1" s="47"/>
      <c r="CG1" s="47"/>
      <c r="CH1" s="48"/>
      <c r="CI1" s="40" t="s">
        <v>412</v>
      </c>
      <c r="CJ1" s="41"/>
      <c r="CK1" s="41"/>
      <c r="CL1" s="41"/>
      <c r="CM1" s="41"/>
      <c r="CN1" s="42"/>
      <c r="CO1" s="40" t="s">
        <v>436</v>
      </c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2"/>
      <c r="DG1" s="43" t="s">
        <v>108</v>
      </c>
      <c r="DH1" s="43"/>
      <c r="DI1" s="43"/>
      <c r="DJ1" s="40" t="s">
        <v>109</v>
      </c>
      <c r="DK1" s="41"/>
      <c r="DL1" s="41"/>
      <c r="DM1" s="41"/>
      <c r="DN1" s="41"/>
      <c r="DO1" s="41"/>
      <c r="DP1" s="42"/>
      <c r="DQ1" s="40" t="s">
        <v>386</v>
      </c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2"/>
      <c r="EH1" s="43" t="s">
        <v>49</v>
      </c>
      <c r="EI1" s="43"/>
      <c r="EJ1" s="43"/>
      <c r="EK1" s="43"/>
      <c r="EL1" s="43"/>
      <c r="EM1" s="5"/>
      <c r="EN1" s="5"/>
      <c r="EO1" s="5"/>
      <c r="EP1" s="5"/>
      <c r="EQ1" s="38"/>
      <c r="ER1" s="38"/>
      <c r="ES1" s="38"/>
      <c r="ET1" s="38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</row>
    <row r="2" spans="1:202" s="15" customFormat="1" ht="16.2" thickBot="1" x14ac:dyDescent="0.35">
      <c r="A2" s="8" t="s">
        <v>58</v>
      </c>
      <c r="B2" s="17" t="s">
        <v>10</v>
      </c>
      <c r="C2" s="4" t="s">
        <v>18</v>
      </c>
      <c r="D2" s="4" t="s">
        <v>1</v>
      </c>
      <c r="E2" s="4" t="s">
        <v>19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117</v>
      </c>
      <c r="K2" s="4" t="s">
        <v>0</v>
      </c>
      <c r="L2" s="4" t="s">
        <v>20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  <c r="T2" s="4" t="s">
        <v>9</v>
      </c>
      <c r="U2" s="4" t="s">
        <v>15</v>
      </c>
      <c r="V2" s="4" t="s">
        <v>16</v>
      </c>
      <c r="W2" s="4" t="s">
        <v>17</v>
      </c>
      <c r="X2" s="4" t="s">
        <v>37</v>
      </c>
      <c r="Y2" s="4" t="s">
        <v>82</v>
      </c>
      <c r="Z2" s="4" t="s">
        <v>100</v>
      </c>
      <c r="AA2" s="4" t="s">
        <v>59</v>
      </c>
      <c r="AB2" s="4" t="s">
        <v>315</v>
      </c>
      <c r="AC2" s="4" t="s">
        <v>316</v>
      </c>
      <c r="AD2" s="4" t="s">
        <v>317</v>
      </c>
      <c r="AE2" s="4" t="s">
        <v>377</v>
      </c>
      <c r="AF2" s="4" t="s">
        <v>318</v>
      </c>
      <c r="AG2" s="4" t="s">
        <v>321</v>
      </c>
      <c r="AH2" s="4" t="s">
        <v>319</v>
      </c>
      <c r="AI2" s="4" t="s">
        <v>263</v>
      </c>
      <c r="AJ2" s="4" t="s">
        <v>264</v>
      </c>
      <c r="AK2" s="4" t="s">
        <v>265</v>
      </c>
      <c r="AL2" s="4" t="s">
        <v>266</v>
      </c>
      <c r="AM2" s="4" t="s">
        <v>267</v>
      </c>
      <c r="AN2" s="4" t="s">
        <v>268</v>
      </c>
      <c r="AO2" s="4" t="s">
        <v>173</v>
      </c>
      <c r="AP2" s="4" t="s">
        <v>176</v>
      </c>
      <c r="AQ2" s="4" t="s">
        <v>177</v>
      </c>
      <c r="AR2" s="4" t="s">
        <v>269</v>
      </c>
      <c r="AS2" s="4" t="s">
        <v>270</v>
      </c>
      <c r="AT2" s="4" t="s">
        <v>271</v>
      </c>
      <c r="AU2" s="4" t="s">
        <v>181</v>
      </c>
      <c r="AV2" s="4" t="s">
        <v>272</v>
      </c>
      <c r="AW2" s="4" t="s">
        <v>182</v>
      </c>
      <c r="AX2" s="4" t="s">
        <v>273</v>
      </c>
      <c r="AY2" s="4" t="s">
        <v>184</v>
      </c>
      <c r="AZ2" s="4" t="s">
        <v>274</v>
      </c>
      <c r="BA2" s="4" t="s">
        <v>186</v>
      </c>
      <c r="BB2" s="4" t="s">
        <v>46</v>
      </c>
      <c r="BC2" s="4" t="s">
        <v>47</v>
      </c>
      <c r="BD2" s="4" t="s">
        <v>105</v>
      </c>
      <c r="BE2" s="4" t="s">
        <v>329</v>
      </c>
      <c r="BF2" s="4" t="s">
        <v>323</v>
      </c>
      <c r="BG2" s="4" t="s">
        <v>327</v>
      </c>
      <c r="BH2" s="4" t="s">
        <v>324</v>
      </c>
      <c r="BI2" s="4" t="s">
        <v>332</v>
      </c>
      <c r="BJ2" s="4" t="s">
        <v>333</v>
      </c>
      <c r="BK2" s="4" t="s">
        <v>334</v>
      </c>
      <c r="BL2" s="4" t="s">
        <v>335</v>
      </c>
      <c r="BM2" s="4" t="s">
        <v>325</v>
      </c>
      <c r="BN2" s="4" t="s">
        <v>326</v>
      </c>
      <c r="BO2" s="4" t="s">
        <v>352</v>
      </c>
      <c r="BP2" s="4" t="s">
        <v>355</v>
      </c>
      <c r="BQ2" s="4" t="s">
        <v>356</v>
      </c>
      <c r="BR2" s="4" t="s">
        <v>103</v>
      </c>
      <c r="BS2" s="4" t="s">
        <v>104</v>
      </c>
      <c r="BT2" s="4" t="s">
        <v>356</v>
      </c>
      <c r="BU2" s="4" t="s">
        <v>374</v>
      </c>
      <c r="BV2" s="4" t="s">
        <v>362</v>
      </c>
      <c r="BW2" s="4" t="s">
        <v>375</v>
      </c>
      <c r="BX2" s="4" t="s">
        <v>376</v>
      </c>
      <c r="BY2" s="4" t="s">
        <v>227</v>
      </c>
      <c r="BZ2" s="4" t="s">
        <v>420</v>
      </c>
      <c r="CA2" s="4" t="s">
        <v>421</v>
      </c>
      <c r="CB2" s="4" t="s">
        <v>431</v>
      </c>
      <c r="CC2" s="4" t="s">
        <v>422</v>
      </c>
      <c r="CD2" s="4" t="s">
        <v>423</v>
      </c>
      <c r="CE2" s="4" t="s">
        <v>427</v>
      </c>
      <c r="CF2" s="4" t="s">
        <v>424</v>
      </c>
      <c r="CG2" s="4" t="s">
        <v>425</v>
      </c>
      <c r="CH2" s="4" t="s">
        <v>426</v>
      </c>
      <c r="CI2" s="4" t="s">
        <v>410</v>
      </c>
      <c r="CJ2" s="4" t="s">
        <v>378</v>
      </c>
      <c r="CK2" s="4" t="s">
        <v>379</v>
      </c>
      <c r="CL2" s="4" t="s">
        <v>380</v>
      </c>
      <c r="CM2" s="4" t="s">
        <v>383</v>
      </c>
      <c r="CN2" s="4" t="s">
        <v>381</v>
      </c>
      <c r="CO2" s="4" t="s">
        <v>227</v>
      </c>
      <c r="CP2" s="4" t="s">
        <v>437</v>
      </c>
      <c r="CQ2" s="4" t="s">
        <v>438</v>
      </c>
      <c r="CR2" s="4" t="s">
        <v>439</v>
      </c>
      <c r="CS2" s="4" t="s">
        <v>440</v>
      </c>
      <c r="CT2" s="4" t="s">
        <v>441</v>
      </c>
      <c r="CU2" s="4" t="s">
        <v>442</v>
      </c>
      <c r="CV2" s="4" t="s">
        <v>447</v>
      </c>
      <c r="CW2" s="4" t="s">
        <v>448</v>
      </c>
      <c r="CX2" s="4" t="s">
        <v>449</v>
      </c>
      <c r="CY2" s="4" t="s">
        <v>450</v>
      </c>
      <c r="CZ2" s="4" t="s">
        <v>451</v>
      </c>
      <c r="DA2" s="4" t="s">
        <v>452</v>
      </c>
      <c r="DB2" s="4" t="s">
        <v>453</v>
      </c>
      <c r="DC2" s="4" t="s">
        <v>454</v>
      </c>
      <c r="DD2" s="4" t="s">
        <v>405</v>
      </c>
      <c r="DE2" s="4" t="s">
        <v>406</v>
      </c>
      <c r="DF2" s="4" t="s">
        <v>407</v>
      </c>
      <c r="DG2" s="4" t="s">
        <v>106</v>
      </c>
      <c r="DH2" s="4" t="s">
        <v>40</v>
      </c>
      <c r="DI2" s="4" t="s">
        <v>107</v>
      </c>
      <c r="DJ2" s="4" t="s">
        <v>41</v>
      </c>
      <c r="DK2" s="4" t="s">
        <v>43</v>
      </c>
      <c r="DL2" s="4" t="s">
        <v>44</v>
      </c>
      <c r="DM2" s="4" t="s">
        <v>110</v>
      </c>
      <c r="DN2" s="4" t="s">
        <v>462</v>
      </c>
      <c r="DO2" s="4" t="s">
        <v>463</v>
      </c>
      <c r="DP2" s="4" t="s">
        <v>464</v>
      </c>
      <c r="DQ2" s="4" t="s">
        <v>388</v>
      </c>
      <c r="DR2" s="4" t="s">
        <v>387</v>
      </c>
      <c r="DS2" s="4" t="s">
        <v>390</v>
      </c>
      <c r="DT2" s="4" t="s">
        <v>391</v>
      </c>
      <c r="DU2" s="4" t="s">
        <v>392</v>
      </c>
      <c r="DV2" s="4" t="s">
        <v>393</v>
      </c>
      <c r="DW2" s="4" t="s">
        <v>394</v>
      </c>
      <c r="DX2" s="4" t="s">
        <v>395</v>
      </c>
      <c r="DY2" s="4" t="s">
        <v>396</v>
      </c>
      <c r="DZ2" s="4" t="s">
        <v>397</v>
      </c>
      <c r="EA2" s="4" t="s">
        <v>398</v>
      </c>
      <c r="EB2" s="4" t="s">
        <v>399</v>
      </c>
      <c r="EC2" s="4" t="s">
        <v>400</v>
      </c>
      <c r="ED2" s="4" t="s">
        <v>401</v>
      </c>
      <c r="EE2" s="4" t="s">
        <v>402</v>
      </c>
      <c r="EF2" s="4" t="s">
        <v>403</v>
      </c>
      <c r="EG2" s="4" t="s">
        <v>466</v>
      </c>
      <c r="EH2" s="4" t="s">
        <v>145</v>
      </c>
      <c r="EI2" s="4" t="s">
        <v>146</v>
      </c>
      <c r="EJ2" s="4" t="s">
        <v>147</v>
      </c>
      <c r="EK2" s="4" t="s">
        <v>148</v>
      </c>
      <c r="EL2" s="4" t="s">
        <v>149</v>
      </c>
      <c r="EM2" s="4" t="s">
        <v>79</v>
      </c>
      <c r="EN2" s="4" t="s">
        <v>80</v>
      </c>
      <c r="EO2" s="4" t="s">
        <v>127</v>
      </c>
      <c r="EP2" s="4" t="s">
        <v>128</v>
      </c>
      <c r="EQ2" s="39" t="s">
        <v>243</v>
      </c>
      <c r="ER2" s="39" t="s">
        <v>244</v>
      </c>
      <c r="ES2" s="39" t="s">
        <v>245</v>
      </c>
      <c r="ET2" s="39" t="s">
        <v>246</v>
      </c>
      <c r="EU2" s="4" t="s">
        <v>138</v>
      </c>
      <c r="EV2" s="4" t="s">
        <v>139</v>
      </c>
      <c r="EW2" s="4" t="s">
        <v>129</v>
      </c>
      <c r="EX2" s="4" t="s">
        <v>130</v>
      </c>
      <c r="EY2" s="4" t="s">
        <v>50</v>
      </c>
      <c r="EZ2" s="4" t="s">
        <v>51</v>
      </c>
      <c r="FA2" s="4" t="s">
        <v>131</v>
      </c>
      <c r="FB2" s="4" t="s">
        <v>132</v>
      </c>
      <c r="FC2" s="39" t="s">
        <v>251</v>
      </c>
      <c r="FD2" s="39" t="s">
        <v>252</v>
      </c>
      <c r="FE2" s="39" t="s">
        <v>253</v>
      </c>
      <c r="FF2" s="39" t="s">
        <v>254</v>
      </c>
      <c r="FG2" s="4" t="s">
        <v>119</v>
      </c>
      <c r="FH2" s="4" t="s">
        <v>120</v>
      </c>
      <c r="FI2" s="4" t="s">
        <v>125</v>
      </c>
      <c r="FJ2" s="4" t="s">
        <v>126</v>
      </c>
      <c r="FK2" s="4" t="s">
        <v>52</v>
      </c>
      <c r="FL2" s="4" t="s">
        <v>53</v>
      </c>
      <c r="FM2" s="4" t="s">
        <v>133</v>
      </c>
      <c r="FN2" s="4" t="s">
        <v>134</v>
      </c>
      <c r="FO2" s="4" t="s">
        <v>136</v>
      </c>
      <c r="FP2" s="4" t="s">
        <v>137</v>
      </c>
      <c r="FQ2" s="4" t="s">
        <v>140</v>
      </c>
      <c r="FR2" s="4" t="s">
        <v>141</v>
      </c>
      <c r="FS2" s="4" t="s">
        <v>54</v>
      </c>
      <c r="FT2" s="4" t="s">
        <v>55</v>
      </c>
      <c r="FU2" s="4" t="s">
        <v>143</v>
      </c>
      <c r="FV2" s="4" t="s">
        <v>144</v>
      </c>
    </row>
    <row r="3" spans="1:202" s="1" customFormat="1" x14ac:dyDescent="0.3">
      <c r="A3" s="10" t="s">
        <v>114</v>
      </c>
      <c r="B3" s="6" t="str">
        <f t="shared" ref="B3:B18" ca="1" si="0">TEXT(TODAY(), "mm/dd/yyyy")</f>
        <v>10/14/2025</v>
      </c>
      <c r="C3" s="6" t="s">
        <v>83</v>
      </c>
      <c r="D3" s="6" t="s">
        <v>39</v>
      </c>
      <c r="E3" s="6" t="s">
        <v>23</v>
      </c>
      <c r="F3" s="6" t="s">
        <v>32</v>
      </c>
      <c r="G3" s="6" t="s">
        <v>61</v>
      </c>
      <c r="H3" s="6" t="s">
        <v>155</v>
      </c>
      <c r="I3" s="6" t="s">
        <v>156</v>
      </c>
      <c r="J3" s="6" t="s">
        <v>465</v>
      </c>
      <c r="K3" s="6" t="s">
        <v>159</v>
      </c>
      <c r="L3" s="6" t="s">
        <v>23</v>
      </c>
      <c r="M3" s="6" t="s">
        <v>24</v>
      </c>
      <c r="N3" s="6" t="s">
        <v>25</v>
      </c>
      <c r="O3" s="6" t="s">
        <v>25</v>
      </c>
      <c r="P3" s="6" t="s">
        <v>24</v>
      </c>
      <c r="Q3" s="6" t="s">
        <v>84</v>
      </c>
      <c r="R3" s="6" t="s">
        <v>85</v>
      </c>
      <c r="S3" s="6" t="s">
        <v>26</v>
      </c>
      <c r="T3" s="6" t="s">
        <v>27</v>
      </c>
      <c r="U3" s="6" t="s">
        <v>25</v>
      </c>
      <c r="V3" s="6" t="s">
        <v>23</v>
      </c>
      <c r="W3" s="6" t="s">
        <v>23</v>
      </c>
      <c r="X3" s="6" t="s">
        <v>38</v>
      </c>
      <c r="Y3" s="6" t="s">
        <v>92</v>
      </c>
      <c r="Z3" s="6" t="s">
        <v>60</v>
      </c>
      <c r="AA3" s="6" t="s">
        <v>35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 t="s">
        <v>229</v>
      </c>
      <c r="AS3" s="6" t="s">
        <v>229</v>
      </c>
      <c r="AT3" s="6"/>
      <c r="AU3" s="6"/>
      <c r="AV3" s="6"/>
      <c r="AW3" s="6"/>
      <c r="AX3" s="6"/>
      <c r="AY3" s="6"/>
      <c r="AZ3" s="6"/>
      <c r="BA3" s="6"/>
      <c r="BB3" s="6" t="s">
        <v>32</v>
      </c>
      <c r="BC3" s="6" t="s">
        <v>101</v>
      </c>
      <c r="BD3" s="6" t="s">
        <v>57</v>
      </c>
      <c r="BE3" s="6" t="s">
        <v>330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331</v>
      </c>
      <c r="BR3" s="6" t="str">
        <f t="shared" ref="BR3:BR9" si="1">CONCATENATE(Q3, " ", R3)</f>
        <v>Automation ES Row 1</v>
      </c>
      <c r="BS3" s="6" t="str">
        <f t="shared" ref="BS3:BS9" si="2">CONCATENATE(G3, "  -   , ", H3, "  , ",F3,"  , ",I3)</f>
        <v>145 E 39th St  -   , Gloversville  , NY  , 12078</v>
      </c>
      <c r="BT3" s="6"/>
      <c r="BU3" s="6"/>
      <c r="BV3" s="6"/>
      <c r="BW3" s="6"/>
      <c r="BX3" s="6"/>
      <c r="BY3" s="6" t="s">
        <v>229</v>
      </c>
      <c r="BZ3" s="6" t="s">
        <v>330</v>
      </c>
      <c r="CA3" s="6" t="s">
        <v>229</v>
      </c>
      <c r="CB3" s="6" t="s">
        <v>229</v>
      </c>
      <c r="CC3" s="6" t="s">
        <v>229</v>
      </c>
      <c r="CD3" s="6" t="s">
        <v>229</v>
      </c>
      <c r="CE3" s="6" t="s">
        <v>229</v>
      </c>
      <c r="CF3" s="6" t="s">
        <v>229</v>
      </c>
      <c r="CG3" s="6" t="s">
        <v>229</v>
      </c>
      <c r="CH3" s="6" t="s">
        <v>229</v>
      </c>
      <c r="CI3" s="6" t="s">
        <v>330</v>
      </c>
      <c r="CJ3" s="6" t="s">
        <v>229</v>
      </c>
      <c r="CK3" s="6" t="s">
        <v>229</v>
      </c>
      <c r="CL3" s="6" t="s">
        <v>229</v>
      </c>
      <c r="CM3" s="6" t="s">
        <v>229</v>
      </c>
      <c r="CN3" s="6" t="s">
        <v>229</v>
      </c>
      <c r="CO3" s="1" t="s">
        <v>229</v>
      </c>
      <c r="CP3" s="1" t="s">
        <v>25</v>
      </c>
      <c r="CQ3" s="1" t="s">
        <v>443</v>
      </c>
      <c r="CR3" s="1" t="s">
        <v>444</v>
      </c>
      <c r="CS3" s="1" t="s">
        <v>25</v>
      </c>
      <c r="CT3" s="1" t="s">
        <v>445</v>
      </c>
      <c r="CU3" s="1" t="s">
        <v>446</v>
      </c>
      <c r="CV3" s="1" t="s">
        <v>330</v>
      </c>
      <c r="CW3" s="1" t="s">
        <v>229</v>
      </c>
      <c r="CX3" s="1" t="s">
        <v>229</v>
      </c>
      <c r="CY3" s="1" t="s">
        <v>229</v>
      </c>
      <c r="CZ3" s="1" t="s">
        <v>229</v>
      </c>
      <c r="DA3" s="1" t="s">
        <v>229</v>
      </c>
      <c r="DB3" s="1" t="s">
        <v>229</v>
      </c>
      <c r="DC3" s="1" t="s">
        <v>229</v>
      </c>
      <c r="DD3" s="1" t="s">
        <v>229</v>
      </c>
      <c r="DE3" s="1" t="s">
        <v>229</v>
      </c>
      <c r="DF3" s="1" t="s">
        <v>229</v>
      </c>
      <c r="DG3" s="6" t="s">
        <v>25</v>
      </c>
      <c r="DH3" s="6" t="s">
        <v>25</v>
      </c>
      <c r="DI3" s="6" t="s">
        <v>25</v>
      </c>
      <c r="DJ3" s="6" t="s">
        <v>42</v>
      </c>
      <c r="DK3" s="6" t="s">
        <v>42</v>
      </c>
      <c r="DL3" s="6" t="s">
        <v>45</v>
      </c>
      <c r="DM3" s="6" t="s">
        <v>81</v>
      </c>
      <c r="DN3" s="6"/>
      <c r="DO3" s="6"/>
      <c r="DP3" s="6"/>
      <c r="DQ3" s="6" t="s">
        <v>25</v>
      </c>
      <c r="DR3" s="6" t="s">
        <v>25</v>
      </c>
      <c r="DS3" s="6" t="s">
        <v>24</v>
      </c>
      <c r="DT3" s="6" t="s">
        <v>25</v>
      </c>
      <c r="DU3" s="6" t="s">
        <v>25</v>
      </c>
      <c r="DV3" s="6"/>
      <c r="DW3" s="6" t="s">
        <v>25</v>
      </c>
      <c r="DX3" s="6" t="s">
        <v>25</v>
      </c>
      <c r="DY3" s="6" t="s">
        <v>25</v>
      </c>
      <c r="DZ3" s="6" t="s">
        <v>25</v>
      </c>
      <c r="EA3" s="6" t="s">
        <v>25</v>
      </c>
      <c r="EB3" s="6" t="s">
        <v>25</v>
      </c>
      <c r="EC3" s="6" t="s">
        <v>25</v>
      </c>
      <c r="ED3" s="6" t="s">
        <v>25</v>
      </c>
      <c r="EE3" s="6"/>
      <c r="EF3" s="6" t="s">
        <v>25</v>
      </c>
      <c r="EG3" s="6"/>
      <c r="EH3" s="6" t="s">
        <v>49</v>
      </c>
      <c r="EI3" s="6" t="s">
        <v>36</v>
      </c>
      <c r="EJ3" s="6" t="str">
        <f t="shared" ref="EJ3:EJ18" ca="1" si="3">TEXT((TODAY()+1), "mm/dd/yyyy")</f>
        <v>10/15/2025</v>
      </c>
      <c r="EK3" s="6" t="s">
        <v>49</v>
      </c>
      <c r="EL3" s="6" t="s">
        <v>48</v>
      </c>
      <c r="EM3" s="6" t="s">
        <v>56</v>
      </c>
      <c r="EN3" s="6" t="s">
        <v>56</v>
      </c>
      <c r="EO3" s="6" t="s">
        <v>121</v>
      </c>
      <c r="EP3" s="6" t="s">
        <v>122</v>
      </c>
      <c r="EQ3" s="6" t="s">
        <v>247</v>
      </c>
      <c r="ER3" s="6" t="s">
        <v>248</v>
      </c>
      <c r="ES3" s="6" t="s">
        <v>249</v>
      </c>
      <c r="ET3" s="6" t="s">
        <v>250</v>
      </c>
      <c r="EU3" s="6" t="s">
        <v>78</v>
      </c>
      <c r="EV3" s="6" t="s">
        <v>78</v>
      </c>
      <c r="EW3" s="6" t="s">
        <v>123</v>
      </c>
      <c r="EX3" s="6" t="s">
        <v>124</v>
      </c>
      <c r="EY3" s="6" t="s">
        <v>56</v>
      </c>
      <c r="EZ3" s="6" t="s">
        <v>56</v>
      </c>
      <c r="FA3" s="6" t="s">
        <v>121</v>
      </c>
      <c r="FB3" s="6" t="s">
        <v>122</v>
      </c>
      <c r="FC3" s="6" t="s">
        <v>247</v>
      </c>
      <c r="FD3" s="6" t="s">
        <v>248</v>
      </c>
      <c r="FE3" s="6" t="s">
        <v>249</v>
      </c>
      <c r="FF3" s="6" t="s">
        <v>250</v>
      </c>
      <c r="FG3" s="6" t="s">
        <v>78</v>
      </c>
      <c r="FH3" s="6" t="s">
        <v>78</v>
      </c>
      <c r="FI3" s="6" t="s">
        <v>123</v>
      </c>
      <c r="FJ3" s="6" t="s">
        <v>124</v>
      </c>
      <c r="FK3" s="6" t="s">
        <v>142</v>
      </c>
      <c r="FL3" s="6" t="s">
        <v>21</v>
      </c>
      <c r="FM3" s="6" t="s">
        <v>135</v>
      </c>
      <c r="FN3" s="6" t="s">
        <v>122</v>
      </c>
      <c r="FO3" s="6" t="s">
        <v>78</v>
      </c>
      <c r="FP3" s="6" t="s">
        <v>78</v>
      </c>
      <c r="FQ3" s="6" t="s">
        <v>123</v>
      </c>
      <c r="FR3" s="6" t="s">
        <v>124</v>
      </c>
      <c r="FS3" s="6" t="s">
        <v>78</v>
      </c>
      <c r="FT3" s="6" t="s">
        <v>78</v>
      </c>
      <c r="FU3" s="6" t="s">
        <v>78</v>
      </c>
      <c r="FV3" s="6" t="s">
        <v>78</v>
      </c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</row>
    <row r="4" spans="1:202" s="11" customFormat="1" x14ac:dyDescent="0.3">
      <c r="A4" s="9" t="s">
        <v>153</v>
      </c>
      <c r="B4" s="16" t="str">
        <f t="shared" ca="1" si="0"/>
        <v>10/14/2025</v>
      </c>
      <c r="C4" s="16" t="s">
        <v>83</v>
      </c>
      <c r="D4" s="16" t="s">
        <v>39</v>
      </c>
      <c r="E4" s="16" t="s">
        <v>23</v>
      </c>
      <c r="F4" s="16" t="s">
        <v>32</v>
      </c>
      <c r="G4" s="16" t="s">
        <v>154</v>
      </c>
      <c r="H4" s="16" t="s">
        <v>67</v>
      </c>
      <c r="I4" s="16" t="s">
        <v>72</v>
      </c>
      <c r="J4" s="6" t="s">
        <v>465</v>
      </c>
      <c r="K4" s="16" t="s">
        <v>22</v>
      </c>
      <c r="L4" s="16" t="s">
        <v>23</v>
      </c>
      <c r="M4" s="16" t="s">
        <v>24</v>
      </c>
      <c r="N4" s="16" t="s">
        <v>25</v>
      </c>
      <c r="O4" s="16" t="s">
        <v>25</v>
      </c>
      <c r="P4" s="16" t="s">
        <v>24</v>
      </c>
      <c r="Q4" s="16" t="s">
        <v>157</v>
      </c>
      <c r="R4" s="16" t="s">
        <v>158</v>
      </c>
      <c r="S4" s="16" t="s">
        <v>151</v>
      </c>
      <c r="T4" s="16" t="s">
        <v>152</v>
      </c>
      <c r="U4" s="16" t="s">
        <v>25</v>
      </c>
      <c r="V4" s="16" t="s">
        <v>23</v>
      </c>
      <c r="W4" s="16" t="s">
        <v>23</v>
      </c>
      <c r="X4" s="16" t="s">
        <v>38</v>
      </c>
      <c r="Y4" s="16" t="s">
        <v>160</v>
      </c>
      <c r="Z4" s="16" t="s">
        <v>60</v>
      </c>
      <c r="AA4" s="16" t="s">
        <v>35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 t="s">
        <v>229</v>
      </c>
      <c r="AS4" s="16" t="s">
        <v>229</v>
      </c>
      <c r="AT4" s="16"/>
      <c r="AU4" s="16"/>
      <c r="AV4" s="16"/>
      <c r="AW4" s="16"/>
      <c r="AX4" s="16"/>
      <c r="AY4" s="16"/>
      <c r="AZ4" s="16"/>
      <c r="BA4" s="16"/>
      <c r="BB4" s="16" t="s">
        <v>32</v>
      </c>
      <c r="BC4" s="16" t="s">
        <v>162</v>
      </c>
      <c r="BD4" s="16" t="s">
        <v>161</v>
      </c>
      <c r="BE4" s="16" t="s">
        <v>330</v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 t="s">
        <v>331</v>
      </c>
      <c r="BR4" s="16" t="str">
        <f t="shared" ref="BR4" si="4">CONCATENATE(Q4, " ", R4)</f>
        <v>Alexis Castle</v>
      </c>
      <c r="BS4" s="16" t="str">
        <f t="shared" ref="BS4" si="5">CONCATENATE(G4, "  -   , ", H4, "  , ",F4,"  , ",I4)</f>
        <v>23 East State Street  -   , New York  , NY  , 10016</v>
      </c>
      <c r="BT4" s="16"/>
      <c r="BU4" s="16"/>
      <c r="BV4" s="16"/>
      <c r="BW4" s="16"/>
      <c r="BX4" s="16"/>
      <c r="BY4" s="16" t="s">
        <v>229</v>
      </c>
      <c r="BZ4" s="16" t="s">
        <v>330</v>
      </c>
      <c r="CA4" s="16" t="s">
        <v>229</v>
      </c>
      <c r="CB4" s="16" t="s">
        <v>229</v>
      </c>
      <c r="CC4" s="16" t="s">
        <v>229</v>
      </c>
      <c r="CD4" s="16" t="s">
        <v>229</v>
      </c>
      <c r="CE4" s="16" t="s">
        <v>229</v>
      </c>
      <c r="CF4" s="16" t="s">
        <v>229</v>
      </c>
      <c r="CG4" s="16" t="s">
        <v>229</v>
      </c>
      <c r="CH4" s="16" t="s">
        <v>229</v>
      </c>
      <c r="CI4" s="16" t="s">
        <v>330</v>
      </c>
      <c r="CJ4" s="16" t="s">
        <v>229</v>
      </c>
      <c r="CK4" s="16" t="s">
        <v>229</v>
      </c>
      <c r="CL4" s="16" t="s">
        <v>229</v>
      </c>
      <c r="CM4" s="16" t="s">
        <v>229</v>
      </c>
      <c r="CN4" s="16" t="s">
        <v>229</v>
      </c>
      <c r="CO4" s="11" t="s">
        <v>229</v>
      </c>
      <c r="CP4" s="11" t="s">
        <v>25</v>
      </c>
      <c r="CQ4" s="11" t="s">
        <v>443</v>
      </c>
      <c r="CR4" s="11" t="s">
        <v>444</v>
      </c>
      <c r="CS4" s="11" t="s">
        <v>25</v>
      </c>
      <c r="CT4" s="11" t="s">
        <v>445</v>
      </c>
      <c r="CU4" s="11" t="s">
        <v>446</v>
      </c>
      <c r="CV4" s="11" t="s">
        <v>330</v>
      </c>
      <c r="CW4" s="1" t="s">
        <v>229</v>
      </c>
      <c r="CX4" s="1" t="s">
        <v>229</v>
      </c>
      <c r="CY4" s="1" t="s">
        <v>229</v>
      </c>
      <c r="CZ4" s="1" t="s">
        <v>229</v>
      </c>
      <c r="DA4" s="1" t="s">
        <v>229</v>
      </c>
      <c r="DB4" s="1" t="s">
        <v>229</v>
      </c>
      <c r="DC4" s="1" t="s">
        <v>229</v>
      </c>
      <c r="DD4" s="1" t="s">
        <v>229</v>
      </c>
      <c r="DE4" s="1" t="s">
        <v>229</v>
      </c>
      <c r="DF4" s="1" t="s">
        <v>229</v>
      </c>
      <c r="DG4" s="16" t="s">
        <v>25</v>
      </c>
      <c r="DH4" s="16" t="s">
        <v>25</v>
      </c>
      <c r="DI4" s="16" t="s">
        <v>25</v>
      </c>
      <c r="DJ4" s="16" t="s">
        <v>42</v>
      </c>
      <c r="DK4" s="16" t="s">
        <v>42</v>
      </c>
      <c r="DL4" s="16" t="s">
        <v>45</v>
      </c>
      <c r="DM4" s="16" t="s">
        <v>81</v>
      </c>
      <c r="DN4" s="16"/>
      <c r="DO4" s="16"/>
      <c r="DP4" s="16"/>
      <c r="DQ4" s="16" t="s">
        <v>25</v>
      </c>
      <c r="DR4" s="16" t="s">
        <v>25</v>
      </c>
      <c r="DS4" s="16" t="s">
        <v>24</v>
      </c>
      <c r="DT4" s="16" t="s">
        <v>25</v>
      </c>
      <c r="DU4" s="16" t="s">
        <v>25</v>
      </c>
      <c r="DV4" s="16"/>
      <c r="DW4" s="16" t="s">
        <v>25</v>
      </c>
      <c r="DX4" s="16" t="s">
        <v>25</v>
      </c>
      <c r="DY4" s="16" t="s">
        <v>25</v>
      </c>
      <c r="DZ4" s="16" t="s">
        <v>25</v>
      </c>
      <c r="EA4" s="16" t="s">
        <v>25</v>
      </c>
      <c r="EB4" s="16" t="s">
        <v>25</v>
      </c>
      <c r="EC4" s="16" t="s">
        <v>25</v>
      </c>
      <c r="ED4" s="16" t="s">
        <v>25</v>
      </c>
      <c r="EE4" s="16"/>
      <c r="EF4" s="16" t="s">
        <v>25</v>
      </c>
      <c r="EG4" s="16"/>
      <c r="EH4" s="16" t="s">
        <v>49</v>
      </c>
      <c r="EI4" s="16" t="s">
        <v>36</v>
      </c>
      <c r="EJ4" s="16" t="str">
        <f t="shared" ca="1" si="3"/>
        <v>10/15/2025</v>
      </c>
      <c r="EK4" s="16" t="s">
        <v>49</v>
      </c>
      <c r="EL4" s="16" t="s">
        <v>48</v>
      </c>
      <c r="EM4" s="16" t="s">
        <v>56</v>
      </c>
      <c r="EN4" s="16" t="s">
        <v>56</v>
      </c>
      <c r="EO4" s="16" t="s">
        <v>121</v>
      </c>
      <c r="EP4" s="16" t="s">
        <v>122</v>
      </c>
      <c r="EQ4" s="16" t="s">
        <v>247</v>
      </c>
      <c r="ER4" s="16" t="s">
        <v>248</v>
      </c>
      <c r="ES4" s="16" t="s">
        <v>249</v>
      </c>
      <c r="ET4" s="16" t="s">
        <v>250</v>
      </c>
      <c r="EU4" s="16" t="s">
        <v>78</v>
      </c>
      <c r="EV4" s="16" t="s">
        <v>78</v>
      </c>
      <c r="EW4" s="16" t="s">
        <v>123</v>
      </c>
      <c r="EX4" s="16" t="s">
        <v>124</v>
      </c>
      <c r="EY4" s="16" t="s">
        <v>56</v>
      </c>
      <c r="EZ4" s="16" t="s">
        <v>56</v>
      </c>
      <c r="FA4" s="16" t="s">
        <v>121</v>
      </c>
      <c r="FB4" s="16" t="s">
        <v>122</v>
      </c>
      <c r="FC4" s="16" t="s">
        <v>247</v>
      </c>
      <c r="FD4" s="16" t="s">
        <v>248</v>
      </c>
      <c r="FE4" s="16" t="s">
        <v>249</v>
      </c>
      <c r="FF4" s="16" t="s">
        <v>250</v>
      </c>
      <c r="FG4" s="16" t="s">
        <v>78</v>
      </c>
      <c r="FH4" s="16" t="s">
        <v>78</v>
      </c>
      <c r="FI4" s="16" t="s">
        <v>123</v>
      </c>
      <c r="FJ4" s="16" t="s">
        <v>124</v>
      </c>
      <c r="FK4" s="16" t="s">
        <v>142</v>
      </c>
      <c r="FL4" s="16" t="s">
        <v>21</v>
      </c>
      <c r="FM4" s="16" t="s">
        <v>135</v>
      </c>
      <c r="FN4" s="16" t="s">
        <v>122</v>
      </c>
      <c r="FO4" s="16" t="s">
        <v>78</v>
      </c>
      <c r="FP4" s="16" t="s">
        <v>78</v>
      </c>
      <c r="FQ4" s="16" t="s">
        <v>123</v>
      </c>
      <c r="FR4" s="16" t="s">
        <v>124</v>
      </c>
      <c r="FS4" s="16" t="s">
        <v>78</v>
      </c>
      <c r="FT4" s="16" t="s">
        <v>78</v>
      </c>
      <c r="FU4" s="16" t="s">
        <v>78</v>
      </c>
      <c r="FV4" s="16" t="s">
        <v>78</v>
      </c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</row>
    <row r="5" spans="1:202" s="1" customFormat="1" x14ac:dyDescent="0.3">
      <c r="A5" s="10" t="s">
        <v>111</v>
      </c>
      <c r="B5" s="6" t="str">
        <f t="shared" ca="1" si="0"/>
        <v>10/14/2025</v>
      </c>
      <c r="C5" s="6" t="s">
        <v>83</v>
      </c>
      <c r="D5" s="6" t="s">
        <v>39</v>
      </c>
      <c r="E5" s="6" t="s">
        <v>23</v>
      </c>
      <c r="F5" s="6" t="s">
        <v>29</v>
      </c>
      <c r="G5" s="6" t="s">
        <v>62</v>
      </c>
      <c r="H5" s="6" t="s">
        <v>68</v>
      </c>
      <c r="I5" s="6" t="s">
        <v>73</v>
      </c>
      <c r="J5" s="6" t="s">
        <v>465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25</v>
      </c>
      <c r="P5" s="6" t="s">
        <v>24</v>
      </c>
      <c r="Q5" s="6" t="s">
        <v>84</v>
      </c>
      <c r="R5" s="6" t="s">
        <v>86</v>
      </c>
      <c r="S5" s="6" t="s">
        <v>26</v>
      </c>
      <c r="T5" s="6" t="s">
        <v>27</v>
      </c>
      <c r="U5" s="6" t="s">
        <v>25</v>
      </c>
      <c r="V5" s="6" t="s">
        <v>23</v>
      </c>
      <c r="W5" s="6" t="s">
        <v>23</v>
      </c>
      <c r="X5" s="6" t="s">
        <v>38</v>
      </c>
      <c r="Y5" s="6" t="s">
        <v>93</v>
      </c>
      <c r="Z5" s="6" t="s">
        <v>60</v>
      </c>
      <c r="AA5" s="6" t="s">
        <v>35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 t="s">
        <v>229</v>
      </c>
      <c r="AS5" s="6" t="s">
        <v>229</v>
      </c>
      <c r="AT5" s="6"/>
      <c r="AU5" s="6"/>
      <c r="AV5" s="6"/>
      <c r="AW5" s="6"/>
      <c r="AX5" s="6"/>
      <c r="AY5" s="6"/>
      <c r="AZ5" s="6"/>
      <c r="BA5" s="6"/>
      <c r="BB5" s="6" t="s">
        <v>32</v>
      </c>
      <c r="BC5" s="6" t="s">
        <v>101</v>
      </c>
      <c r="BD5" s="6" t="s">
        <v>57</v>
      </c>
      <c r="BE5" s="6" t="s">
        <v>330</v>
      </c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 t="s">
        <v>331</v>
      </c>
      <c r="BR5" s="6" t="str">
        <f t="shared" si="1"/>
        <v>Automation ES Row 2</v>
      </c>
      <c r="BS5" s="6" t="str">
        <f t="shared" si="2"/>
        <v>1604 Monterey St  -   , SAN LUIS OBISPO  , CA  , 93401</v>
      </c>
      <c r="BT5" s="6"/>
      <c r="BU5" s="6"/>
      <c r="BV5" s="6"/>
      <c r="BW5" s="6"/>
      <c r="BX5" s="6"/>
      <c r="BY5" s="6" t="s">
        <v>229</v>
      </c>
      <c r="BZ5" s="6" t="s">
        <v>330</v>
      </c>
      <c r="CA5" s="6" t="s">
        <v>229</v>
      </c>
      <c r="CB5" s="6" t="s">
        <v>229</v>
      </c>
      <c r="CC5" s="6" t="s">
        <v>229</v>
      </c>
      <c r="CD5" s="6" t="s">
        <v>229</v>
      </c>
      <c r="CE5" s="6" t="s">
        <v>229</v>
      </c>
      <c r="CF5" s="6" t="s">
        <v>229</v>
      </c>
      <c r="CG5" s="6" t="s">
        <v>229</v>
      </c>
      <c r="CH5" s="6" t="s">
        <v>229</v>
      </c>
      <c r="CI5" s="6" t="s">
        <v>330</v>
      </c>
      <c r="CJ5" s="6" t="s">
        <v>229</v>
      </c>
      <c r="CK5" s="6" t="s">
        <v>229</v>
      </c>
      <c r="CL5" s="6" t="s">
        <v>229</v>
      </c>
      <c r="CM5" s="6" t="s">
        <v>229</v>
      </c>
      <c r="CN5" s="6" t="s">
        <v>229</v>
      </c>
      <c r="CO5" s="1" t="s">
        <v>229</v>
      </c>
      <c r="CP5" s="1" t="s">
        <v>25</v>
      </c>
      <c r="CQ5" s="1" t="s">
        <v>443</v>
      </c>
      <c r="CR5" s="1" t="s">
        <v>444</v>
      </c>
      <c r="CS5" s="1" t="s">
        <v>25</v>
      </c>
      <c r="CT5" s="1" t="s">
        <v>445</v>
      </c>
      <c r="CU5" s="1" t="s">
        <v>446</v>
      </c>
      <c r="CV5" s="1" t="s">
        <v>330</v>
      </c>
      <c r="CW5" s="1" t="s">
        <v>229</v>
      </c>
      <c r="CX5" s="1" t="s">
        <v>229</v>
      </c>
      <c r="CY5" s="1" t="s">
        <v>229</v>
      </c>
      <c r="CZ5" s="1" t="s">
        <v>229</v>
      </c>
      <c r="DA5" s="1" t="s">
        <v>229</v>
      </c>
      <c r="DB5" s="1" t="s">
        <v>229</v>
      </c>
      <c r="DC5" s="1" t="s">
        <v>229</v>
      </c>
      <c r="DD5" s="1" t="s">
        <v>229</v>
      </c>
      <c r="DE5" s="1" t="s">
        <v>229</v>
      </c>
      <c r="DF5" s="1" t="s">
        <v>229</v>
      </c>
      <c r="DG5" s="6" t="s">
        <v>25</v>
      </c>
      <c r="DH5" s="6" t="s">
        <v>25</v>
      </c>
      <c r="DI5" s="6" t="s">
        <v>25</v>
      </c>
      <c r="DJ5" s="6" t="s">
        <v>42</v>
      </c>
      <c r="DK5" s="6" t="s">
        <v>42</v>
      </c>
      <c r="DL5" s="6" t="s">
        <v>45</v>
      </c>
      <c r="DM5" s="6" t="s">
        <v>81</v>
      </c>
      <c r="DN5" s="6"/>
      <c r="DO5" s="6"/>
      <c r="DP5" s="6"/>
      <c r="DQ5" s="6" t="s">
        <v>25</v>
      </c>
      <c r="DR5" s="6" t="s">
        <v>25</v>
      </c>
      <c r="DS5" s="6" t="s">
        <v>24</v>
      </c>
      <c r="DT5" s="6" t="s">
        <v>25</v>
      </c>
      <c r="DU5" s="6" t="s">
        <v>25</v>
      </c>
      <c r="DV5" s="6"/>
      <c r="DW5" s="6" t="s">
        <v>25</v>
      </c>
      <c r="DX5" s="6" t="s">
        <v>25</v>
      </c>
      <c r="DY5" s="6" t="s">
        <v>25</v>
      </c>
      <c r="DZ5" s="6" t="s">
        <v>25</v>
      </c>
      <c r="EA5" s="6" t="s">
        <v>25</v>
      </c>
      <c r="EB5" s="6" t="s">
        <v>25</v>
      </c>
      <c r="EC5" s="6" t="s">
        <v>25</v>
      </c>
      <c r="ED5" s="6" t="s">
        <v>25</v>
      </c>
      <c r="EE5" s="6"/>
      <c r="EF5" s="6" t="s">
        <v>25</v>
      </c>
      <c r="EG5" s="6"/>
      <c r="EH5" s="6" t="s">
        <v>49</v>
      </c>
      <c r="EI5" s="6" t="s">
        <v>36</v>
      </c>
      <c r="EJ5" s="6" t="str">
        <f t="shared" ca="1" si="3"/>
        <v>10/15/2025</v>
      </c>
      <c r="EK5" s="6" t="s">
        <v>49</v>
      </c>
      <c r="EL5" s="6" t="s">
        <v>48</v>
      </c>
      <c r="EM5" s="6" t="s">
        <v>56</v>
      </c>
      <c r="EN5" s="6" t="s">
        <v>56</v>
      </c>
      <c r="EO5" s="6" t="s">
        <v>121</v>
      </c>
      <c r="EP5" s="6" t="s">
        <v>122</v>
      </c>
      <c r="EQ5" s="6" t="s">
        <v>247</v>
      </c>
      <c r="ER5" s="6" t="s">
        <v>248</v>
      </c>
      <c r="ES5" s="6" t="s">
        <v>249</v>
      </c>
      <c r="ET5" s="6" t="s">
        <v>250</v>
      </c>
      <c r="EU5" s="6" t="s">
        <v>78</v>
      </c>
      <c r="EV5" s="6" t="s">
        <v>78</v>
      </c>
      <c r="EW5" s="6" t="s">
        <v>123</v>
      </c>
      <c r="EX5" s="6" t="s">
        <v>124</v>
      </c>
      <c r="EY5" s="6" t="s">
        <v>56</v>
      </c>
      <c r="EZ5" s="6" t="s">
        <v>56</v>
      </c>
      <c r="FA5" s="6" t="s">
        <v>121</v>
      </c>
      <c r="FB5" s="6" t="s">
        <v>122</v>
      </c>
      <c r="FC5" s="6" t="s">
        <v>247</v>
      </c>
      <c r="FD5" s="6" t="s">
        <v>248</v>
      </c>
      <c r="FE5" s="6" t="s">
        <v>249</v>
      </c>
      <c r="FF5" s="6" t="s">
        <v>250</v>
      </c>
      <c r="FG5" s="6" t="s">
        <v>78</v>
      </c>
      <c r="FH5" s="6" t="s">
        <v>78</v>
      </c>
      <c r="FI5" s="6" t="s">
        <v>123</v>
      </c>
      <c r="FJ5" s="6" t="s">
        <v>124</v>
      </c>
      <c r="FK5" s="6" t="s">
        <v>142</v>
      </c>
      <c r="FL5" s="6" t="s">
        <v>21</v>
      </c>
      <c r="FM5" s="6" t="s">
        <v>135</v>
      </c>
      <c r="FN5" s="6" t="s">
        <v>122</v>
      </c>
      <c r="FO5" s="6" t="s">
        <v>78</v>
      </c>
      <c r="FP5" s="6" t="s">
        <v>78</v>
      </c>
      <c r="FQ5" s="6" t="s">
        <v>123</v>
      </c>
      <c r="FR5" s="6" t="s">
        <v>124</v>
      </c>
      <c r="FS5" s="6" t="s">
        <v>78</v>
      </c>
      <c r="FT5" s="6" t="s">
        <v>78</v>
      </c>
      <c r="FU5" s="6" t="s">
        <v>78</v>
      </c>
      <c r="FV5" s="6" t="s">
        <v>78</v>
      </c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</row>
    <row r="6" spans="1:202" s="11" customFormat="1" x14ac:dyDescent="0.3">
      <c r="A6" s="9" t="s">
        <v>112</v>
      </c>
      <c r="B6" s="16" t="str">
        <f t="shared" ca="1" si="0"/>
        <v>10/14/2025</v>
      </c>
      <c r="C6" s="16" t="s">
        <v>83</v>
      </c>
      <c r="D6" s="16" t="s">
        <v>39</v>
      </c>
      <c r="E6" s="16" t="s">
        <v>23</v>
      </c>
      <c r="F6" s="16" t="s">
        <v>30</v>
      </c>
      <c r="G6" s="16" t="s">
        <v>64</v>
      </c>
      <c r="H6" s="16" t="s">
        <v>28</v>
      </c>
      <c r="I6" s="16" t="s">
        <v>75</v>
      </c>
      <c r="J6" s="6" t="s">
        <v>465</v>
      </c>
      <c r="K6" s="16" t="s">
        <v>22</v>
      </c>
      <c r="L6" s="16" t="s">
        <v>23</v>
      </c>
      <c r="M6" s="16" t="s">
        <v>24</v>
      </c>
      <c r="N6" s="16" t="s">
        <v>25</v>
      </c>
      <c r="O6" s="16" t="s">
        <v>25</v>
      </c>
      <c r="P6" s="16" t="s">
        <v>24</v>
      </c>
      <c r="Q6" s="16" t="s">
        <v>84</v>
      </c>
      <c r="R6" s="16" t="s">
        <v>87</v>
      </c>
      <c r="S6" s="16" t="s">
        <v>26</v>
      </c>
      <c r="T6" s="16" t="s">
        <v>27</v>
      </c>
      <c r="U6" s="16" t="s">
        <v>25</v>
      </c>
      <c r="V6" s="16" t="s">
        <v>23</v>
      </c>
      <c r="W6" s="16" t="s">
        <v>23</v>
      </c>
      <c r="X6" s="16" t="s">
        <v>38</v>
      </c>
      <c r="Y6" s="16" t="s">
        <v>95</v>
      </c>
      <c r="Z6" s="16" t="s">
        <v>60</v>
      </c>
      <c r="AA6" s="16" t="s">
        <v>35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 t="s">
        <v>229</v>
      </c>
      <c r="AS6" s="16" t="s">
        <v>229</v>
      </c>
      <c r="AT6" s="16"/>
      <c r="AU6" s="16"/>
      <c r="AV6" s="16"/>
      <c r="AW6" s="16"/>
      <c r="AX6" s="16"/>
      <c r="AY6" s="16"/>
      <c r="AZ6" s="16"/>
      <c r="BA6" s="16"/>
      <c r="BB6" s="16" t="s">
        <v>32</v>
      </c>
      <c r="BC6" s="16" t="s">
        <v>101</v>
      </c>
      <c r="BD6" s="16" t="s">
        <v>57</v>
      </c>
      <c r="BE6" s="16" t="s">
        <v>330</v>
      </c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 t="s">
        <v>331</v>
      </c>
      <c r="BR6" s="16" t="str">
        <f t="shared" si="1"/>
        <v>Automation ES Row 3</v>
      </c>
      <c r="BS6" s="16" t="str">
        <f t="shared" si="2"/>
        <v>191 Spencer St  -   , Manchester  , CT  , 06040</v>
      </c>
      <c r="BT6" s="16"/>
      <c r="BU6" s="16"/>
      <c r="BV6" s="16"/>
      <c r="BW6" s="16"/>
      <c r="BX6" s="16"/>
      <c r="BY6" s="16" t="s">
        <v>229</v>
      </c>
      <c r="BZ6" s="16" t="s">
        <v>330</v>
      </c>
      <c r="CA6" s="16" t="s">
        <v>229</v>
      </c>
      <c r="CB6" s="16" t="s">
        <v>229</v>
      </c>
      <c r="CC6" s="16" t="s">
        <v>229</v>
      </c>
      <c r="CD6" s="16" t="s">
        <v>229</v>
      </c>
      <c r="CE6" s="16" t="s">
        <v>229</v>
      </c>
      <c r="CF6" s="16" t="s">
        <v>229</v>
      </c>
      <c r="CG6" s="16" t="s">
        <v>229</v>
      </c>
      <c r="CH6" s="16" t="s">
        <v>229</v>
      </c>
      <c r="CI6" s="16" t="s">
        <v>330</v>
      </c>
      <c r="CJ6" s="16" t="s">
        <v>229</v>
      </c>
      <c r="CK6" s="16" t="s">
        <v>229</v>
      </c>
      <c r="CL6" s="16" t="s">
        <v>229</v>
      </c>
      <c r="CM6" s="16" t="s">
        <v>229</v>
      </c>
      <c r="CN6" s="16" t="s">
        <v>229</v>
      </c>
      <c r="CO6" s="11" t="s">
        <v>229</v>
      </c>
      <c r="CP6" s="11" t="s">
        <v>25</v>
      </c>
      <c r="CQ6" s="11" t="s">
        <v>443</v>
      </c>
      <c r="CR6" s="11" t="s">
        <v>444</v>
      </c>
      <c r="CS6" s="11" t="s">
        <v>25</v>
      </c>
      <c r="CT6" s="11" t="s">
        <v>445</v>
      </c>
      <c r="CU6" s="11" t="s">
        <v>446</v>
      </c>
      <c r="CV6" s="11" t="s">
        <v>330</v>
      </c>
      <c r="CW6" s="1" t="s">
        <v>229</v>
      </c>
      <c r="CX6" s="1" t="s">
        <v>229</v>
      </c>
      <c r="CY6" s="1" t="s">
        <v>229</v>
      </c>
      <c r="CZ6" s="1" t="s">
        <v>229</v>
      </c>
      <c r="DA6" s="1" t="s">
        <v>229</v>
      </c>
      <c r="DB6" s="1" t="s">
        <v>229</v>
      </c>
      <c r="DC6" s="1" t="s">
        <v>229</v>
      </c>
      <c r="DD6" s="1" t="s">
        <v>229</v>
      </c>
      <c r="DE6" s="1" t="s">
        <v>229</v>
      </c>
      <c r="DF6" s="1" t="s">
        <v>229</v>
      </c>
      <c r="DG6" s="16" t="s">
        <v>25</v>
      </c>
      <c r="DH6" s="16" t="s">
        <v>25</v>
      </c>
      <c r="DI6" s="16" t="s">
        <v>25</v>
      </c>
      <c r="DJ6" s="16" t="s">
        <v>42</v>
      </c>
      <c r="DK6" s="16" t="s">
        <v>42</v>
      </c>
      <c r="DL6" s="16" t="s">
        <v>45</v>
      </c>
      <c r="DM6" s="16" t="s">
        <v>81</v>
      </c>
      <c r="DN6" s="16"/>
      <c r="DO6" s="16"/>
      <c r="DP6" s="16"/>
      <c r="DQ6" s="16" t="s">
        <v>25</v>
      </c>
      <c r="DR6" s="16" t="s">
        <v>25</v>
      </c>
      <c r="DS6" s="16" t="s">
        <v>24</v>
      </c>
      <c r="DT6" s="16" t="s">
        <v>25</v>
      </c>
      <c r="DU6" s="16" t="s">
        <v>25</v>
      </c>
      <c r="DV6" s="16"/>
      <c r="DW6" s="16" t="s">
        <v>25</v>
      </c>
      <c r="DX6" s="16" t="s">
        <v>25</v>
      </c>
      <c r="DY6" s="16" t="s">
        <v>25</v>
      </c>
      <c r="DZ6" s="16" t="s">
        <v>25</v>
      </c>
      <c r="EA6" s="16" t="s">
        <v>25</v>
      </c>
      <c r="EB6" s="16" t="s">
        <v>25</v>
      </c>
      <c r="EC6" s="16" t="s">
        <v>25</v>
      </c>
      <c r="ED6" s="16" t="s">
        <v>25</v>
      </c>
      <c r="EE6" s="16"/>
      <c r="EF6" s="16" t="s">
        <v>25</v>
      </c>
      <c r="EG6" s="16"/>
      <c r="EH6" s="16" t="s">
        <v>49</v>
      </c>
      <c r="EI6" s="16" t="s">
        <v>36</v>
      </c>
      <c r="EJ6" s="16" t="str">
        <f t="shared" ca="1" si="3"/>
        <v>10/15/2025</v>
      </c>
      <c r="EK6" s="16" t="s">
        <v>49</v>
      </c>
      <c r="EL6" s="16" t="s">
        <v>48</v>
      </c>
      <c r="EM6" s="16" t="s">
        <v>56</v>
      </c>
      <c r="EN6" s="16" t="s">
        <v>56</v>
      </c>
      <c r="EO6" s="16" t="s">
        <v>121</v>
      </c>
      <c r="EP6" s="16" t="s">
        <v>122</v>
      </c>
      <c r="EQ6" s="16" t="s">
        <v>247</v>
      </c>
      <c r="ER6" s="16" t="s">
        <v>248</v>
      </c>
      <c r="ES6" s="16" t="s">
        <v>249</v>
      </c>
      <c r="ET6" s="16" t="s">
        <v>250</v>
      </c>
      <c r="EU6" s="16" t="s">
        <v>78</v>
      </c>
      <c r="EV6" s="16" t="s">
        <v>78</v>
      </c>
      <c r="EW6" s="16" t="s">
        <v>123</v>
      </c>
      <c r="EX6" s="16" t="s">
        <v>124</v>
      </c>
      <c r="EY6" s="16" t="s">
        <v>56</v>
      </c>
      <c r="EZ6" s="16" t="s">
        <v>56</v>
      </c>
      <c r="FA6" s="16" t="s">
        <v>121</v>
      </c>
      <c r="FB6" s="16" t="s">
        <v>122</v>
      </c>
      <c r="FC6" s="16" t="s">
        <v>247</v>
      </c>
      <c r="FD6" s="16" t="s">
        <v>248</v>
      </c>
      <c r="FE6" s="16" t="s">
        <v>249</v>
      </c>
      <c r="FF6" s="16" t="s">
        <v>250</v>
      </c>
      <c r="FG6" s="16" t="s">
        <v>78</v>
      </c>
      <c r="FH6" s="16" t="s">
        <v>78</v>
      </c>
      <c r="FI6" s="16" t="s">
        <v>123</v>
      </c>
      <c r="FJ6" s="16" t="s">
        <v>124</v>
      </c>
      <c r="FK6" s="16" t="s">
        <v>142</v>
      </c>
      <c r="FL6" s="16" t="s">
        <v>21</v>
      </c>
      <c r="FM6" s="16" t="s">
        <v>135</v>
      </c>
      <c r="FN6" s="16" t="s">
        <v>122</v>
      </c>
      <c r="FO6" s="16" t="s">
        <v>78</v>
      </c>
      <c r="FP6" s="16" t="s">
        <v>78</v>
      </c>
      <c r="FQ6" s="16" t="s">
        <v>150</v>
      </c>
      <c r="FR6" s="16" t="s">
        <v>122</v>
      </c>
      <c r="FS6" s="16" t="s">
        <v>78</v>
      </c>
      <c r="FT6" s="16" t="s">
        <v>78</v>
      </c>
      <c r="FU6" s="16" t="s">
        <v>78</v>
      </c>
      <c r="FV6" s="16" t="s">
        <v>78</v>
      </c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</row>
    <row r="7" spans="1:202" s="1" customFormat="1" x14ac:dyDescent="0.3">
      <c r="A7" s="10" t="s">
        <v>113</v>
      </c>
      <c r="B7" s="6" t="str">
        <f t="shared" ca="1" si="0"/>
        <v>10/14/2025</v>
      </c>
      <c r="C7" s="6" t="s">
        <v>83</v>
      </c>
      <c r="D7" s="6" t="s">
        <v>39</v>
      </c>
      <c r="E7" s="6" t="s">
        <v>23</v>
      </c>
      <c r="F7" s="6" t="s">
        <v>31</v>
      </c>
      <c r="G7" s="6" t="s">
        <v>63</v>
      </c>
      <c r="H7" s="6" t="s">
        <v>69</v>
      </c>
      <c r="I7" s="6" t="s">
        <v>74</v>
      </c>
      <c r="J7" s="6" t="s">
        <v>465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25</v>
      </c>
      <c r="P7" s="6" t="s">
        <v>24</v>
      </c>
      <c r="Q7" s="6" t="s">
        <v>84</v>
      </c>
      <c r="R7" s="6" t="s">
        <v>88</v>
      </c>
      <c r="S7" s="6" t="s">
        <v>26</v>
      </c>
      <c r="T7" s="6" t="s">
        <v>27</v>
      </c>
      <c r="U7" s="6" t="s">
        <v>25</v>
      </c>
      <c r="V7" s="6" t="s">
        <v>23</v>
      </c>
      <c r="W7" s="6" t="s">
        <v>23</v>
      </c>
      <c r="X7" s="6" t="s">
        <v>38</v>
      </c>
      <c r="Y7" s="6" t="s">
        <v>96</v>
      </c>
      <c r="Z7" s="6" t="s">
        <v>60</v>
      </c>
      <c r="AA7" s="6" t="s">
        <v>35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 t="s">
        <v>229</v>
      </c>
      <c r="AS7" s="6" t="s">
        <v>229</v>
      </c>
      <c r="AT7" s="6"/>
      <c r="AU7" s="6"/>
      <c r="AV7" s="6"/>
      <c r="AW7" s="6"/>
      <c r="AX7" s="6"/>
      <c r="AY7" s="6"/>
      <c r="AZ7" s="6"/>
      <c r="BA7" s="6"/>
      <c r="BB7" s="6" t="s">
        <v>32</v>
      </c>
      <c r="BC7" s="6" t="s">
        <v>101</v>
      </c>
      <c r="BD7" s="6" t="s">
        <v>57</v>
      </c>
      <c r="BE7" s="6" t="s">
        <v>330</v>
      </c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 t="s">
        <v>331</v>
      </c>
      <c r="BR7" s="6" t="str">
        <f t="shared" si="1"/>
        <v>Automation ES Row 4</v>
      </c>
      <c r="BS7" s="6" t="str">
        <f t="shared" si="2"/>
        <v>39 Dalton St  -   , BOSTON  , MA  , 02199</v>
      </c>
      <c r="BT7" s="6"/>
      <c r="BU7" s="6"/>
      <c r="BV7" s="6"/>
      <c r="BW7" s="6"/>
      <c r="BX7" s="6"/>
      <c r="BY7" s="6" t="s">
        <v>229</v>
      </c>
      <c r="BZ7" s="6" t="s">
        <v>330</v>
      </c>
      <c r="CA7" s="6" t="s">
        <v>229</v>
      </c>
      <c r="CB7" s="6" t="s">
        <v>229</v>
      </c>
      <c r="CC7" s="6" t="s">
        <v>229</v>
      </c>
      <c r="CD7" s="6" t="s">
        <v>229</v>
      </c>
      <c r="CE7" s="6" t="s">
        <v>229</v>
      </c>
      <c r="CF7" s="6" t="s">
        <v>229</v>
      </c>
      <c r="CG7" s="6" t="s">
        <v>229</v>
      </c>
      <c r="CH7" s="6" t="s">
        <v>229</v>
      </c>
      <c r="CI7" s="6" t="s">
        <v>330</v>
      </c>
      <c r="CJ7" s="6" t="s">
        <v>229</v>
      </c>
      <c r="CK7" s="6" t="s">
        <v>229</v>
      </c>
      <c r="CL7" s="6" t="s">
        <v>229</v>
      </c>
      <c r="CM7" s="6" t="s">
        <v>229</v>
      </c>
      <c r="CN7" s="6" t="s">
        <v>229</v>
      </c>
      <c r="CO7" s="1" t="s">
        <v>229</v>
      </c>
      <c r="CP7" s="1" t="s">
        <v>25</v>
      </c>
      <c r="CQ7" s="1" t="s">
        <v>443</v>
      </c>
      <c r="CR7" s="1" t="s">
        <v>444</v>
      </c>
      <c r="CS7" s="1" t="s">
        <v>25</v>
      </c>
      <c r="CT7" s="1" t="s">
        <v>445</v>
      </c>
      <c r="CU7" s="1" t="s">
        <v>446</v>
      </c>
      <c r="CV7" s="1" t="s">
        <v>330</v>
      </c>
      <c r="CW7" s="1" t="s">
        <v>229</v>
      </c>
      <c r="CX7" s="1" t="s">
        <v>229</v>
      </c>
      <c r="CY7" s="1" t="s">
        <v>229</v>
      </c>
      <c r="CZ7" s="1" t="s">
        <v>229</v>
      </c>
      <c r="DA7" s="1" t="s">
        <v>229</v>
      </c>
      <c r="DB7" s="1" t="s">
        <v>229</v>
      </c>
      <c r="DC7" s="1" t="s">
        <v>229</v>
      </c>
      <c r="DD7" s="1" t="s">
        <v>229</v>
      </c>
      <c r="DE7" s="1" t="s">
        <v>229</v>
      </c>
      <c r="DF7" s="1" t="s">
        <v>229</v>
      </c>
      <c r="DG7" s="6" t="s">
        <v>25</v>
      </c>
      <c r="DH7" s="6" t="s">
        <v>25</v>
      </c>
      <c r="DI7" s="6" t="s">
        <v>25</v>
      </c>
      <c r="DJ7" s="6" t="s">
        <v>42</v>
      </c>
      <c r="DK7" s="6" t="s">
        <v>42</v>
      </c>
      <c r="DL7" s="6" t="s">
        <v>45</v>
      </c>
      <c r="DM7" s="6" t="s">
        <v>81</v>
      </c>
      <c r="DN7" s="6"/>
      <c r="DO7" s="6"/>
      <c r="DP7" s="6"/>
      <c r="DQ7" s="6" t="s">
        <v>25</v>
      </c>
      <c r="DR7" s="6" t="s">
        <v>25</v>
      </c>
      <c r="DS7" s="6" t="s">
        <v>24</v>
      </c>
      <c r="DT7" s="6" t="s">
        <v>25</v>
      </c>
      <c r="DU7" s="6" t="s">
        <v>25</v>
      </c>
      <c r="DV7" s="6"/>
      <c r="DW7" s="6" t="s">
        <v>25</v>
      </c>
      <c r="DX7" s="6" t="s">
        <v>25</v>
      </c>
      <c r="DY7" s="6" t="s">
        <v>25</v>
      </c>
      <c r="DZ7" s="6" t="s">
        <v>25</v>
      </c>
      <c r="EA7" s="6" t="s">
        <v>25</v>
      </c>
      <c r="EB7" s="6" t="s">
        <v>25</v>
      </c>
      <c r="EC7" s="6" t="s">
        <v>25</v>
      </c>
      <c r="ED7" s="6" t="s">
        <v>25</v>
      </c>
      <c r="EE7" s="6"/>
      <c r="EF7" s="6" t="s">
        <v>25</v>
      </c>
      <c r="EG7" s="6"/>
      <c r="EH7" s="6" t="s">
        <v>49</v>
      </c>
      <c r="EI7" s="6" t="s">
        <v>36</v>
      </c>
      <c r="EJ7" s="6" t="str">
        <f t="shared" ca="1" si="3"/>
        <v>10/15/2025</v>
      </c>
      <c r="EK7" s="6" t="s">
        <v>49</v>
      </c>
      <c r="EL7" s="6" t="s">
        <v>48</v>
      </c>
      <c r="EM7" s="6" t="s">
        <v>56</v>
      </c>
      <c r="EN7" s="6" t="s">
        <v>56</v>
      </c>
      <c r="EO7" s="6" t="s">
        <v>121</v>
      </c>
      <c r="EP7" s="6" t="s">
        <v>122</v>
      </c>
      <c r="EQ7" s="6" t="s">
        <v>247</v>
      </c>
      <c r="ER7" s="6" t="s">
        <v>248</v>
      </c>
      <c r="ES7" s="6" t="s">
        <v>249</v>
      </c>
      <c r="ET7" s="6" t="s">
        <v>250</v>
      </c>
      <c r="EU7" s="6" t="s">
        <v>78</v>
      </c>
      <c r="EV7" s="6" t="s">
        <v>78</v>
      </c>
      <c r="EW7" s="6" t="s">
        <v>123</v>
      </c>
      <c r="EX7" s="6" t="s">
        <v>124</v>
      </c>
      <c r="EY7" s="6" t="s">
        <v>56</v>
      </c>
      <c r="EZ7" s="6" t="s">
        <v>56</v>
      </c>
      <c r="FA7" s="6" t="s">
        <v>121</v>
      </c>
      <c r="FB7" s="6" t="s">
        <v>122</v>
      </c>
      <c r="FC7" s="6" t="s">
        <v>247</v>
      </c>
      <c r="FD7" s="6" t="s">
        <v>248</v>
      </c>
      <c r="FE7" s="6" t="s">
        <v>249</v>
      </c>
      <c r="FF7" s="6" t="s">
        <v>250</v>
      </c>
      <c r="FG7" s="6" t="s">
        <v>78</v>
      </c>
      <c r="FH7" s="6" t="s">
        <v>78</v>
      </c>
      <c r="FI7" s="6" t="s">
        <v>123</v>
      </c>
      <c r="FJ7" s="6" t="s">
        <v>124</v>
      </c>
      <c r="FK7" s="6" t="s">
        <v>142</v>
      </c>
      <c r="FL7" s="6" t="s">
        <v>21</v>
      </c>
      <c r="FM7" s="6" t="s">
        <v>135</v>
      </c>
      <c r="FN7" s="6" t="s">
        <v>122</v>
      </c>
      <c r="FO7" s="6" t="s">
        <v>78</v>
      </c>
      <c r="FP7" s="6" t="s">
        <v>78</v>
      </c>
      <c r="FQ7" s="6" t="s">
        <v>123</v>
      </c>
      <c r="FR7" s="6" t="s">
        <v>124</v>
      </c>
      <c r="FS7" s="6" t="s">
        <v>78</v>
      </c>
      <c r="FT7" s="6" t="s">
        <v>78</v>
      </c>
      <c r="FU7" s="6" t="s">
        <v>78</v>
      </c>
      <c r="FV7" s="6" t="s">
        <v>78</v>
      </c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</row>
    <row r="8" spans="1:202" s="11" customFormat="1" x14ac:dyDescent="0.3">
      <c r="A8" s="9" t="s">
        <v>116</v>
      </c>
      <c r="B8" s="16" t="str">
        <f t="shared" ca="1" si="0"/>
        <v>10/14/2025</v>
      </c>
      <c r="C8" s="16" t="s">
        <v>83</v>
      </c>
      <c r="D8" s="16" t="s">
        <v>39</v>
      </c>
      <c r="E8" s="16" t="s">
        <v>23</v>
      </c>
      <c r="F8" s="16" t="s">
        <v>34</v>
      </c>
      <c r="G8" s="16" t="s">
        <v>65</v>
      </c>
      <c r="H8" s="16" t="s">
        <v>70</v>
      </c>
      <c r="I8" s="16" t="s">
        <v>76</v>
      </c>
      <c r="J8" s="6" t="s">
        <v>465</v>
      </c>
      <c r="K8" s="16" t="s">
        <v>22</v>
      </c>
      <c r="L8" s="16" t="s">
        <v>23</v>
      </c>
      <c r="M8" s="16" t="s">
        <v>24</v>
      </c>
      <c r="N8" s="16" t="s">
        <v>25</v>
      </c>
      <c r="O8" s="16" t="s">
        <v>25</v>
      </c>
      <c r="P8" s="16" t="s">
        <v>24</v>
      </c>
      <c r="Q8" s="16" t="s">
        <v>84</v>
      </c>
      <c r="R8" s="16" t="s">
        <v>89</v>
      </c>
      <c r="S8" s="16" t="s">
        <v>26</v>
      </c>
      <c r="T8" s="16" t="s">
        <v>27</v>
      </c>
      <c r="U8" s="16" t="s">
        <v>25</v>
      </c>
      <c r="V8" s="16" t="s">
        <v>23</v>
      </c>
      <c r="W8" s="16" t="s">
        <v>23</v>
      </c>
      <c r="X8" s="16" t="s">
        <v>38</v>
      </c>
      <c r="Y8" s="16" t="s">
        <v>97</v>
      </c>
      <c r="Z8" s="16" t="s">
        <v>60</v>
      </c>
      <c r="AA8" s="16" t="s">
        <v>35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 t="s">
        <v>229</v>
      </c>
      <c r="AS8" s="16" t="s">
        <v>229</v>
      </c>
      <c r="AT8" s="16"/>
      <c r="AU8" s="16"/>
      <c r="AV8" s="16"/>
      <c r="AW8" s="16"/>
      <c r="AX8" s="16"/>
      <c r="AY8" s="16"/>
      <c r="AZ8" s="16"/>
      <c r="BA8" s="16"/>
      <c r="BB8" s="16" t="s">
        <v>32</v>
      </c>
      <c r="BC8" s="16" t="s">
        <v>101</v>
      </c>
      <c r="BD8" s="16" t="s">
        <v>57</v>
      </c>
      <c r="BE8" s="16" t="s">
        <v>330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 t="s">
        <v>331</v>
      </c>
      <c r="BR8" s="16" t="str">
        <f t="shared" si="1"/>
        <v>Automation ES Row 5</v>
      </c>
      <c r="BS8" s="16" t="str">
        <f t="shared" si="2"/>
        <v>4501 S IH 35 Frontage Rd  -   , Austin  , TX  , 78744</v>
      </c>
      <c r="BT8" s="16"/>
      <c r="BU8" s="16"/>
      <c r="BV8" s="16"/>
      <c r="BW8" s="16"/>
      <c r="BX8" s="16"/>
      <c r="BY8" s="16" t="s">
        <v>229</v>
      </c>
      <c r="BZ8" s="16" t="s">
        <v>330</v>
      </c>
      <c r="CA8" s="16" t="s">
        <v>229</v>
      </c>
      <c r="CB8" s="16" t="s">
        <v>229</v>
      </c>
      <c r="CC8" s="16" t="s">
        <v>229</v>
      </c>
      <c r="CD8" s="16" t="s">
        <v>229</v>
      </c>
      <c r="CE8" s="16" t="s">
        <v>229</v>
      </c>
      <c r="CF8" s="16" t="s">
        <v>229</v>
      </c>
      <c r="CG8" s="16" t="s">
        <v>229</v>
      </c>
      <c r="CH8" s="16" t="s">
        <v>229</v>
      </c>
      <c r="CI8" s="16" t="s">
        <v>330</v>
      </c>
      <c r="CJ8" s="16" t="s">
        <v>229</v>
      </c>
      <c r="CK8" s="16" t="s">
        <v>229</v>
      </c>
      <c r="CL8" s="16" t="s">
        <v>229</v>
      </c>
      <c r="CM8" s="16" t="s">
        <v>229</v>
      </c>
      <c r="CN8" s="16" t="s">
        <v>229</v>
      </c>
      <c r="CO8" s="11" t="s">
        <v>229</v>
      </c>
      <c r="CP8" s="11" t="s">
        <v>25</v>
      </c>
      <c r="CQ8" s="11" t="s">
        <v>443</v>
      </c>
      <c r="CR8" s="11" t="s">
        <v>444</v>
      </c>
      <c r="CS8" s="11" t="s">
        <v>25</v>
      </c>
      <c r="CT8" s="11" t="s">
        <v>445</v>
      </c>
      <c r="CU8" s="11" t="s">
        <v>446</v>
      </c>
      <c r="CV8" s="11" t="s">
        <v>330</v>
      </c>
      <c r="CW8" s="1" t="s">
        <v>229</v>
      </c>
      <c r="CX8" s="1" t="s">
        <v>229</v>
      </c>
      <c r="CY8" s="1" t="s">
        <v>229</v>
      </c>
      <c r="CZ8" s="1" t="s">
        <v>229</v>
      </c>
      <c r="DA8" s="1" t="s">
        <v>229</v>
      </c>
      <c r="DB8" s="1" t="s">
        <v>229</v>
      </c>
      <c r="DC8" s="1" t="s">
        <v>229</v>
      </c>
      <c r="DD8" s="1" t="s">
        <v>229</v>
      </c>
      <c r="DE8" s="1" t="s">
        <v>229</v>
      </c>
      <c r="DF8" s="1" t="s">
        <v>229</v>
      </c>
      <c r="DG8" s="16" t="s">
        <v>25</v>
      </c>
      <c r="DH8" s="16" t="s">
        <v>25</v>
      </c>
      <c r="DI8" s="16" t="s">
        <v>25</v>
      </c>
      <c r="DJ8" s="16" t="s">
        <v>42</v>
      </c>
      <c r="DK8" s="16" t="s">
        <v>42</v>
      </c>
      <c r="DL8" s="16" t="s">
        <v>45</v>
      </c>
      <c r="DM8" s="16" t="s">
        <v>81</v>
      </c>
      <c r="DN8" s="16"/>
      <c r="DO8" s="16"/>
      <c r="DP8" s="16"/>
      <c r="DQ8" s="16" t="s">
        <v>25</v>
      </c>
      <c r="DR8" s="16" t="s">
        <v>25</v>
      </c>
      <c r="DS8" s="16" t="s">
        <v>24</v>
      </c>
      <c r="DT8" s="16" t="s">
        <v>25</v>
      </c>
      <c r="DU8" s="16" t="s">
        <v>25</v>
      </c>
      <c r="DV8" s="16"/>
      <c r="DW8" s="16" t="s">
        <v>25</v>
      </c>
      <c r="DX8" s="16" t="s">
        <v>25</v>
      </c>
      <c r="DY8" s="16" t="s">
        <v>25</v>
      </c>
      <c r="DZ8" s="16" t="s">
        <v>25</v>
      </c>
      <c r="EA8" s="16" t="s">
        <v>25</v>
      </c>
      <c r="EB8" s="16" t="s">
        <v>25</v>
      </c>
      <c r="EC8" s="16" t="s">
        <v>25</v>
      </c>
      <c r="ED8" s="16" t="s">
        <v>25</v>
      </c>
      <c r="EE8" s="16"/>
      <c r="EF8" s="16" t="s">
        <v>25</v>
      </c>
      <c r="EG8" s="16"/>
      <c r="EH8" s="16" t="s">
        <v>49</v>
      </c>
      <c r="EI8" s="16" t="s">
        <v>36</v>
      </c>
      <c r="EJ8" s="16" t="str">
        <f t="shared" ca="1" si="3"/>
        <v>10/15/2025</v>
      </c>
      <c r="EK8" s="16" t="s">
        <v>49</v>
      </c>
      <c r="EL8" s="16" t="s">
        <v>48</v>
      </c>
      <c r="EM8" s="16" t="s">
        <v>56</v>
      </c>
      <c r="EN8" s="16" t="s">
        <v>56</v>
      </c>
      <c r="EO8" s="16" t="s">
        <v>121</v>
      </c>
      <c r="EP8" s="16" t="s">
        <v>122</v>
      </c>
      <c r="EQ8" s="16" t="s">
        <v>247</v>
      </c>
      <c r="ER8" s="16" t="s">
        <v>248</v>
      </c>
      <c r="ES8" s="16" t="s">
        <v>249</v>
      </c>
      <c r="ET8" s="16" t="s">
        <v>250</v>
      </c>
      <c r="EU8" s="16" t="s">
        <v>78</v>
      </c>
      <c r="EV8" s="16" t="s">
        <v>78</v>
      </c>
      <c r="EW8" s="16" t="s">
        <v>123</v>
      </c>
      <c r="EX8" s="16" t="s">
        <v>124</v>
      </c>
      <c r="EY8" s="16" t="s">
        <v>56</v>
      </c>
      <c r="EZ8" s="16" t="s">
        <v>56</v>
      </c>
      <c r="FA8" s="16" t="s">
        <v>121</v>
      </c>
      <c r="FB8" s="16" t="s">
        <v>122</v>
      </c>
      <c r="FC8" s="16" t="s">
        <v>247</v>
      </c>
      <c r="FD8" s="16" t="s">
        <v>248</v>
      </c>
      <c r="FE8" s="16" t="s">
        <v>249</v>
      </c>
      <c r="FF8" s="16" t="s">
        <v>250</v>
      </c>
      <c r="FG8" s="16" t="s">
        <v>78</v>
      </c>
      <c r="FH8" s="16" t="s">
        <v>78</v>
      </c>
      <c r="FI8" s="16" t="s">
        <v>123</v>
      </c>
      <c r="FJ8" s="16" t="s">
        <v>124</v>
      </c>
      <c r="FK8" s="16" t="s">
        <v>142</v>
      </c>
      <c r="FL8" s="16" t="s">
        <v>21</v>
      </c>
      <c r="FM8" s="16" t="s">
        <v>135</v>
      </c>
      <c r="FN8" s="16" t="s">
        <v>122</v>
      </c>
      <c r="FO8" s="16" t="s">
        <v>78</v>
      </c>
      <c r="FP8" s="16" t="s">
        <v>78</v>
      </c>
      <c r="FQ8" s="16" t="s">
        <v>123</v>
      </c>
      <c r="FR8" s="16" t="s">
        <v>124</v>
      </c>
      <c r="FS8" s="16" t="s">
        <v>78</v>
      </c>
      <c r="FT8" s="16" t="s">
        <v>78</v>
      </c>
      <c r="FU8" s="16" t="s">
        <v>78</v>
      </c>
      <c r="FV8" s="16" t="s">
        <v>78</v>
      </c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</row>
    <row r="9" spans="1:202" s="1" customFormat="1" x14ac:dyDescent="0.3">
      <c r="A9" s="10" t="s">
        <v>115</v>
      </c>
      <c r="B9" s="6" t="str">
        <f t="shared" ca="1" si="0"/>
        <v>10/14/2025</v>
      </c>
      <c r="C9" s="6" t="s">
        <v>83</v>
      </c>
      <c r="D9" s="6" t="s">
        <v>39</v>
      </c>
      <c r="E9" s="6" t="s">
        <v>25</v>
      </c>
      <c r="F9" s="6" t="s">
        <v>33</v>
      </c>
      <c r="G9" s="6" t="s">
        <v>66</v>
      </c>
      <c r="H9" s="6" t="s">
        <v>71</v>
      </c>
      <c r="I9" s="6" t="s">
        <v>77</v>
      </c>
      <c r="J9" s="6" t="s">
        <v>465</v>
      </c>
      <c r="K9" s="6" t="s">
        <v>22</v>
      </c>
      <c r="L9" s="6" t="s">
        <v>23</v>
      </c>
      <c r="M9" s="6" t="s">
        <v>24</v>
      </c>
      <c r="N9" s="6" t="s">
        <v>25</v>
      </c>
      <c r="O9" s="6" t="s">
        <v>25</v>
      </c>
      <c r="P9" s="6" t="s">
        <v>24</v>
      </c>
      <c r="Q9" s="6" t="s">
        <v>84</v>
      </c>
      <c r="R9" s="6" t="s">
        <v>90</v>
      </c>
      <c r="S9" s="6" t="s">
        <v>26</v>
      </c>
      <c r="T9" s="6" t="s">
        <v>27</v>
      </c>
      <c r="U9" s="6" t="s">
        <v>25</v>
      </c>
      <c r="V9" s="6" t="s">
        <v>23</v>
      </c>
      <c r="W9" s="6" t="s">
        <v>23</v>
      </c>
      <c r="X9" s="6" t="s">
        <v>38</v>
      </c>
      <c r="Y9" s="6" t="s">
        <v>94</v>
      </c>
      <c r="Z9" s="6" t="s">
        <v>60</v>
      </c>
      <c r="AA9" s="6" t="s">
        <v>35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 t="s">
        <v>229</v>
      </c>
      <c r="AS9" s="6" t="s">
        <v>229</v>
      </c>
      <c r="AT9" s="6"/>
      <c r="AU9" s="6"/>
      <c r="AV9" s="6"/>
      <c r="AW9" s="6"/>
      <c r="AX9" s="6"/>
      <c r="AY9" s="6"/>
      <c r="AZ9" s="6"/>
      <c r="BA9" s="6"/>
      <c r="BB9" s="6" t="s">
        <v>32</v>
      </c>
      <c r="BC9" s="6" t="s">
        <v>101</v>
      </c>
      <c r="BD9" s="6" t="s">
        <v>57</v>
      </c>
      <c r="BE9" s="6" t="s">
        <v>330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 t="s">
        <v>331</v>
      </c>
      <c r="BR9" s="6" t="str">
        <f t="shared" si="1"/>
        <v>Automation ES Row 6</v>
      </c>
      <c r="BS9" s="6" t="str">
        <f t="shared" si="2"/>
        <v>1815 E West Pkwy  -   , Fleming Island  , FL  , 32003</v>
      </c>
      <c r="BT9" s="6"/>
      <c r="BU9" s="6"/>
      <c r="BV9" s="6"/>
      <c r="BW9" s="6"/>
      <c r="BX9" s="6"/>
      <c r="BY9" s="6" t="s">
        <v>229</v>
      </c>
      <c r="BZ9" s="6" t="s">
        <v>330</v>
      </c>
      <c r="CA9" s="6" t="s">
        <v>229</v>
      </c>
      <c r="CB9" s="6" t="s">
        <v>229</v>
      </c>
      <c r="CC9" s="6" t="s">
        <v>229</v>
      </c>
      <c r="CD9" s="6" t="s">
        <v>229</v>
      </c>
      <c r="CE9" s="6" t="s">
        <v>229</v>
      </c>
      <c r="CF9" s="6" t="s">
        <v>229</v>
      </c>
      <c r="CG9" s="6" t="s">
        <v>229</v>
      </c>
      <c r="CH9" s="6" t="s">
        <v>229</v>
      </c>
      <c r="CI9" s="6" t="s">
        <v>330</v>
      </c>
      <c r="CJ9" s="6" t="s">
        <v>229</v>
      </c>
      <c r="CK9" s="6" t="s">
        <v>229</v>
      </c>
      <c r="CL9" s="6" t="s">
        <v>229</v>
      </c>
      <c r="CM9" s="6" t="s">
        <v>229</v>
      </c>
      <c r="CN9" s="6" t="s">
        <v>229</v>
      </c>
      <c r="CO9" s="1" t="s">
        <v>229</v>
      </c>
      <c r="CP9" s="1" t="s">
        <v>25</v>
      </c>
      <c r="CQ9" s="1" t="s">
        <v>443</v>
      </c>
      <c r="CR9" s="1" t="s">
        <v>444</v>
      </c>
      <c r="CS9" s="1" t="s">
        <v>25</v>
      </c>
      <c r="CT9" s="1" t="s">
        <v>445</v>
      </c>
      <c r="CU9" s="1" t="s">
        <v>446</v>
      </c>
      <c r="CV9" s="1" t="s">
        <v>330</v>
      </c>
      <c r="CW9" s="1" t="s">
        <v>229</v>
      </c>
      <c r="CX9" s="1" t="s">
        <v>229</v>
      </c>
      <c r="CY9" s="1" t="s">
        <v>229</v>
      </c>
      <c r="CZ9" s="1" t="s">
        <v>229</v>
      </c>
      <c r="DA9" s="1" t="s">
        <v>229</v>
      </c>
      <c r="DB9" s="1" t="s">
        <v>229</v>
      </c>
      <c r="DC9" s="1" t="s">
        <v>229</v>
      </c>
      <c r="DD9" s="1" t="s">
        <v>229</v>
      </c>
      <c r="DE9" s="1" t="s">
        <v>229</v>
      </c>
      <c r="DF9" s="1" t="s">
        <v>229</v>
      </c>
      <c r="DG9" s="6" t="s">
        <v>25</v>
      </c>
      <c r="DH9" s="6" t="s">
        <v>25</v>
      </c>
      <c r="DI9" s="6" t="s">
        <v>25</v>
      </c>
      <c r="DJ9" s="6" t="s">
        <v>42</v>
      </c>
      <c r="DK9" s="6" t="s">
        <v>42</v>
      </c>
      <c r="DL9" s="6" t="s">
        <v>45</v>
      </c>
      <c r="DM9" s="6" t="s">
        <v>81</v>
      </c>
      <c r="DN9" s="6"/>
      <c r="DO9" s="6"/>
      <c r="DP9" s="6"/>
      <c r="DQ9" s="6" t="s">
        <v>25</v>
      </c>
      <c r="DR9" s="6" t="s">
        <v>25</v>
      </c>
      <c r="DS9" s="6" t="s">
        <v>24</v>
      </c>
      <c r="DT9" s="6" t="s">
        <v>25</v>
      </c>
      <c r="DU9" s="6" t="s">
        <v>25</v>
      </c>
      <c r="DV9" s="6"/>
      <c r="DW9" s="6" t="s">
        <v>25</v>
      </c>
      <c r="DX9" s="6" t="s">
        <v>25</v>
      </c>
      <c r="DY9" s="6" t="s">
        <v>25</v>
      </c>
      <c r="DZ9" s="6" t="s">
        <v>25</v>
      </c>
      <c r="EA9" s="6" t="s">
        <v>25</v>
      </c>
      <c r="EB9" s="6" t="s">
        <v>25</v>
      </c>
      <c r="EC9" s="6" t="s">
        <v>25</v>
      </c>
      <c r="ED9" s="6" t="s">
        <v>25</v>
      </c>
      <c r="EE9" s="6"/>
      <c r="EF9" s="6" t="s">
        <v>25</v>
      </c>
      <c r="EG9" s="6"/>
      <c r="EH9" s="6" t="s">
        <v>49</v>
      </c>
      <c r="EI9" s="6" t="s">
        <v>36</v>
      </c>
      <c r="EJ9" s="6" t="str">
        <f t="shared" ca="1" si="3"/>
        <v>10/15/2025</v>
      </c>
      <c r="EK9" s="6" t="s">
        <v>49</v>
      </c>
      <c r="EL9" s="6" t="s">
        <v>48</v>
      </c>
      <c r="EM9" s="6" t="s">
        <v>56</v>
      </c>
      <c r="EN9" s="6" t="s">
        <v>56</v>
      </c>
      <c r="EO9" s="6" t="s">
        <v>121</v>
      </c>
      <c r="EP9" s="6" t="s">
        <v>122</v>
      </c>
      <c r="EQ9" s="6" t="s">
        <v>247</v>
      </c>
      <c r="ER9" s="6" t="s">
        <v>248</v>
      </c>
      <c r="ES9" s="6" t="s">
        <v>249</v>
      </c>
      <c r="ET9" s="6" t="s">
        <v>250</v>
      </c>
      <c r="EU9" s="6" t="s">
        <v>78</v>
      </c>
      <c r="EV9" s="6" t="s">
        <v>78</v>
      </c>
      <c r="EW9" s="6" t="s">
        <v>123</v>
      </c>
      <c r="EX9" s="6" t="s">
        <v>124</v>
      </c>
      <c r="EY9" s="6" t="s">
        <v>56</v>
      </c>
      <c r="EZ9" s="6" t="s">
        <v>56</v>
      </c>
      <c r="FA9" s="6" t="s">
        <v>121</v>
      </c>
      <c r="FB9" s="6" t="s">
        <v>122</v>
      </c>
      <c r="FC9" s="6" t="s">
        <v>247</v>
      </c>
      <c r="FD9" s="6" t="s">
        <v>248</v>
      </c>
      <c r="FE9" s="6" t="s">
        <v>249</v>
      </c>
      <c r="FF9" s="6" t="s">
        <v>250</v>
      </c>
      <c r="FG9" s="6" t="s">
        <v>78</v>
      </c>
      <c r="FH9" s="6" t="s">
        <v>78</v>
      </c>
      <c r="FI9" s="6" t="s">
        <v>123</v>
      </c>
      <c r="FJ9" s="6" t="s">
        <v>124</v>
      </c>
      <c r="FK9" s="6" t="s">
        <v>142</v>
      </c>
      <c r="FL9" s="6" t="s">
        <v>21</v>
      </c>
      <c r="FM9" s="6" t="s">
        <v>135</v>
      </c>
      <c r="FN9" s="6" t="s">
        <v>122</v>
      </c>
      <c r="FO9" s="6" t="s">
        <v>78</v>
      </c>
      <c r="FP9" s="6" t="s">
        <v>78</v>
      </c>
      <c r="FQ9" s="6" t="s">
        <v>123</v>
      </c>
      <c r="FR9" s="6" t="s">
        <v>124</v>
      </c>
      <c r="FS9" s="6" t="s">
        <v>78</v>
      </c>
      <c r="FT9" s="6" t="s">
        <v>78</v>
      </c>
      <c r="FU9" s="6" t="s">
        <v>78</v>
      </c>
      <c r="FV9" s="6" t="s">
        <v>78</v>
      </c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</row>
    <row r="10" spans="1:202" s="16" customFormat="1" x14ac:dyDescent="0.3">
      <c r="A10" s="10" t="s">
        <v>259</v>
      </c>
      <c r="B10" s="16" t="str">
        <f t="shared" ca="1" si="0"/>
        <v>10/14/2025</v>
      </c>
      <c r="C10" s="16" t="s">
        <v>83</v>
      </c>
      <c r="D10" s="16" t="s">
        <v>39</v>
      </c>
      <c r="E10" s="16" t="s">
        <v>23</v>
      </c>
      <c r="F10" s="16" t="s">
        <v>255</v>
      </c>
      <c r="G10" s="16" t="s">
        <v>256</v>
      </c>
      <c r="H10" s="16" t="s">
        <v>257</v>
      </c>
      <c r="I10" s="16" t="s">
        <v>258</v>
      </c>
      <c r="J10" s="6" t="s">
        <v>465</v>
      </c>
      <c r="K10" s="16" t="s">
        <v>22</v>
      </c>
      <c r="L10" s="16" t="s">
        <v>23</v>
      </c>
      <c r="M10" s="16" t="s">
        <v>24</v>
      </c>
      <c r="N10" s="16" t="s">
        <v>25</v>
      </c>
      <c r="O10" s="16" t="s">
        <v>25</v>
      </c>
      <c r="P10" s="16" t="s">
        <v>24</v>
      </c>
      <c r="Q10" s="16" t="s">
        <v>84</v>
      </c>
      <c r="R10" s="16" t="s">
        <v>90</v>
      </c>
      <c r="S10" s="16" t="s">
        <v>26</v>
      </c>
      <c r="T10" s="16" t="s">
        <v>27</v>
      </c>
      <c r="U10" s="16" t="s">
        <v>25</v>
      </c>
      <c r="V10" s="16" t="s">
        <v>23</v>
      </c>
      <c r="W10" s="16" t="s">
        <v>23</v>
      </c>
      <c r="X10" s="16" t="s">
        <v>38</v>
      </c>
      <c r="Y10" s="16" t="s">
        <v>94</v>
      </c>
      <c r="Z10" s="16" t="s">
        <v>60</v>
      </c>
      <c r="AA10" s="16" t="s">
        <v>35</v>
      </c>
      <c r="AR10" s="16" t="s">
        <v>229</v>
      </c>
      <c r="AS10" s="16" t="s">
        <v>229</v>
      </c>
      <c r="BB10" s="16" t="s">
        <v>32</v>
      </c>
      <c r="BC10" s="16" t="s">
        <v>101</v>
      </c>
      <c r="BD10" s="16" t="s">
        <v>57</v>
      </c>
      <c r="BE10" s="16" t="s">
        <v>330</v>
      </c>
      <c r="BQ10" s="16" t="s">
        <v>331</v>
      </c>
      <c r="BR10" s="16" t="str">
        <f t="shared" ref="BR10" si="6">CONCATENATE(Q10, " ", R10)</f>
        <v>Automation ES Row 6</v>
      </c>
      <c r="BS10" s="16" t="str">
        <f t="shared" ref="BS10" si="7">CONCATENATE(G10, "  -   , ", H10, "  , ",F10,"  , ",I10)</f>
        <v>221 James L Taylor Road  -   , Ridgeland  , SC  , 29936</v>
      </c>
      <c r="BY10" s="16" t="s">
        <v>229</v>
      </c>
      <c r="BZ10" s="16" t="s">
        <v>330</v>
      </c>
      <c r="CA10" s="16" t="s">
        <v>229</v>
      </c>
      <c r="CB10" s="16" t="s">
        <v>229</v>
      </c>
      <c r="CC10" s="16" t="s">
        <v>229</v>
      </c>
      <c r="CD10" s="16" t="s">
        <v>229</v>
      </c>
      <c r="CE10" s="16" t="s">
        <v>229</v>
      </c>
      <c r="CF10" s="16" t="s">
        <v>229</v>
      </c>
      <c r="CG10" s="16" t="s">
        <v>229</v>
      </c>
      <c r="CH10" s="16" t="s">
        <v>229</v>
      </c>
      <c r="CI10" s="16" t="s">
        <v>330</v>
      </c>
      <c r="CJ10" s="16" t="s">
        <v>229</v>
      </c>
      <c r="CK10" s="16" t="s">
        <v>229</v>
      </c>
      <c r="CL10" s="16" t="s">
        <v>229</v>
      </c>
      <c r="CM10" s="16" t="s">
        <v>229</v>
      </c>
      <c r="CN10" s="16" t="s">
        <v>229</v>
      </c>
      <c r="CO10" s="16" t="s">
        <v>229</v>
      </c>
      <c r="CP10" s="16" t="s">
        <v>25</v>
      </c>
      <c r="CQ10" s="16" t="s">
        <v>443</v>
      </c>
      <c r="CR10" s="16" t="s">
        <v>444</v>
      </c>
      <c r="CS10" s="16" t="s">
        <v>25</v>
      </c>
      <c r="CT10" s="11" t="s">
        <v>445</v>
      </c>
      <c r="CU10" s="11" t="s">
        <v>446</v>
      </c>
      <c r="CV10" s="11" t="s">
        <v>330</v>
      </c>
      <c r="CW10" s="1" t="s">
        <v>229</v>
      </c>
      <c r="CX10" s="1" t="s">
        <v>229</v>
      </c>
      <c r="CY10" s="1" t="s">
        <v>229</v>
      </c>
      <c r="CZ10" s="1" t="s">
        <v>229</v>
      </c>
      <c r="DA10" s="1" t="s">
        <v>229</v>
      </c>
      <c r="DB10" s="1" t="s">
        <v>229</v>
      </c>
      <c r="DC10" s="1" t="s">
        <v>229</v>
      </c>
      <c r="DD10" s="1" t="s">
        <v>229</v>
      </c>
      <c r="DE10" s="1" t="s">
        <v>229</v>
      </c>
      <c r="DF10" s="1" t="s">
        <v>229</v>
      </c>
      <c r="DG10" s="16" t="s">
        <v>25</v>
      </c>
      <c r="DH10" s="16" t="s">
        <v>25</v>
      </c>
      <c r="DI10" s="16" t="s">
        <v>25</v>
      </c>
      <c r="DJ10" s="16" t="s">
        <v>42</v>
      </c>
      <c r="DK10" s="16" t="s">
        <v>42</v>
      </c>
      <c r="DL10" s="16" t="s">
        <v>45</v>
      </c>
      <c r="DM10" s="16" t="s">
        <v>81</v>
      </c>
      <c r="DQ10" s="16" t="s">
        <v>25</v>
      </c>
      <c r="DR10" s="16" t="s">
        <v>25</v>
      </c>
      <c r="DS10" s="16" t="s">
        <v>24</v>
      </c>
      <c r="DT10" s="16" t="s">
        <v>25</v>
      </c>
      <c r="DU10" s="16" t="s">
        <v>25</v>
      </c>
      <c r="DW10" s="16" t="s">
        <v>25</v>
      </c>
      <c r="DX10" s="16" t="s">
        <v>25</v>
      </c>
      <c r="DY10" s="16" t="s">
        <v>25</v>
      </c>
      <c r="DZ10" s="16" t="s">
        <v>25</v>
      </c>
      <c r="EA10" s="16" t="s">
        <v>25</v>
      </c>
      <c r="EB10" s="16" t="s">
        <v>25</v>
      </c>
      <c r="EC10" s="16" t="s">
        <v>25</v>
      </c>
      <c r="ED10" s="16" t="s">
        <v>25</v>
      </c>
      <c r="EF10" s="16" t="s">
        <v>25</v>
      </c>
      <c r="EH10" s="16" t="s">
        <v>49</v>
      </c>
      <c r="EI10" s="16" t="s">
        <v>36</v>
      </c>
      <c r="EJ10" s="16" t="str">
        <f t="shared" ca="1" si="3"/>
        <v>10/15/2025</v>
      </c>
      <c r="EK10" s="16" t="s">
        <v>49</v>
      </c>
      <c r="EL10" s="16" t="s">
        <v>48</v>
      </c>
      <c r="EM10" s="16" t="s">
        <v>56</v>
      </c>
      <c r="EN10" s="16" t="s">
        <v>56</v>
      </c>
      <c r="EO10" s="16" t="s">
        <v>121</v>
      </c>
      <c r="EP10" s="16" t="s">
        <v>122</v>
      </c>
      <c r="EQ10" s="16" t="s">
        <v>247</v>
      </c>
      <c r="ER10" s="16" t="s">
        <v>248</v>
      </c>
      <c r="ES10" s="16" t="s">
        <v>249</v>
      </c>
      <c r="ET10" s="16" t="s">
        <v>250</v>
      </c>
      <c r="EU10" s="16" t="s">
        <v>78</v>
      </c>
      <c r="EV10" s="16" t="s">
        <v>78</v>
      </c>
      <c r="EW10" s="16" t="s">
        <v>123</v>
      </c>
      <c r="EX10" s="16" t="s">
        <v>124</v>
      </c>
      <c r="EY10" s="16" t="s">
        <v>56</v>
      </c>
      <c r="EZ10" s="16" t="s">
        <v>56</v>
      </c>
      <c r="FA10" s="16" t="s">
        <v>121</v>
      </c>
      <c r="FB10" s="16" t="s">
        <v>122</v>
      </c>
      <c r="FC10" s="16" t="s">
        <v>247</v>
      </c>
      <c r="FD10" s="16" t="s">
        <v>248</v>
      </c>
      <c r="FE10" s="16" t="s">
        <v>249</v>
      </c>
      <c r="FF10" s="16" t="s">
        <v>250</v>
      </c>
      <c r="FG10" s="16" t="s">
        <v>78</v>
      </c>
      <c r="FH10" s="16" t="s">
        <v>78</v>
      </c>
      <c r="FI10" s="16" t="s">
        <v>123</v>
      </c>
      <c r="FJ10" s="16" t="s">
        <v>124</v>
      </c>
      <c r="FK10" s="16" t="s">
        <v>142</v>
      </c>
      <c r="FL10" s="16" t="s">
        <v>21</v>
      </c>
      <c r="FM10" s="16" t="s">
        <v>135</v>
      </c>
      <c r="FN10" s="16" t="s">
        <v>122</v>
      </c>
      <c r="FO10" s="16" t="s">
        <v>78</v>
      </c>
      <c r="FP10" s="16" t="s">
        <v>78</v>
      </c>
      <c r="FQ10" s="16" t="s">
        <v>123</v>
      </c>
      <c r="FR10" s="16" t="s">
        <v>124</v>
      </c>
      <c r="FS10" s="16" t="s">
        <v>78</v>
      </c>
      <c r="FT10" s="16" t="s">
        <v>78</v>
      </c>
      <c r="FU10" s="16" t="s">
        <v>78</v>
      </c>
      <c r="FV10" s="16" t="s">
        <v>78</v>
      </c>
    </row>
    <row r="11" spans="1:202" x14ac:dyDescent="0.3">
      <c r="A11" s="10" t="s">
        <v>275</v>
      </c>
      <c r="B11" s="6" t="str">
        <f t="shared" ca="1" si="0"/>
        <v>10/14/2025</v>
      </c>
      <c r="C11" s="6" t="s">
        <v>83</v>
      </c>
      <c r="D11" s="6" t="s">
        <v>39</v>
      </c>
      <c r="E11" s="6" t="s">
        <v>23</v>
      </c>
      <c r="F11" s="6" t="s">
        <v>281</v>
      </c>
      <c r="G11" s="6" t="s">
        <v>288</v>
      </c>
      <c r="H11" s="6" t="s">
        <v>289</v>
      </c>
      <c r="I11" s="6" t="s">
        <v>290</v>
      </c>
      <c r="J11" s="6" t="s">
        <v>465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25</v>
      </c>
      <c r="P11" s="6" t="s">
        <v>24</v>
      </c>
      <c r="Q11" s="6" t="s">
        <v>220</v>
      </c>
      <c r="R11" s="6" t="s">
        <v>221</v>
      </c>
      <c r="S11" s="6" t="s">
        <v>26</v>
      </c>
      <c r="T11" s="6" t="s">
        <v>27</v>
      </c>
      <c r="U11" s="6" t="s">
        <v>25</v>
      </c>
      <c r="V11" s="6" t="s">
        <v>23</v>
      </c>
      <c r="W11" s="6" t="s">
        <v>23</v>
      </c>
      <c r="X11" s="6" t="s">
        <v>38</v>
      </c>
      <c r="Y11" s="6"/>
      <c r="Z11" s="6" t="s">
        <v>60</v>
      </c>
      <c r="AA11" s="6" t="s">
        <v>35</v>
      </c>
      <c r="AB11" s="6"/>
      <c r="AC11" s="6"/>
      <c r="AD11" s="6"/>
      <c r="AE11" s="6"/>
      <c r="AF11" s="6"/>
      <c r="AG11" s="6" t="s">
        <v>24</v>
      </c>
      <c r="AH11" s="6" t="s">
        <v>322</v>
      </c>
      <c r="AI11" s="6"/>
      <c r="AJ11" s="6"/>
      <c r="AK11" s="6"/>
      <c r="AL11" s="6"/>
      <c r="AM11" s="6"/>
      <c r="AN11" s="6"/>
      <c r="AO11" s="6"/>
      <c r="AP11" s="6"/>
      <c r="AQ11" s="6"/>
      <c r="AR11" s="6" t="s">
        <v>229</v>
      </c>
      <c r="AS11" s="6" t="s">
        <v>229</v>
      </c>
      <c r="AT11" s="6"/>
      <c r="AU11" s="6"/>
      <c r="AV11" s="6"/>
      <c r="AW11" s="6"/>
      <c r="AX11" s="6"/>
      <c r="AY11" s="6"/>
      <c r="AZ11" s="6"/>
      <c r="BA11" s="6"/>
      <c r="BB11" s="6" t="s">
        <v>32</v>
      </c>
      <c r="BC11" s="6" t="s">
        <v>101</v>
      </c>
      <c r="BD11" s="6" t="s">
        <v>57</v>
      </c>
      <c r="BE11" s="6" t="s">
        <v>331</v>
      </c>
      <c r="BF11" s="6" t="s">
        <v>337</v>
      </c>
      <c r="BG11" s="6" t="s">
        <v>357</v>
      </c>
      <c r="BH11" s="6" t="s">
        <v>340</v>
      </c>
      <c r="BI11" s="6" t="s">
        <v>345</v>
      </c>
      <c r="BJ11" s="6" t="s">
        <v>342</v>
      </c>
      <c r="BK11" s="6" t="s">
        <v>344</v>
      </c>
      <c r="BL11" s="6" t="s">
        <v>347</v>
      </c>
      <c r="BM11" s="6" t="s">
        <v>348</v>
      </c>
      <c r="BN11" s="6" t="s">
        <v>351</v>
      </c>
      <c r="BO11" s="6" t="s">
        <v>354</v>
      </c>
      <c r="BP11" s="6" t="s">
        <v>360</v>
      </c>
      <c r="BQ11" s="6" t="s">
        <v>331</v>
      </c>
      <c r="BR11" s="6" t="s">
        <v>291</v>
      </c>
      <c r="BS11" s="6" t="s">
        <v>373</v>
      </c>
      <c r="BT11" s="6"/>
      <c r="BU11" s="6" t="s">
        <v>364</v>
      </c>
      <c r="BV11" s="6" t="s">
        <v>366</v>
      </c>
      <c r="BW11" s="6" t="s">
        <v>368</v>
      </c>
      <c r="BX11" s="6" t="s">
        <v>371</v>
      </c>
      <c r="BY11" s="6" t="s">
        <v>229</v>
      </c>
      <c r="BZ11" s="6" t="s">
        <v>330</v>
      </c>
      <c r="CA11" s="6" t="s">
        <v>229</v>
      </c>
      <c r="CB11" s="6" t="s">
        <v>229</v>
      </c>
      <c r="CC11" s="6" t="s">
        <v>229</v>
      </c>
      <c r="CD11" s="6" t="s">
        <v>229</v>
      </c>
      <c r="CE11" s="6" t="s">
        <v>229</v>
      </c>
      <c r="CF11" s="6" t="s">
        <v>229</v>
      </c>
      <c r="CG11" s="6" t="s">
        <v>229</v>
      </c>
      <c r="CH11" s="6" t="s">
        <v>229</v>
      </c>
      <c r="CI11" s="6" t="s">
        <v>330</v>
      </c>
      <c r="CJ11" s="6" t="s">
        <v>229</v>
      </c>
      <c r="CK11" s="6" t="s">
        <v>229</v>
      </c>
      <c r="CL11" s="6" t="s">
        <v>229</v>
      </c>
      <c r="CM11" s="6" t="s">
        <v>229</v>
      </c>
      <c r="CN11" s="6" t="s">
        <v>229</v>
      </c>
      <c r="CO11" s="1" t="s">
        <v>229</v>
      </c>
      <c r="CP11" s="1" t="s">
        <v>25</v>
      </c>
      <c r="CQ11" s="1" t="s">
        <v>443</v>
      </c>
      <c r="CR11" s="1" t="s">
        <v>444</v>
      </c>
      <c r="CS11" s="1" t="s">
        <v>25</v>
      </c>
      <c r="CT11" s="1" t="s">
        <v>445</v>
      </c>
      <c r="CU11" s="1" t="s">
        <v>446</v>
      </c>
      <c r="CV11" s="1" t="s">
        <v>330</v>
      </c>
      <c r="CW11" s="1" t="s">
        <v>229</v>
      </c>
      <c r="CX11" s="1" t="s">
        <v>229</v>
      </c>
      <c r="CY11" s="1" t="s">
        <v>229</v>
      </c>
      <c r="CZ11" s="1" t="s">
        <v>229</v>
      </c>
      <c r="DA11" s="1" t="s">
        <v>229</v>
      </c>
      <c r="DB11" s="1" t="s">
        <v>229</v>
      </c>
      <c r="DC11" s="1" t="s">
        <v>229</v>
      </c>
      <c r="DD11" s="1" t="s">
        <v>229</v>
      </c>
      <c r="DE11" s="1" t="s">
        <v>229</v>
      </c>
      <c r="DF11" s="1" t="s">
        <v>229</v>
      </c>
      <c r="DG11" s="6" t="s">
        <v>25</v>
      </c>
      <c r="DH11" s="6" t="s">
        <v>25</v>
      </c>
      <c r="DI11" s="6" t="s">
        <v>25</v>
      </c>
      <c r="DJ11" s="6" t="s">
        <v>42</v>
      </c>
      <c r="DK11" s="6" t="s">
        <v>42</v>
      </c>
      <c r="DL11" s="6" t="s">
        <v>45</v>
      </c>
      <c r="DM11" s="6" t="s">
        <v>81</v>
      </c>
      <c r="DN11" s="6"/>
      <c r="DO11" s="6"/>
      <c r="DP11" s="6"/>
      <c r="DQ11" s="6" t="s">
        <v>25</v>
      </c>
      <c r="DR11" s="6" t="s">
        <v>25</v>
      </c>
      <c r="DS11" s="6" t="s">
        <v>24</v>
      </c>
      <c r="DT11" s="6" t="s">
        <v>25</v>
      </c>
      <c r="DU11" s="6" t="s">
        <v>25</v>
      </c>
      <c r="DV11" s="6"/>
      <c r="DW11" s="6" t="s">
        <v>25</v>
      </c>
      <c r="DX11" s="6" t="s">
        <v>25</v>
      </c>
      <c r="DY11" s="6" t="s">
        <v>25</v>
      </c>
      <c r="DZ11" s="6" t="s">
        <v>25</v>
      </c>
      <c r="EA11" s="6" t="s">
        <v>25</v>
      </c>
      <c r="EB11" s="6" t="s">
        <v>25</v>
      </c>
      <c r="EC11" s="6" t="s">
        <v>25</v>
      </c>
      <c r="ED11" s="6" t="s">
        <v>25</v>
      </c>
      <c r="EE11" s="6"/>
      <c r="EF11" s="6" t="s">
        <v>25</v>
      </c>
      <c r="EG11" s="6"/>
      <c r="EH11" s="6" t="s">
        <v>49</v>
      </c>
      <c r="EI11" s="6" t="s">
        <v>36</v>
      </c>
      <c r="EJ11" s="6" t="str">
        <f t="shared" ca="1" si="3"/>
        <v>10/15/2025</v>
      </c>
      <c r="EK11" s="6" t="s">
        <v>49</v>
      </c>
      <c r="EL11" s="6" t="s">
        <v>48</v>
      </c>
      <c r="EM11" s="6" t="s">
        <v>56</v>
      </c>
      <c r="EN11" s="6" t="s">
        <v>56</v>
      </c>
      <c r="EO11" s="6" t="s">
        <v>121</v>
      </c>
      <c r="EP11" s="6" t="s">
        <v>122</v>
      </c>
      <c r="EQ11" s="6" t="s">
        <v>247</v>
      </c>
      <c r="ER11" s="6" t="s">
        <v>248</v>
      </c>
      <c r="ES11" s="6" t="s">
        <v>249</v>
      </c>
      <c r="ET11" s="6" t="s">
        <v>250</v>
      </c>
      <c r="EU11" s="6" t="s">
        <v>78</v>
      </c>
      <c r="EV11" s="6" t="s">
        <v>78</v>
      </c>
      <c r="EW11" s="6" t="s">
        <v>123</v>
      </c>
      <c r="EX11" s="6" t="s">
        <v>124</v>
      </c>
      <c r="EY11" s="6" t="s">
        <v>56</v>
      </c>
      <c r="EZ11" s="6" t="s">
        <v>56</v>
      </c>
      <c r="FA11" s="6" t="s">
        <v>121</v>
      </c>
      <c r="FB11" s="6" t="s">
        <v>122</v>
      </c>
      <c r="FC11" s="6" t="s">
        <v>247</v>
      </c>
      <c r="FD11" s="6" t="s">
        <v>248</v>
      </c>
      <c r="FE11" s="6" t="s">
        <v>249</v>
      </c>
      <c r="FF11" s="6" t="s">
        <v>250</v>
      </c>
      <c r="FG11" s="6" t="s">
        <v>78</v>
      </c>
      <c r="FH11" s="6" t="s">
        <v>78</v>
      </c>
      <c r="FI11" s="6" t="s">
        <v>123</v>
      </c>
      <c r="FJ11" s="6" t="s">
        <v>124</v>
      </c>
      <c r="FK11" s="6" t="s">
        <v>142</v>
      </c>
      <c r="FL11" s="6" t="s">
        <v>21</v>
      </c>
      <c r="FM11" s="6" t="s">
        <v>135</v>
      </c>
      <c r="FN11" s="6" t="s">
        <v>122</v>
      </c>
      <c r="FO11" s="6" t="s">
        <v>78</v>
      </c>
      <c r="FP11" s="6" t="s">
        <v>78</v>
      </c>
      <c r="FQ11" s="6" t="s">
        <v>123</v>
      </c>
      <c r="FR11" s="6" t="s">
        <v>124</v>
      </c>
      <c r="FS11" s="6" t="s">
        <v>78</v>
      </c>
      <c r="FT11" s="6" t="s">
        <v>78</v>
      </c>
      <c r="FU11" s="6" t="s">
        <v>78</v>
      </c>
      <c r="FV11" s="6" t="s">
        <v>78</v>
      </c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</row>
    <row r="12" spans="1:202" s="16" customFormat="1" x14ac:dyDescent="0.3">
      <c r="A12" s="10" t="s">
        <v>276</v>
      </c>
      <c r="B12" s="16" t="str">
        <f t="shared" ca="1" si="0"/>
        <v>10/14/2025</v>
      </c>
      <c r="C12" s="16" t="s">
        <v>83</v>
      </c>
      <c r="D12" s="16" t="s">
        <v>39</v>
      </c>
      <c r="E12" s="16" t="s">
        <v>23</v>
      </c>
      <c r="F12" s="16" t="s">
        <v>282</v>
      </c>
      <c r="G12" s="16" t="s">
        <v>292</v>
      </c>
      <c r="H12" s="16" t="s">
        <v>293</v>
      </c>
      <c r="I12" s="16" t="s">
        <v>294</v>
      </c>
      <c r="J12" s="6" t="s">
        <v>465</v>
      </c>
      <c r="K12" s="16" t="s">
        <v>22</v>
      </c>
      <c r="L12" s="16" t="s">
        <v>23</v>
      </c>
      <c r="M12" s="16" t="s">
        <v>24</v>
      </c>
      <c r="N12" s="16" t="s">
        <v>25</v>
      </c>
      <c r="O12" s="16" t="s">
        <v>25</v>
      </c>
      <c r="P12" s="16" t="s">
        <v>24</v>
      </c>
      <c r="Q12" s="16" t="s">
        <v>220</v>
      </c>
      <c r="R12" s="16" t="s">
        <v>221</v>
      </c>
      <c r="S12" s="16" t="s">
        <v>26</v>
      </c>
      <c r="T12" s="16" t="s">
        <v>27</v>
      </c>
      <c r="U12" s="16" t="s">
        <v>25</v>
      </c>
      <c r="V12" s="16" t="s">
        <v>23</v>
      </c>
      <c r="W12" s="16" t="s">
        <v>23</v>
      </c>
      <c r="X12" s="16" t="s">
        <v>38</v>
      </c>
      <c r="Z12" s="16" t="s">
        <v>60</v>
      </c>
      <c r="AA12" s="16" t="s">
        <v>35</v>
      </c>
      <c r="AR12" s="16" t="s">
        <v>229</v>
      </c>
      <c r="AS12" s="16" t="s">
        <v>229</v>
      </c>
      <c r="BB12" s="16" t="s">
        <v>32</v>
      </c>
      <c r="BC12" s="16" t="s">
        <v>101</v>
      </c>
      <c r="BD12" s="16" t="s">
        <v>57</v>
      </c>
      <c r="BE12" s="16" t="s">
        <v>336</v>
      </c>
      <c r="BF12" s="16" t="s">
        <v>338</v>
      </c>
      <c r="BG12" s="16" t="s">
        <v>358</v>
      </c>
      <c r="BH12" s="16" t="s">
        <v>339</v>
      </c>
      <c r="BI12" s="16" t="s">
        <v>359</v>
      </c>
      <c r="BJ12" s="16" t="s">
        <v>341</v>
      </c>
      <c r="BK12" s="16" t="s">
        <v>343</v>
      </c>
      <c r="BL12" s="16" t="s">
        <v>346</v>
      </c>
      <c r="BM12" s="16" t="s">
        <v>349</v>
      </c>
      <c r="BN12" s="16" t="s">
        <v>350</v>
      </c>
      <c r="BO12" s="16" t="s">
        <v>353</v>
      </c>
      <c r="BP12" s="16" t="s">
        <v>361</v>
      </c>
      <c r="BQ12" s="16" t="s">
        <v>331</v>
      </c>
      <c r="BR12" s="16" t="s">
        <v>291</v>
      </c>
      <c r="BS12" s="16" t="s">
        <v>372</v>
      </c>
      <c r="BU12" s="16" t="s">
        <v>365</v>
      </c>
      <c r="BV12" s="16" t="s">
        <v>367</v>
      </c>
      <c r="BW12" s="16" t="s">
        <v>369</v>
      </c>
      <c r="BX12" s="16" t="s">
        <v>370</v>
      </c>
      <c r="BY12" s="16" t="s">
        <v>229</v>
      </c>
      <c r="BZ12" s="16" t="s">
        <v>330</v>
      </c>
      <c r="CA12" s="16" t="s">
        <v>229</v>
      </c>
      <c r="CB12" s="16" t="s">
        <v>229</v>
      </c>
      <c r="CC12" s="16" t="s">
        <v>229</v>
      </c>
      <c r="CD12" s="16" t="s">
        <v>229</v>
      </c>
      <c r="CE12" s="16" t="s">
        <v>229</v>
      </c>
      <c r="CF12" s="16" t="s">
        <v>229</v>
      </c>
      <c r="CG12" s="16" t="s">
        <v>229</v>
      </c>
      <c r="CH12" s="16" t="s">
        <v>229</v>
      </c>
      <c r="CI12" s="16" t="s">
        <v>330</v>
      </c>
      <c r="CJ12" s="16" t="s">
        <v>229</v>
      </c>
      <c r="CK12" s="16" t="s">
        <v>229</v>
      </c>
      <c r="CL12" s="16" t="s">
        <v>229</v>
      </c>
      <c r="CM12" s="16" t="s">
        <v>229</v>
      </c>
      <c r="CN12" s="16" t="s">
        <v>229</v>
      </c>
      <c r="CO12" s="16" t="s">
        <v>229</v>
      </c>
      <c r="CP12" s="16" t="s">
        <v>25</v>
      </c>
      <c r="CQ12" s="16" t="s">
        <v>443</v>
      </c>
      <c r="CR12" s="16" t="s">
        <v>444</v>
      </c>
      <c r="CS12" s="16" t="s">
        <v>25</v>
      </c>
      <c r="CT12" s="11" t="s">
        <v>445</v>
      </c>
      <c r="CU12" s="11" t="s">
        <v>446</v>
      </c>
      <c r="CV12" s="11" t="s">
        <v>330</v>
      </c>
      <c r="CW12" s="1" t="s">
        <v>229</v>
      </c>
      <c r="CX12" s="1" t="s">
        <v>229</v>
      </c>
      <c r="CY12" s="1" t="s">
        <v>229</v>
      </c>
      <c r="CZ12" s="1" t="s">
        <v>229</v>
      </c>
      <c r="DA12" s="1" t="s">
        <v>229</v>
      </c>
      <c r="DB12" s="1" t="s">
        <v>229</v>
      </c>
      <c r="DC12" s="1" t="s">
        <v>229</v>
      </c>
      <c r="DD12" s="1" t="s">
        <v>229</v>
      </c>
      <c r="DE12" s="1" t="s">
        <v>229</v>
      </c>
      <c r="DF12" s="1" t="s">
        <v>229</v>
      </c>
      <c r="DG12" s="16" t="s">
        <v>25</v>
      </c>
      <c r="DH12" s="16" t="s">
        <v>25</v>
      </c>
      <c r="DI12" s="16" t="s">
        <v>25</v>
      </c>
      <c r="DJ12" s="16" t="s">
        <v>42</v>
      </c>
      <c r="DK12" s="16" t="s">
        <v>42</v>
      </c>
      <c r="DL12" s="16" t="s">
        <v>45</v>
      </c>
      <c r="DM12" s="16" t="s">
        <v>81</v>
      </c>
      <c r="DQ12" s="16" t="s">
        <v>25</v>
      </c>
      <c r="DR12" s="16" t="s">
        <v>25</v>
      </c>
      <c r="DS12" s="16" t="s">
        <v>24</v>
      </c>
      <c r="DT12" s="16" t="s">
        <v>25</v>
      </c>
      <c r="DU12" s="16" t="s">
        <v>25</v>
      </c>
      <c r="DW12" s="16" t="s">
        <v>25</v>
      </c>
      <c r="DX12" s="16" t="s">
        <v>25</v>
      </c>
      <c r="DY12" s="16" t="s">
        <v>25</v>
      </c>
      <c r="DZ12" s="16" t="s">
        <v>25</v>
      </c>
      <c r="EA12" s="16" t="s">
        <v>25</v>
      </c>
      <c r="EB12" s="16" t="s">
        <v>25</v>
      </c>
      <c r="EC12" s="16" t="s">
        <v>25</v>
      </c>
      <c r="ED12" s="16" t="s">
        <v>25</v>
      </c>
      <c r="EF12" s="16" t="s">
        <v>25</v>
      </c>
      <c r="EH12" s="16" t="s">
        <v>49</v>
      </c>
      <c r="EI12" s="16" t="s">
        <v>36</v>
      </c>
      <c r="EJ12" s="16" t="str">
        <f t="shared" ca="1" si="3"/>
        <v>10/15/2025</v>
      </c>
      <c r="EK12" s="16" t="s">
        <v>49</v>
      </c>
      <c r="EL12" s="16" t="s">
        <v>48</v>
      </c>
      <c r="EM12" s="16" t="s">
        <v>56</v>
      </c>
      <c r="EN12" s="16" t="s">
        <v>56</v>
      </c>
      <c r="EO12" s="16" t="s">
        <v>121</v>
      </c>
      <c r="EP12" s="16" t="s">
        <v>122</v>
      </c>
      <c r="EQ12" s="16" t="s">
        <v>247</v>
      </c>
      <c r="ER12" s="16" t="s">
        <v>248</v>
      </c>
      <c r="ES12" s="16" t="s">
        <v>249</v>
      </c>
      <c r="ET12" s="16" t="s">
        <v>250</v>
      </c>
      <c r="EU12" s="16" t="s">
        <v>78</v>
      </c>
      <c r="EV12" s="16" t="s">
        <v>78</v>
      </c>
      <c r="EW12" s="16" t="s">
        <v>123</v>
      </c>
      <c r="EX12" s="16" t="s">
        <v>124</v>
      </c>
      <c r="EY12" s="16" t="s">
        <v>56</v>
      </c>
      <c r="EZ12" s="16" t="s">
        <v>56</v>
      </c>
      <c r="FA12" s="16" t="s">
        <v>121</v>
      </c>
      <c r="FB12" s="16" t="s">
        <v>122</v>
      </c>
      <c r="FC12" s="16" t="s">
        <v>247</v>
      </c>
      <c r="FD12" s="16" t="s">
        <v>248</v>
      </c>
      <c r="FE12" s="16" t="s">
        <v>249</v>
      </c>
      <c r="FF12" s="16" t="s">
        <v>250</v>
      </c>
      <c r="FG12" s="16" t="s">
        <v>78</v>
      </c>
      <c r="FH12" s="16" t="s">
        <v>78</v>
      </c>
      <c r="FI12" s="16" t="s">
        <v>123</v>
      </c>
      <c r="FJ12" s="16" t="s">
        <v>124</v>
      </c>
      <c r="FK12" s="16" t="s">
        <v>142</v>
      </c>
      <c r="FL12" s="16" t="s">
        <v>21</v>
      </c>
      <c r="FM12" s="16" t="s">
        <v>135</v>
      </c>
      <c r="FN12" s="16" t="s">
        <v>122</v>
      </c>
      <c r="FO12" s="16" t="s">
        <v>78</v>
      </c>
      <c r="FP12" s="16" t="s">
        <v>78</v>
      </c>
      <c r="FQ12" s="16" t="s">
        <v>123</v>
      </c>
      <c r="FR12" s="16" t="s">
        <v>124</v>
      </c>
      <c r="FS12" s="16" t="s">
        <v>78</v>
      </c>
      <c r="FT12" s="16" t="s">
        <v>78</v>
      </c>
      <c r="FU12" s="16" t="s">
        <v>78</v>
      </c>
      <c r="FV12" s="16" t="s">
        <v>78</v>
      </c>
    </row>
    <row r="13" spans="1:202" x14ac:dyDescent="0.3">
      <c r="A13" s="10" t="s">
        <v>277</v>
      </c>
      <c r="B13" s="6" t="str">
        <f t="shared" ca="1" si="0"/>
        <v>10/14/2025</v>
      </c>
      <c r="C13" s="6" t="s">
        <v>83</v>
      </c>
      <c r="D13" s="6" t="s">
        <v>39</v>
      </c>
      <c r="E13" s="6" t="s">
        <v>23</v>
      </c>
      <c r="F13" s="6" t="s">
        <v>283</v>
      </c>
      <c r="G13" s="6" t="s">
        <v>295</v>
      </c>
      <c r="H13" s="6" t="s">
        <v>296</v>
      </c>
      <c r="I13" s="6">
        <v>70460</v>
      </c>
      <c r="J13" s="6" t="s">
        <v>465</v>
      </c>
      <c r="K13" s="6" t="s">
        <v>22</v>
      </c>
      <c r="L13" s="6" t="s">
        <v>23</v>
      </c>
      <c r="M13" s="6" t="s">
        <v>24</v>
      </c>
      <c r="N13" s="6" t="s">
        <v>25</v>
      </c>
      <c r="O13" s="6" t="s">
        <v>25</v>
      </c>
      <c r="P13" s="6" t="s">
        <v>24</v>
      </c>
      <c r="Q13" s="6" t="s">
        <v>220</v>
      </c>
      <c r="R13" s="6" t="s">
        <v>221</v>
      </c>
      <c r="S13" s="6" t="s">
        <v>26</v>
      </c>
      <c r="T13" s="6" t="s">
        <v>27</v>
      </c>
      <c r="U13" s="6" t="s">
        <v>25</v>
      </c>
      <c r="V13" s="6" t="s">
        <v>23</v>
      </c>
      <c r="W13" s="6" t="s">
        <v>23</v>
      </c>
      <c r="X13" s="6" t="s">
        <v>38</v>
      </c>
      <c r="Y13" s="6"/>
      <c r="Z13" s="6" t="s">
        <v>60</v>
      </c>
      <c r="AA13" s="6" t="s">
        <v>35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 t="s">
        <v>229</v>
      </c>
      <c r="AS13" s="6" t="s">
        <v>229</v>
      </c>
      <c r="AT13" s="6"/>
      <c r="AU13" s="6"/>
      <c r="AV13" s="6"/>
      <c r="AW13" s="6"/>
      <c r="AX13" s="6"/>
      <c r="AY13" s="6"/>
      <c r="AZ13" s="6"/>
      <c r="BA13" s="6"/>
      <c r="BB13" s="6" t="s">
        <v>32</v>
      </c>
      <c r="BC13" s="6" t="s">
        <v>101</v>
      </c>
      <c r="BD13" s="6" t="s">
        <v>57</v>
      </c>
      <c r="BE13" s="6" t="s">
        <v>330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 t="s">
        <v>331</v>
      </c>
      <c r="BR13" s="6" t="s">
        <v>291</v>
      </c>
      <c r="BS13" s="6" t="s">
        <v>297</v>
      </c>
      <c r="BT13" s="6"/>
      <c r="BU13" s="6"/>
      <c r="BV13" s="6"/>
      <c r="BW13" s="6"/>
      <c r="BX13" s="6"/>
      <c r="BY13" s="6" t="s">
        <v>229</v>
      </c>
      <c r="BZ13" s="6" t="s">
        <v>330</v>
      </c>
      <c r="CA13" s="6" t="s">
        <v>229</v>
      </c>
      <c r="CB13" s="6" t="s">
        <v>229</v>
      </c>
      <c r="CC13" s="6" t="s">
        <v>229</v>
      </c>
      <c r="CD13" s="6" t="s">
        <v>229</v>
      </c>
      <c r="CE13" s="6" t="s">
        <v>229</v>
      </c>
      <c r="CF13" s="6" t="s">
        <v>229</v>
      </c>
      <c r="CG13" s="6" t="s">
        <v>229</v>
      </c>
      <c r="CH13" s="6" t="s">
        <v>229</v>
      </c>
      <c r="CI13" s="6" t="s">
        <v>330</v>
      </c>
      <c r="CJ13" s="6" t="s">
        <v>229</v>
      </c>
      <c r="CK13" s="6" t="s">
        <v>229</v>
      </c>
      <c r="CL13" s="6" t="s">
        <v>229</v>
      </c>
      <c r="CM13" s="6" t="s">
        <v>229</v>
      </c>
      <c r="CN13" s="6" t="s">
        <v>229</v>
      </c>
      <c r="CO13" s="1" t="s">
        <v>229</v>
      </c>
      <c r="CP13" s="1" t="s">
        <v>25</v>
      </c>
      <c r="CQ13" s="1" t="s">
        <v>443</v>
      </c>
      <c r="CR13" s="1" t="s">
        <v>444</v>
      </c>
      <c r="CS13" s="1" t="s">
        <v>25</v>
      </c>
      <c r="CT13" s="1" t="s">
        <v>445</v>
      </c>
      <c r="CU13" s="1" t="s">
        <v>446</v>
      </c>
      <c r="CV13" s="1" t="s">
        <v>330</v>
      </c>
      <c r="CW13" s="1" t="s">
        <v>229</v>
      </c>
      <c r="CX13" s="1" t="s">
        <v>229</v>
      </c>
      <c r="CY13" s="1" t="s">
        <v>229</v>
      </c>
      <c r="CZ13" s="1" t="s">
        <v>229</v>
      </c>
      <c r="DA13" s="1" t="s">
        <v>229</v>
      </c>
      <c r="DB13" s="1" t="s">
        <v>229</v>
      </c>
      <c r="DC13" s="1" t="s">
        <v>229</v>
      </c>
      <c r="DD13" s="1" t="s">
        <v>229</v>
      </c>
      <c r="DE13" s="1" t="s">
        <v>229</v>
      </c>
      <c r="DF13" s="1" t="s">
        <v>229</v>
      </c>
      <c r="DG13" s="6" t="s">
        <v>25</v>
      </c>
      <c r="DH13" s="6" t="s">
        <v>25</v>
      </c>
      <c r="DI13" s="6" t="s">
        <v>25</v>
      </c>
      <c r="DJ13" s="6" t="s">
        <v>42</v>
      </c>
      <c r="DK13" s="6" t="s">
        <v>42</v>
      </c>
      <c r="DL13" s="6" t="s">
        <v>45</v>
      </c>
      <c r="DM13" s="6" t="s">
        <v>81</v>
      </c>
      <c r="DN13" s="6"/>
      <c r="DO13" s="6"/>
      <c r="DP13" s="6"/>
      <c r="DQ13" s="6" t="s">
        <v>25</v>
      </c>
      <c r="DR13" s="6" t="s">
        <v>25</v>
      </c>
      <c r="DS13" s="6" t="s">
        <v>24</v>
      </c>
      <c r="DT13" s="6" t="s">
        <v>25</v>
      </c>
      <c r="DU13" s="6" t="s">
        <v>25</v>
      </c>
      <c r="DV13" s="6"/>
      <c r="DW13" s="6" t="s">
        <v>25</v>
      </c>
      <c r="DX13" s="6" t="s">
        <v>25</v>
      </c>
      <c r="DY13" s="6" t="s">
        <v>25</v>
      </c>
      <c r="DZ13" s="6" t="s">
        <v>25</v>
      </c>
      <c r="EA13" s="6" t="s">
        <v>25</v>
      </c>
      <c r="EB13" s="6" t="s">
        <v>25</v>
      </c>
      <c r="EC13" s="6" t="s">
        <v>25</v>
      </c>
      <c r="ED13" s="6" t="s">
        <v>25</v>
      </c>
      <c r="EE13" s="6"/>
      <c r="EF13" s="6" t="s">
        <v>25</v>
      </c>
      <c r="EG13" s="6"/>
      <c r="EH13" s="6" t="s">
        <v>49</v>
      </c>
      <c r="EI13" s="6" t="s">
        <v>36</v>
      </c>
      <c r="EJ13" s="6" t="str">
        <f t="shared" ca="1" si="3"/>
        <v>10/15/2025</v>
      </c>
      <c r="EK13" s="6" t="s">
        <v>49</v>
      </c>
      <c r="EL13" s="6" t="s">
        <v>48</v>
      </c>
      <c r="EM13" s="6" t="s">
        <v>56</v>
      </c>
      <c r="EN13" s="6" t="s">
        <v>56</v>
      </c>
      <c r="EO13" s="6" t="s">
        <v>121</v>
      </c>
      <c r="EP13" s="6" t="s">
        <v>122</v>
      </c>
      <c r="EQ13" s="6" t="s">
        <v>247</v>
      </c>
      <c r="ER13" s="6" t="s">
        <v>248</v>
      </c>
      <c r="ES13" s="6" t="s">
        <v>249</v>
      </c>
      <c r="ET13" s="6" t="s">
        <v>250</v>
      </c>
      <c r="EU13" s="6" t="s">
        <v>78</v>
      </c>
      <c r="EV13" s="6" t="s">
        <v>78</v>
      </c>
      <c r="EW13" s="6" t="s">
        <v>123</v>
      </c>
      <c r="EX13" s="6" t="s">
        <v>124</v>
      </c>
      <c r="EY13" s="6" t="s">
        <v>56</v>
      </c>
      <c r="EZ13" s="6" t="s">
        <v>56</v>
      </c>
      <c r="FA13" s="6" t="s">
        <v>121</v>
      </c>
      <c r="FB13" s="6" t="s">
        <v>122</v>
      </c>
      <c r="FC13" s="6" t="s">
        <v>247</v>
      </c>
      <c r="FD13" s="6" t="s">
        <v>248</v>
      </c>
      <c r="FE13" s="6" t="s">
        <v>249</v>
      </c>
      <c r="FF13" s="6" t="s">
        <v>250</v>
      </c>
      <c r="FG13" s="6" t="s">
        <v>78</v>
      </c>
      <c r="FH13" s="6" t="s">
        <v>78</v>
      </c>
      <c r="FI13" s="6" t="s">
        <v>123</v>
      </c>
      <c r="FJ13" s="6" t="s">
        <v>124</v>
      </c>
      <c r="FK13" s="6" t="s">
        <v>142</v>
      </c>
      <c r="FL13" s="6" t="s">
        <v>21</v>
      </c>
      <c r="FM13" s="6" t="s">
        <v>135</v>
      </c>
      <c r="FN13" s="6" t="s">
        <v>122</v>
      </c>
      <c r="FO13" s="6" t="s">
        <v>78</v>
      </c>
      <c r="FP13" s="6" t="s">
        <v>78</v>
      </c>
      <c r="FQ13" s="6" t="s">
        <v>123</v>
      </c>
      <c r="FR13" s="6" t="s">
        <v>124</v>
      </c>
      <c r="FS13" s="6" t="s">
        <v>78</v>
      </c>
      <c r="FT13" s="6" t="s">
        <v>78</v>
      </c>
      <c r="FU13" s="6" t="s">
        <v>78</v>
      </c>
      <c r="FV13" s="6" t="s">
        <v>78</v>
      </c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</row>
    <row r="14" spans="1:202" s="16" customFormat="1" x14ac:dyDescent="0.3">
      <c r="A14" s="10" t="s">
        <v>278</v>
      </c>
      <c r="B14" s="16" t="str">
        <f t="shared" ca="1" si="0"/>
        <v>10/14/2025</v>
      </c>
      <c r="C14" s="16" t="s">
        <v>83</v>
      </c>
      <c r="D14" s="16" t="s">
        <v>39</v>
      </c>
      <c r="E14" s="16" t="s">
        <v>23</v>
      </c>
      <c r="F14" s="16" t="s">
        <v>284</v>
      </c>
      <c r="G14" s="16" t="s">
        <v>298</v>
      </c>
      <c r="H14" s="16" t="s">
        <v>299</v>
      </c>
      <c r="I14" s="16" t="s">
        <v>300</v>
      </c>
      <c r="J14" s="6" t="s">
        <v>465</v>
      </c>
      <c r="K14" s="16" t="s">
        <v>22</v>
      </c>
      <c r="L14" s="16" t="s">
        <v>23</v>
      </c>
      <c r="M14" s="16" t="s">
        <v>24</v>
      </c>
      <c r="N14" s="16" t="s">
        <v>25</v>
      </c>
      <c r="O14" s="16" t="s">
        <v>25</v>
      </c>
      <c r="P14" s="16" t="s">
        <v>24</v>
      </c>
      <c r="Q14" s="16" t="s">
        <v>220</v>
      </c>
      <c r="R14" s="16" t="s">
        <v>221</v>
      </c>
      <c r="S14" s="16" t="s">
        <v>26</v>
      </c>
      <c r="T14" s="16" t="s">
        <v>27</v>
      </c>
      <c r="U14" s="16" t="s">
        <v>25</v>
      </c>
      <c r="V14" s="16" t="s">
        <v>23</v>
      </c>
      <c r="W14" s="16" t="s">
        <v>23</v>
      </c>
      <c r="X14" s="16" t="s">
        <v>38</v>
      </c>
      <c r="Z14" s="16" t="s">
        <v>60</v>
      </c>
      <c r="AA14" s="16" t="s">
        <v>35</v>
      </c>
      <c r="AR14" s="16" t="s">
        <v>229</v>
      </c>
      <c r="AS14" s="16" t="s">
        <v>229</v>
      </c>
      <c r="BB14" s="16" t="s">
        <v>32</v>
      </c>
      <c r="BC14" s="16" t="s">
        <v>101</v>
      </c>
      <c r="BD14" s="16" t="s">
        <v>57</v>
      </c>
      <c r="BE14" s="16" t="s">
        <v>330</v>
      </c>
      <c r="BQ14" s="16" t="s">
        <v>331</v>
      </c>
      <c r="BR14" s="16" t="s">
        <v>291</v>
      </c>
      <c r="BS14" s="16" t="s">
        <v>301</v>
      </c>
      <c r="BY14" s="16" t="s">
        <v>229</v>
      </c>
      <c r="BZ14" s="16" t="s">
        <v>330</v>
      </c>
      <c r="CA14" s="16" t="s">
        <v>229</v>
      </c>
      <c r="CB14" s="16" t="s">
        <v>229</v>
      </c>
      <c r="CC14" s="16" t="s">
        <v>229</v>
      </c>
      <c r="CD14" s="16" t="s">
        <v>229</v>
      </c>
      <c r="CE14" s="16" t="s">
        <v>229</v>
      </c>
      <c r="CF14" s="16" t="s">
        <v>229</v>
      </c>
      <c r="CG14" s="16" t="s">
        <v>229</v>
      </c>
      <c r="CH14" s="16" t="s">
        <v>229</v>
      </c>
      <c r="CI14" s="16" t="s">
        <v>330</v>
      </c>
      <c r="CJ14" s="16" t="s">
        <v>229</v>
      </c>
      <c r="CK14" s="16" t="s">
        <v>229</v>
      </c>
      <c r="CL14" s="16" t="s">
        <v>229</v>
      </c>
      <c r="CM14" s="16" t="s">
        <v>229</v>
      </c>
      <c r="CN14" s="16" t="s">
        <v>229</v>
      </c>
      <c r="CO14" s="16" t="s">
        <v>229</v>
      </c>
      <c r="CP14" s="16" t="s">
        <v>25</v>
      </c>
      <c r="CQ14" s="16" t="s">
        <v>443</v>
      </c>
      <c r="CR14" s="16" t="s">
        <v>444</v>
      </c>
      <c r="CS14" s="16" t="s">
        <v>25</v>
      </c>
      <c r="CT14" s="11" t="s">
        <v>445</v>
      </c>
      <c r="CU14" s="11" t="s">
        <v>446</v>
      </c>
      <c r="CV14" s="11" t="s">
        <v>330</v>
      </c>
      <c r="CW14" s="1" t="s">
        <v>229</v>
      </c>
      <c r="CX14" s="1" t="s">
        <v>229</v>
      </c>
      <c r="CY14" s="1" t="s">
        <v>229</v>
      </c>
      <c r="CZ14" s="1" t="s">
        <v>229</v>
      </c>
      <c r="DA14" s="1" t="s">
        <v>229</v>
      </c>
      <c r="DB14" s="1" t="s">
        <v>229</v>
      </c>
      <c r="DC14" s="1" t="s">
        <v>229</v>
      </c>
      <c r="DD14" s="1" t="s">
        <v>229</v>
      </c>
      <c r="DE14" s="1" t="s">
        <v>229</v>
      </c>
      <c r="DF14" s="1" t="s">
        <v>229</v>
      </c>
      <c r="DG14" s="16" t="s">
        <v>25</v>
      </c>
      <c r="DH14" s="16" t="s">
        <v>25</v>
      </c>
      <c r="DI14" s="16" t="s">
        <v>25</v>
      </c>
      <c r="DJ14" s="16" t="s">
        <v>42</v>
      </c>
      <c r="DK14" s="16" t="s">
        <v>42</v>
      </c>
      <c r="DL14" s="16" t="s">
        <v>45</v>
      </c>
      <c r="DM14" s="16" t="s">
        <v>81</v>
      </c>
      <c r="DQ14" s="16" t="s">
        <v>25</v>
      </c>
      <c r="DR14" s="16" t="s">
        <v>25</v>
      </c>
      <c r="DS14" s="16" t="s">
        <v>24</v>
      </c>
      <c r="DT14" s="16" t="s">
        <v>25</v>
      </c>
      <c r="DU14" s="16" t="s">
        <v>25</v>
      </c>
      <c r="DW14" s="16" t="s">
        <v>25</v>
      </c>
      <c r="DX14" s="16" t="s">
        <v>25</v>
      </c>
      <c r="DY14" s="16" t="s">
        <v>25</v>
      </c>
      <c r="DZ14" s="16" t="s">
        <v>25</v>
      </c>
      <c r="EA14" s="16" t="s">
        <v>25</v>
      </c>
      <c r="EB14" s="16" t="s">
        <v>25</v>
      </c>
      <c r="EC14" s="16" t="s">
        <v>25</v>
      </c>
      <c r="ED14" s="16" t="s">
        <v>25</v>
      </c>
      <c r="EF14" s="16" t="s">
        <v>25</v>
      </c>
      <c r="EH14" s="16" t="s">
        <v>49</v>
      </c>
      <c r="EI14" s="16" t="s">
        <v>36</v>
      </c>
      <c r="EJ14" s="16" t="str">
        <f t="shared" ca="1" si="3"/>
        <v>10/15/2025</v>
      </c>
      <c r="EK14" s="16" t="s">
        <v>49</v>
      </c>
      <c r="EL14" s="16" t="s">
        <v>48</v>
      </c>
      <c r="EM14" s="16" t="s">
        <v>56</v>
      </c>
      <c r="EN14" s="16" t="s">
        <v>56</v>
      </c>
      <c r="EO14" s="16" t="s">
        <v>121</v>
      </c>
      <c r="EP14" s="16" t="s">
        <v>122</v>
      </c>
      <c r="EQ14" s="16" t="s">
        <v>247</v>
      </c>
      <c r="ER14" s="16" t="s">
        <v>248</v>
      </c>
      <c r="ES14" s="16" t="s">
        <v>249</v>
      </c>
      <c r="ET14" s="16" t="s">
        <v>250</v>
      </c>
      <c r="EU14" s="16" t="s">
        <v>78</v>
      </c>
      <c r="EV14" s="16" t="s">
        <v>78</v>
      </c>
      <c r="EW14" s="16" t="s">
        <v>123</v>
      </c>
      <c r="EX14" s="16" t="s">
        <v>124</v>
      </c>
      <c r="EY14" s="16" t="s">
        <v>56</v>
      </c>
      <c r="EZ14" s="16" t="s">
        <v>56</v>
      </c>
      <c r="FA14" s="16" t="s">
        <v>121</v>
      </c>
      <c r="FB14" s="16" t="s">
        <v>122</v>
      </c>
      <c r="FC14" s="16" t="s">
        <v>247</v>
      </c>
      <c r="FD14" s="16" t="s">
        <v>248</v>
      </c>
      <c r="FE14" s="16" t="s">
        <v>249</v>
      </c>
      <c r="FF14" s="16" t="s">
        <v>250</v>
      </c>
      <c r="FG14" s="16" t="s">
        <v>78</v>
      </c>
      <c r="FH14" s="16" t="s">
        <v>78</v>
      </c>
      <c r="FI14" s="16" t="s">
        <v>123</v>
      </c>
      <c r="FJ14" s="16" t="s">
        <v>124</v>
      </c>
      <c r="FK14" s="16" t="s">
        <v>142</v>
      </c>
      <c r="FL14" s="16" t="s">
        <v>21</v>
      </c>
      <c r="FM14" s="16" t="s">
        <v>135</v>
      </c>
      <c r="FN14" s="16" t="s">
        <v>122</v>
      </c>
      <c r="FO14" s="16" t="s">
        <v>78</v>
      </c>
      <c r="FP14" s="16" t="s">
        <v>78</v>
      </c>
      <c r="FQ14" s="16" t="s">
        <v>123</v>
      </c>
      <c r="FR14" s="16" t="s">
        <v>124</v>
      </c>
      <c r="FS14" s="16" t="s">
        <v>78</v>
      </c>
      <c r="FT14" s="16" t="s">
        <v>78</v>
      </c>
      <c r="FU14" s="16" t="s">
        <v>78</v>
      </c>
      <c r="FV14" s="16" t="s">
        <v>78</v>
      </c>
    </row>
    <row r="15" spans="1:202" x14ac:dyDescent="0.3">
      <c r="A15" s="10" t="s">
        <v>279</v>
      </c>
      <c r="B15" s="6" t="str">
        <f t="shared" ca="1" si="0"/>
        <v>10/14/2025</v>
      </c>
      <c r="C15" s="6" t="s">
        <v>83</v>
      </c>
      <c r="D15" s="6" t="s">
        <v>39</v>
      </c>
      <c r="E15" s="6" t="s">
        <v>23</v>
      </c>
      <c r="F15" s="6" t="s">
        <v>285</v>
      </c>
      <c r="G15" s="6" t="s">
        <v>302</v>
      </c>
      <c r="H15" s="6" t="s">
        <v>303</v>
      </c>
      <c r="I15" s="6" t="s">
        <v>304</v>
      </c>
      <c r="J15" s="6" t="s">
        <v>465</v>
      </c>
      <c r="K15" s="6" t="s">
        <v>22</v>
      </c>
      <c r="L15" s="6" t="s">
        <v>23</v>
      </c>
      <c r="M15" s="6" t="s">
        <v>24</v>
      </c>
      <c r="N15" s="6" t="s">
        <v>25</v>
      </c>
      <c r="O15" s="6" t="s">
        <v>25</v>
      </c>
      <c r="P15" s="6" t="s">
        <v>24</v>
      </c>
      <c r="Q15" s="6" t="s">
        <v>220</v>
      </c>
      <c r="R15" s="6" t="s">
        <v>221</v>
      </c>
      <c r="S15" s="6" t="s">
        <v>26</v>
      </c>
      <c r="T15" s="6" t="s">
        <v>27</v>
      </c>
      <c r="U15" s="6" t="s">
        <v>25</v>
      </c>
      <c r="V15" s="6" t="s">
        <v>23</v>
      </c>
      <c r="W15" s="6" t="s">
        <v>23</v>
      </c>
      <c r="X15" s="6" t="s">
        <v>38</v>
      </c>
      <c r="Y15" s="6"/>
      <c r="Z15" s="6" t="s">
        <v>60</v>
      </c>
      <c r="AA15" s="6" t="s">
        <v>35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 t="s">
        <v>229</v>
      </c>
      <c r="AS15" s="6" t="s">
        <v>229</v>
      </c>
      <c r="AT15" s="6"/>
      <c r="AU15" s="6"/>
      <c r="AV15" s="6"/>
      <c r="AW15" s="6"/>
      <c r="AX15" s="6"/>
      <c r="AY15" s="6"/>
      <c r="AZ15" s="6"/>
      <c r="BA15" s="6"/>
      <c r="BB15" s="6" t="s">
        <v>32</v>
      </c>
      <c r="BC15" s="6" t="s">
        <v>101</v>
      </c>
      <c r="BD15" s="6" t="s">
        <v>57</v>
      </c>
      <c r="BE15" s="6" t="s">
        <v>330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 t="s">
        <v>331</v>
      </c>
      <c r="BR15" s="6" t="s">
        <v>291</v>
      </c>
      <c r="BS15" s="6" t="s">
        <v>305</v>
      </c>
      <c r="BT15" s="6"/>
      <c r="BU15" s="6"/>
      <c r="BV15" s="6"/>
      <c r="BW15" s="6"/>
      <c r="BX15" s="6"/>
      <c r="BY15" s="6" t="s">
        <v>229</v>
      </c>
      <c r="BZ15" s="6" t="s">
        <v>330</v>
      </c>
      <c r="CA15" s="6" t="s">
        <v>229</v>
      </c>
      <c r="CB15" s="6" t="s">
        <v>229</v>
      </c>
      <c r="CC15" s="6" t="s">
        <v>229</v>
      </c>
      <c r="CD15" s="6" t="s">
        <v>229</v>
      </c>
      <c r="CE15" s="6" t="s">
        <v>229</v>
      </c>
      <c r="CF15" s="6" t="s">
        <v>229</v>
      </c>
      <c r="CG15" s="6" t="s">
        <v>229</v>
      </c>
      <c r="CH15" s="6" t="s">
        <v>229</v>
      </c>
      <c r="CI15" s="6" t="s">
        <v>330</v>
      </c>
      <c r="CJ15" s="6" t="s">
        <v>229</v>
      </c>
      <c r="CK15" s="6" t="s">
        <v>229</v>
      </c>
      <c r="CL15" s="6" t="s">
        <v>229</v>
      </c>
      <c r="CM15" s="6" t="s">
        <v>229</v>
      </c>
      <c r="CN15" s="6" t="s">
        <v>229</v>
      </c>
      <c r="CO15" s="1" t="s">
        <v>229</v>
      </c>
      <c r="CP15" s="1" t="s">
        <v>25</v>
      </c>
      <c r="CQ15" s="1" t="s">
        <v>443</v>
      </c>
      <c r="CR15" s="1" t="s">
        <v>444</v>
      </c>
      <c r="CS15" s="1" t="s">
        <v>25</v>
      </c>
      <c r="CT15" s="1" t="s">
        <v>445</v>
      </c>
      <c r="CU15" s="1" t="s">
        <v>446</v>
      </c>
      <c r="CV15" s="1" t="s">
        <v>330</v>
      </c>
      <c r="CW15" s="1" t="s">
        <v>229</v>
      </c>
      <c r="CX15" s="1" t="s">
        <v>229</v>
      </c>
      <c r="CY15" s="1" t="s">
        <v>229</v>
      </c>
      <c r="CZ15" s="1" t="s">
        <v>229</v>
      </c>
      <c r="DA15" s="1" t="s">
        <v>229</v>
      </c>
      <c r="DB15" s="1" t="s">
        <v>229</v>
      </c>
      <c r="DC15" s="1" t="s">
        <v>229</v>
      </c>
      <c r="DD15" s="1" t="s">
        <v>229</v>
      </c>
      <c r="DE15" s="1" t="s">
        <v>229</v>
      </c>
      <c r="DF15" s="1" t="s">
        <v>229</v>
      </c>
      <c r="DG15" s="6" t="s">
        <v>25</v>
      </c>
      <c r="DH15" s="6" t="s">
        <v>25</v>
      </c>
      <c r="DI15" s="6" t="s">
        <v>25</v>
      </c>
      <c r="DJ15" s="6" t="s">
        <v>42</v>
      </c>
      <c r="DK15" s="6" t="s">
        <v>42</v>
      </c>
      <c r="DL15" s="6" t="s">
        <v>45</v>
      </c>
      <c r="DM15" s="6" t="s">
        <v>81</v>
      </c>
      <c r="DN15" s="6"/>
      <c r="DO15" s="6"/>
      <c r="DP15" s="6"/>
      <c r="DQ15" s="6" t="s">
        <v>25</v>
      </c>
      <c r="DR15" s="6" t="s">
        <v>25</v>
      </c>
      <c r="DS15" s="6" t="s">
        <v>24</v>
      </c>
      <c r="DT15" s="6" t="s">
        <v>25</v>
      </c>
      <c r="DU15" s="6" t="s">
        <v>25</v>
      </c>
      <c r="DV15" s="6"/>
      <c r="DW15" s="6" t="s">
        <v>25</v>
      </c>
      <c r="DX15" s="6" t="s">
        <v>25</v>
      </c>
      <c r="DY15" s="6" t="s">
        <v>25</v>
      </c>
      <c r="DZ15" s="6" t="s">
        <v>25</v>
      </c>
      <c r="EA15" s="6" t="s">
        <v>25</v>
      </c>
      <c r="EB15" s="6" t="s">
        <v>25</v>
      </c>
      <c r="EC15" s="6" t="s">
        <v>25</v>
      </c>
      <c r="ED15" s="6" t="s">
        <v>25</v>
      </c>
      <c r="EE15" s="6"/>
      <c r="EF15" s="6" t="s">
        <v>25</v>
      </c>
      <c r="EG15" s="6"/>
      <c r="EH15" s="6" t="s">
        <v>49</v>
      </c>
      <c r="EI15" s="6" t="s">
        <v>36</v>
      </c>
      <c r="EJ15" s="6" t="str">
        <f t="shared" ca="1" si="3"/>
        <v>10/15/2025</v>
      </c>
      <c r="EK15" s="6" t="s">
        <v>49</v>
      </c>
      <c r="EL15" s="6" t="s">
        <v>48</v>
      </c>
      <c r="EM15" s="6" t="s">
        <v>56</v>
      </c>
      <c r="EN15" s="6" t="s">
        <v>56</v>
      </c>
      <c r="EO15" s="6" t="s">
        <v>121</v>
      </c>
      <c r="EP15" s="6" t="s">
        <v>122</v>
      </c>
      <c r="EQ15" s="6" t="s">
        <v>247</v>
      </c>
      <c r="ER15" s="6" t="s">
        <v>248</v>
      </c>
      <c r="ES15" s="6" t="s">
        <v>249</v>
      </c>
      <c r="ET15" s="6" t="s">
        <v>250</v>
      </c>
      <c r="EU15" s="6" t="s">
        <v>78</v>
      </c>
      <c r="EV15" s="6" t="s">
        <v>78</v>
      </c>
      <c r="EW15" s="6" t="s">
        <v>123</v>
      </c>
      <c r="EX15" s="6" t="s">
        <v>124</v>
      </c>
      <c r="EY15" s="6" t="s">
        <v>56</v>
      </c>
      <c r="EZ15" s="6" t="s">
        <v>56</v>
      </c>
      <c r="FA15" s="6" t="s">
        <v>121</v>
      </c>
      <c r="FB15" s="6" t="s">
        <v>122</v>
      </c>
      <c r="FC15" s="6" t="s">
        <v>247</v>
      </c>
      <c r="FD15" s="6" t="s">
        <v>248</v>
      </c>
      <c r="FE15" s="6" t="s">
        <v>249</v>
      </c>
      <c r="FF15" s="6" t="s">
        <v>250</v>
      </c>
      <c r="FG15" s="6" t="s">
        <v>78</v>
      </c>
      <c r="FH15" s="6" t="s">
        <v>78</v>
      </c>
      <c r="FI15" s="6" t="s">
        <v>123</v>
      </c>
      <c r="FJ15" s="6" t="s">
        <v>124</v>
      </c>
      <c r="FK15" s="6" t="s">
        <v>142</v>
      </c>
      <c r="FL15" s="6" t="s">
        <v>21</v>
      </c>
      <c r="FM15" s="6" t="s">
        <v>135</v>
      </c>
      <c r="FN15" s="6" t="s">
        <v>122</v>
      </c>
      <c r="FO15" s="6" t="s">
        <v>78</v>
      </c>
      <c r="FP15" s="6" t="s">
        <v>78</v>
      </c>
      <c r="FQ15" s="6" t="s">
        <v>123</v>
      </c>
      <c r="FR15" s="6" t="s">
        <v>124</v>
      </c>
      <c r="FS15" s="6" t="s">
        <v>78</v>
      </c>
      <c r="FT15" s="6" t="s">
        <v>78</v>
      </c>
      <c r="FU15" s="6" t="s">
        <v>78</v>
      </c>
      <c r="FV15" s="6" t="s">
        <v>78</v>
      </c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</row>
    <row r="16" spans="1:202" s="16" customFormat="1" x14ac:dyDescent="0.3">
      <c r="A16" s="10" t="s">
        <v>280</v>
      </c>
      <c r="B16" s="16" t="str">
        <f t="shared" ca="1" si="0"/>
        <v>10/14/2025</v>
      </c>
      <c r="C16" s="16" t="s">
        <v>83</v>
      </c>
      <c r="D16" s="16" t="s">
        <v>39</v>
      </c>
      <c r="E16" s="16" t="s">
        <v>23</v>
      </c>
      <c r="F16" s="16" t="s">
        <v>286</v>
      </c>
      <c r="G16" s="16" t="s">
        <v>306</v>
      </c>
      <c r="H16" s="16" t="s">
        <v>307</v>
      </c>
      <c r="I16" s="16" t="s">
        <v>308</v>
      </c>
      <c r="J16" s="6" t="s">
        <v>465</v>
      </c>
      <c r="K16" s="16" t="s">
        <v>22</v>
      </c>
      <c r="L16" s="16" t="s">
        <v>23</v>
      </c>
      <c r="M16" s="16" t="s">
        <v>24</v>
      </c>
      <c r="N16" s="16" t="s">
        <v>25</v>
      </c>
      <c r="O16" s="16" t="s">
        <v>25</v>
      </c>
      <c r="P16" s="16" t="s">
        <v>24</v>
      </c>
      <c r="Q16" s="16" t="s">
        <v>220</v>
      </c>
      <c r="R16" s="16" t="s">
        <v>221</v>
      </c>
      <c r="S16" s="16" t="s">
        <v>26</v>
      </c>
      <c r="T16" s="16" t="s">
        <v>27</v>
      </c>
      <c r="U16" s="16" t="s">
        <v>25</v>
      </c>
      <c r="V16" s="16" t="s">
        <v>23</v>
      </c>
      <c r="W16" s="16" t="s">
        <v>23</v>
      </c>
      <c r="X16" s="16" t="s">
        <v>38</v>
      </c>
      <c r="Z16" s="16" t="s">
        <v>60</v>
      </c>
      <c r="AA16" s="16" t="s">
        <v>35</v>
      </c>
      <c r="AR16" s="16" t="s">
        <v>229</v>
      </c>
      <c r="AS16" s="16" t="s">
        <v>229</v>
      </c>
      <c r="BB16" s="16" t="s">
        <v>32</v>
      </c>
      <c r="BC16" s="16" t="s">
        <v>101</v>
      </c>
      <c r="BD16" s="16" t="s">
        <v>57</v>
      </c>
      <c r="BE16" s="16" t="s">
        <v>330</v>
      </c>
      <c r="BQ16" s="16" t="s">
        <v>331</v>
      </c>
      <c r="BR16" s="16" t="s">
        <v>291</v>
      </c>
      <c r="BS16" s="16" t="s">
        <v>309</v>
      </c>
      <c r="BY16" s="16" t="s">
        <v>229</v>
      </c>
      <c r="BZ16" s="16" t="s">
        <v>330</v>
      </c>
      <c r="CA16" s="16" t="s">
        <v>229</v>
      </c>
      <c r="CB16" s="16" t="s">
        <v>229</v>
      </c>
      <c r="CC16" s="16" t="s">
        <v>229</v>
      </c>
      <c r="CD16" s="16" t="s">
        <v>229</v>
      </c>
      <c r="CE16" s="16" t="s">
        <v>229</v>
      </c>
      <c r="CF16" s="16" t="s">
        <v>229</v>
      </c>
      <c r="CG16" s="16" t="s">
        <v>229</v>
      </c>
      <c r="CH16" s="16" t="s">
        <v>229</v>
      </c>
      <c r="CI16" s="16" t="s">
        <v>330</v>
      </c>
      <c r="CJ16" s="16" t="s">
        <v>229</v>
      </c>
      <c r="CK16" s="16" t="s">
        <v>229</v>
      </c>
      <c r="CL16" s="16" t="s">
        <v>229</v>
      </c>
      <c r="CM16" s="16" t="s">
        <v>229</v>
      </c>
      <c r="CN16" s="16" t="s">
        <v>229</v>
      </c>
      <c r="CO16" s="16" t="s">
        <v>229</v>
      </c>
      <c r="CP16" s="16" t="s">
        <v>25</v>
      </c>
      <c r="CQ16" s="16" t="s">
        <v>443</v>
      </c>
      <c r="CR16" s="16" t="s">
        <v>444</v>
      </c>
      <c r="CS16" s="16" t="s">
        <v>25</v>
      </c>
      <c r="CT16" s="11" t="s">
        <v>445</v>
      </c>
      <c r="CU16" s="11" t="s">
        <v>446</v>
      </c>
      <c r="CV16" s="11" t="s">
        <v>330</v>
      </c>
      <c r="CW16" s="1" t="s">
        <v>229</v>
      </c>
      <c r="CX16" s="1" t="s">
        <v>229</v>
      </c>
      <c r="CY16" s="1" t="s">
        <v>229</v>
      </c>
      <c r="CZ16" s="1" t="s">
        <v>229</v>
      </c>
      <c r="DA16" s="1" t="s">
        <v>229</v>
      </c>
      <c r="DB16" s="1" t="s">
        <v>229</v>
      </c>
      <c r="DC16" s="1" t="s">
        <v>229</v>
      </c>
      <c r="DD16" s="1" t="s">
        <v>229</v>
      </c>
      <c r="DE16" s="1" t="s">
        <v>229</v>
      </c>
      <c r="DF16" s="1" t="s">
        <v>229</v>
      </c>
      <c r="DG16" s="16" t="s">
        <v>25</v>
      </c>
      <c r="DH16" s="16" t="s">
        <v>25</v>
      </c>
      <c r="DI16" s="16" t="s">
        <v>25</v>
      </c>
      <c r="DJ16" s="16" t="s">
        <v>42</v>
      </c>
      <c r="DK16" s="16" t="s">
        <v>42</v>
      </c>
      <c r="DL16" s="16" t="s">
        <v>45</v>
      </c>
      <c r="DM16" s="16" t="s">
        <v>81</v>
      </c>
      <c r="DQ16" s="16" t="s">
        <v>25</v>
      </c>
      <c r="DR16" s="16" t="s">
        <v>25</v>
      </c>
      <c r="DS16" s="16" t="s">
        <v>24</v>
      </c>
      <c r="DT16" s="16" t="s">
        <v>25</v>
      </c>
      <c r="DU16" s="16" t="s">
        <v>25</v>
      </c>
      <c r="DW16" s="16" t="s">
        <v>25</v>
      </c>
      <c r="DX16" s="16" t="s">
        <v>25</v>
      </c>
      <c r="DY16" s="16" t="s">
        <v>25</v>
      </c>
      <c r="DZ16" s="16" t="s">
        <v>25</v>
      </c>
      <c r="EA16" s="16" t="s">
        <v>25</v>
      </c>
      <c r="EB16" s="16" t="s">
        <v>25</v>
      </c>
      <c r="EC16" s="16" t="s">
        <v>25</v>
      </c>
      <c r="ED16" s="16" t="s">
        <v>25</v>
      </c>
      <c r="EF16" s="16" t="s">
        <v>25</v>
      </c>
      <c r="EH16" s="16" t="s">
        <v>49</v>
      </c>
      <c r="EI16" s="16" t="s">
        <v>36</v>
      </c>
      <c r="EJ16" s="16" t="str">
        <f t="shared" ca="1" si="3"/>
        <v>10/15/2025</v>
      </c>
      <c r="EK16" s="16" t="s">
        <v>49</v>
      </c>
      <c r="EL16" s="16" t="s">
        <v>48</v>
      </c>
      <c r="EM16" s="16" t="s">
        <v>56</v>
      </c>
      <c r="EN16" s="16" t="s">
        <v>56</v>
      </c>
      <c r="EO16" s="16" t="s">
        <v>121</v>
      </c>
      <c r="EP16" s="16" t="s">
        <v>122</v>
      </c>
      <c r="EQ16" s="16" t="s">
        <v>247</v>
      </c>
      <c r="ER16" s="16" t="s">
        <v>248</v>
      </c>
      <c r="ES16" s="16" t="s">
        <v>249</v>
      </c>
      <c r="ET16" s="16" t="s">
        <v>250</v>
      </c>
      <c r="EU16" s="16" t="s">
        <v>78</v>
      </c>
      <c r="EV16" s="16" t="s">
        <v>78</v>
      </c>
      <c r="EW16" s="16" t="s">
        <v>123</v>
      </c>
      <c r="EX16" s="16" t="s">
        <v>124</v>
      </c>
      <c r="EY16" s="16" t="s">
        <v>56</v>
      </c>
      <c r="EZ16" s="16" t="s">
        <v>56</v>
      </c>
      <c r="FA16" s="16" t="s">
        <v>121</v>
      </c>
      <c r="FB16" s="16" t="s">
        <v>122</v>
      </c>
      <c r="FC16" s="16" t="s">
        <v>247</v>
      </c>
      <c r="FD16" s="16" t="s">
        <v>248</v>
      </c>
      <c r="FE16" s="16" t="s">
        <v>249</v>
      </c>
      <c r="FF16" s="16" t="s">
        <v>250</v>
      </c>
      <c r="FG16" s="16" t="s">
        <v>78</v>
      </c>
      <c r="FH16" s="16" t="s">
        <v>78</v>
      </c>
      <c r="FI16" s="16" t="s">
        <v>123</v>
      </c>
      <c r="FJ16" s="16" t="s">
        <v>124</v>
      </c>
      <c r="FK16" s="16" t="s">
        <v>142</v>
      </c>
      <c r="FL16" s="16" t="s">
        <v>21</v>
      </c>
      <c r="FM16" s="16" t="s">
        <v>135</v>
      </c>
      <c r="FN16" s="16" t="s">
        <v>122</v>
      </c>
      <c r="FO16" s="16" t="s">
        <v>78</v>
      </c>
      <c r="FP16" s="16" t="s">
        <v>78</v>
      </c>
      <c r="FQ16" s="16" t="s">
        <v>123</v>
      </c>
      <c r="FR16" s="16" t="s">
        <v>124</v>
      </c>
      <c r="FS16" s="16" t="s">
        <v>78</v>
      </c>
      <c r="FT16" s="16" t="s">
        <v>78</v>
      </c>
      <c r="FU16" s="16" t="s">
        <v>78</v>
      </c>
      <c r="FV16" s="16" t="s">
        <v>78</v>
      </c>
    </row>
    <row r="17" spans="1:202" x14ac:dyDescent="0.3">
      <c r="A17" s="10" t="s">
        <v>468</v>
      </c>
      <c r="B17" s="6" t="str">
        <f t="shared" ca="1" si="0"/>
        <v>10/14/2025</v>
      </c>
      <c r="C17" s="6" t="s">
        <v>83</v>
      </c>
      <c r="D17" s="6" t="s">
        <v>39</v>
      </c>
      <c r="E17" s="6" t="s">
        <v>23</v>
      </c>
      <c r="F17" s="6" t="s">
        <v>287</v>
      </c>
      <c r="G17" s="6" t="s">
        <v>310</v>
      </c>
      <c r="H17" s="6" t="s">
        <v>311</v>
      </c>
      <c r="I17" s="6" t="s">
        <v>312</v>
      </c>
      <c r="J17" s="6" t="s">
        <v>465</v>
      </c>
      <c r="K17" s="6" t="s">
        <v>22</v>
      </c>
      <c r="L17" s="6" t="s">
        <v>23</v>
      </c>
      <c r="M17" s="6" t="s">
        <v>24</v>
      </c>
      <c r="N17" s="6" t="s">
        <v>25</v>
      </c>
      <c r="O17" s="6" t="s">
        <v>25</v>
      </c>
      <c r="P17" s="6" t="s">
        <v>24</v>
      </c>
      <c r="Q17" s="6" t="s">
        <v>220</v>
      </c>
      <c r="R17" s="6" t="s">
        <v>221</v>
      </c>
      <c r="S17" s="6" t="s">
        <v>26</v>
      </c>
      <c r="T17" s="6" t="s">
        <v>27</v>
      </c>
      <c r="U17" s="6" t="s">
        <v>25</v>
      </c>
      <c r="V17" s="6" t="s">
        <v>23</v>
      </c>
      <c r="W17" s="6" t="s">
        <v>23</v>
      </c>
      <c r="X17" s="6" t="s">
        <v>38</v>
      </c>
      <c r="Y17" s="6"/>
      <c r="Z17" s="6" t="s">
        <v>60</v>
      </c>
      <c r="AA17" s="6" t="s">
        <v>35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 t="s">
        <v>229</v>
      </c>
      <c r="AS17" s="6" t="s">
        <v>229</v>
      </c>
      <c r="AT17" s="6"/>
      <c r="AU17" s="6"/>
      <c r="AV17" s="6"/>
      <c r="AW17" s="6"/>
      <c r="AX17" s="6"/>
      <c r="AY17" s="6"/>
      <c r="AZ17" s="6"/>
      <c r="BA17" s="6"/>
      <c r="BB17" s="6" t="s">
        <v>32</v>
      </c>
      <c r="BC17" s="6" t="s">
        <v>101</v>
      </c>
      <c r="BD17" s="6" t="s">
        <v>57</v>
      </c>
      <c r="BE17" s="6" t="s">
        <v>330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 t="s">
        <v>331</v>
      </c>
      <c r="BR17" s="6" t="s">
        <v>291</v>
      </c>
      <c r="BS17" s="6" t="s">
        <v>313</v>
      </c>
      <c r="BT17" s="6"/>
      <c r="BU17" s="6"/>
      <c r="BV17" s="6"/>
      <c r="BW17" s="6"/>
      <c r="BX17" s="6"/>
      <c r="BY17" s="6" t="s">
        <v>229</v>
      </c>
      <c r="BZ17" s="6" t="s">
        <v>330</v>
      </c>
      <c r="CA17" s="6" t="s">
        <v>229</v>
      </c>
      <c r="CB17" s="6" t="s">
        <v>229</v>
      </c>
      <c r="CC17" s="6" t="s">
        <v>229</v>
      </c>
      <c r="CD17" s="6" t="s">
        <v>229</v>
      </c>
      <c r="CE17" s="6" t="s">
        <v>229</v>
      </c>
      <c r="CF17" s="6" t="s">
        <v>229</v>
      </c>
      <c r="CG17" s="6" t="s">
        <v>229</v>
      </c>
      <c r="CH17" s="6" t="s">
        <v>229</v>
      </c>
      <c r="CI17" s="6" t="s">
        <v>330</v>
      </c>
      <c r="CJ17" s="6" t="s">
        <v>229</v>
      </c>
      <c r="CK17" s="6" t="s">
        <v>229</v>
      </c>
      <c r="CL17" s="6" t="s">
        <v>229</v>
      </c>
      <c r="CM17" s="6" t="s">
        <v>229</v>
      </c>
      <c r="CN17" s="6" t="s">
        <v>229</v>
      </c>
      <c r="CO17" s="1" t="s">
        <v>229</v>
      </c>
      <c r="CP17" s="1" t="s">
        <v>25</v>
      </c>
      <c r="CQ17" s="1" t="s">
        <v>443</v>
      </c>
      <c r="CR17" s="1" t="s">
        <v>444</v>
      </c>
      <c r="CS17" s="1" t="s">
        <v>25</v>
      </c>
      <c r="CT17" s="1" t="s">
        <v>445</v>
      </c>
      <c r="CU17" s="1" t="s">
        <v>446</v>
      </c>
      <c r="CV17" s="1" t="s">
        <v>330</v>
      </c>
      <c r="CW17" s="1" t="s">
        <v>229</v>
      </c>
      <c r="CX17" s="1" t="s">
        <v>229</v>
      </c>
      <c r="CY17" s="1" t="s">
        <v>229</v>
      </c>
      <c r="CZ17" s="1" t="s">
        <v>229</v>
      </c>
      <c r="DA17" s="1" t="s">
        <v>229</v>
      </c>
      <c r="DB17" s="1" t="s">
        <v>229</v>
      </c>
      <c r="DC17" s="1" t="s">
        <v>229</v>
      </c>
      <c r="DD17" s="1" t="s">
        <v>229</v>
      </c>
      <c r="DE17" s="1" t="s">
        <v>229</v>
      </c>
      <c r="DF17" s="1" t="s">
        <v>229</v>
      </c>
      <c r="DG17" s="6" t="s">
        <v>25</v>
      </c>
      <c r="DH17" s="6" t="s">
        <v>25</v>
      </c>
      <c r="DI17" s="6" t="s">
        <v>25</v>
      </c>
      <c r="DJ17" s="6" t="s">
        <v>42</v>
      </c>
      <c r="DK17" s="6" t="s">
        <v>42</v>
      </c>
      <c r="DL17" s="6" t="s">
        <v>45</v>
      </c>
      <c r="DM17" s="6" t="s">
        <v>81</v>
      </c>
      <c r="DN17" s="6"/>
      <c r="DO17" s="6"/>
      <c r="DP17" s="6"/>
      <c r="DQ17" s="6" t="s">
        <v>25</v>
      </c>
      <c r="DR17" s="6" t="s">
        <v>25</v>
      </c>
      <c r="DS17" s="6" t="s">
        <v>24</v>
      </c>
      <c r="DT17" s="6" t="s">
        <v>25</v>
      </c>
      <c r="DU17" s="6" t="s">
        <v>25</v>
      </c>
      <c r="DV17" s="6"/>
      <c r="DW17" s="6" t="s">
        <v>25</v>
      </c>
      <c r="DX17" s="6" t="s">
        <v>25</v>
      </c>
      <c r="DY17" s="6" t="s">
        <v>25</v>
      </c>
      <c r="DZ17" s="6" t="s">
        <v>25</v>
      </c>
      <c r="EA17" s="6" t="s">
        <v>25</v>
      </c>
      <c r="EB17" s="6" t="s">
        <v>25</v>
      </c>
      <c r="EC17" s="6" t="s">
        <v>25</v>
      </c>
      <c r="ED17" s="6" t="s">
        <v>25</v>
      </c>
      <c r="EE17" s="6"/>
      <c r="EF17" s="6" t="s">
        <v>25</v>
      </c>
      <c r="EG17" s="6"/>
      <c r="EH17" s="6" t="s">
        <v>49</v>
      </c>
      <c r="EI17" s="6" t="s">
        <v>36</v>
      </c>
      <c r="EJ17" s="6" t="str">
        <f t="shared" ca="1" si="3"/>
        <v>10/15/2025</v>
      </c>
      <c r="EK17" s="6" t="s">
        <v>49</v>
      </c>
      <c r="EL17" s="6" t="s">
        <v>48</v>
      </c>
      <c r="EM17" s="6" t="s">
        <v>56</v>
      </c>
      <c r="EN17" s="6" t="s">
        <v>56</v>
      </c>
      <c r="EO17" s="6" t="s">
        <v>121</v>
      </c>
      <c r="EP17" s="6" t="s">
        <v>122</v>
      </c>
      <c r="EQ17" s="6" t="s">
        <v>247</v>
      </c>
      <c r="ER17" s="6" t="s">
        <v>248</v>
      </c>
      <c r="ES17" s="6" t="s">
        <v>249</v>
      </c>
      <c r="ET17" s="6" t="s">
        <v>250</v>
      </c>
      <c r="EU17" s="6" t="s">
        <v>78</v>
      </c>
      <c r="EV17" s="6" t="s">
        <v>78</v>
      </c>
      <c r="EW17" s="6" t="s">
        <v>123</v>
      </c>
      <c r="EX17" s="6" t="s">
        <v>124</v>
      </c>
      <c r="EY17" s="6" t="s">
        <v>56</v>
      </c>
      <c r="EZ17" s="6" t="s">
        <v>56</v>
      </c>
      <c r="FA17" s="6" t="s">
        <v>121</v>
      </c>
      <c r="FB17" s="6" t="s">
        <v>122</v>
      </c>
      <c r="FC17" s="6" t="s">
        <v>247</v>
      </c>
      <c r="FD17" s="6" t="s">
        <v>248</v>
      </c>
      <c r="FE17" s="6" t="s">
        <v>249</v>
      </c>
      <c r="FF17" s="6" t="s">
        <v>250</v>
      </c>
      <c r="FG17" s="6" t="s">
        <v>78</v>
      </c>
      <c r="FH17" s="6" t="s">
        <v>78</v>
      </c>
      <c r="FI17" s="6" t="s">
        <v>123</v>
      </c>
      <c r="FJ17" s="6" t="s">
        <v>124</v>
      </c>
      <c r="FK17" s="6" t="s">
        <v>142</v>
      </c>
      <c r="FL17" s="6" t="s">
        <v>21</v>
      </c>
      <c r="FM17" s="6" t="s">
        <v>135</v>
      </c>
      <c r="FN17" s="6" t="s">
        <v>122</v>
      </c>
      <c r="FO17" s="6" t="s">
        <v>78</v>
      </c>
      <c r="FP17" s="6" t="s">
        <v>78</v>
      </c>
      <c r="FQ17" s="6" t="s">
        <v>123</v>
      </c>
      <c r="FR17" s="6" t="s">
        <v>124</v>
      </c>
      <c r="FS17" s="6" t="s">
        <v>78</v>
      </c>
      <c r="FT17" s="6" t="s">
        <v>78</v>
      </c>
      <c r="FU17" s="6" t="s">
        <v>78</v>
      </c>
      <c r="FV17" s="6" t="s">
        <v>78</v>
      </c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</row>
    <row r="18" spans="1:202" s="1" customFormat="1" ht="17.25" customHeight="1" x14ac:dyDescent="0.3">
      <c r="A18" s="10" t="s">
        <v>382</v>
      </c>
      <c r="B18" s="16" t="str">
        <f t="shared" ca="1" si="0"/>
        <v>10/14/2025</v>
      </c>
      <c r="C18" s="16" t="s">
        <v>83</v>
      </c>
      <c r="D18" s="16" t="s">
        <v>39</v>
      </c>
      <c r="E18" s="16" t="s">
        <v>23</v>
      </c>
      <c r="F18" s="16" t="s">
        <v>32</v>
      </c>
      <c r="G18" s="16" t="s">
        <v>61</v>
      </c>
      <c r="H18" s="16" t="s">
        <v>155</v>
      </c>
      <c r="I18" s="16" t="s">
        <v>156</v>
      </c>
      <c r="J18" s="6" t="s">
        <v>465</v>
      </c>
      <c r="K18" s="16" t="s">
        <v>159</v>
      </c>
      <c r="L18" s="16" t="s">
        <v>23</v>
      </c>
      <c r="M18" s="16" t="s">
        <v>24</v>
      </c>
      <c r="N18" s="16" t="s">
        <v>25</v>
      </c>
      <c r="O18" s="16" t="s">
        <v>25</v>
      </c>
      <c r="P18" s="16" t="s">
        <v>24</v>
      </c>
      <c r="Q18" s="16" t="s">
        <v>84</v>
      </c>
      <c r="R18" s="16" t="s">
        <v>85</v>
      </c>
      <c r="S18" s="16" t="s">
        <v>26</v>
      </c>
      <c r="T18" s="16" t="s">
        <v>27</v>
      </c>
      <c r="U18" s="16" t="s">
        <v>25</v>
      </c>
      <c r="V18" s="16" t="s">
        <v>23</v>
      </c>
      <c r="W18" s="16" t="s">
        <v>23</v>
      </c>
      <c r="X18" s="16" t="s">
        <v>38</v>
      </c>
      <c r="Y18" s="16" t="s">
        <v>92</v>
      </c>
      <c r="Z18" s="16" t="s">
        <v>60</v>
      </c>
      <c r="AA18" s="16" t="s">
        <v>35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 t="s">
        <v>229</v>
      </c>
      <c r="AS18" s="16" t="s">
        <v>229</v>
      </c>
      <c r="AT18" s="16"/>
      <c r="AU18" s="16"/>
      <c r="AV18" s="16"/>
      <c r="AW18" s="16"/>
      <c r="AX18" s="16"/>
      <c r="AY18" s="16"/>
      <c r="AZ18" s="16"/>
      <c r="BA18" s="16"/>
      <c r="BB18" s="16" t="s">
        <v>32</v>
      </c>
      <c r="BC18" s="16" t="s">
        <v>101</v>
      </c>
      <c r="BD18" s="16" t="s">
        <v>57</v>
      </c>
      <c r="BE18" s="16" t="s">
        <v>331</v>
      </c>
      <c r="BF18" s="16" t="s">
        <v>434</v>
      </c>
      <c r="BG18" s="16" t="s">
        <v>357</v>
      </c>
      <c r="BH18" s="16" t="s">
        <v>340</v>
      </c>
      <c r="BI18" s="16"/>
      <c r="BJ18" s="16" t="s">
        <v>340</v>
      </c>
      <c r="BK18" s="16"/>
      <c r="BL18" s="16" t="s">
        <v>347</v>
      </c>
      <c r="BM18" s="16" t="s">
        <v>384</v>
      </c>
      <c r="BN18" s="16" t="s">
        <v>351</v>
      </c>
      <c r="BO18" s="16" t="s">
        <v>385</v>
      </c>
      <c r="BP18" s="16" t="s">
        <v>435</v>
      </c>
      <c r="BQ18" s="16" t="s">
        <v>336</v>
      </c>
      <c r="BR18" s="16" t="str">
        <f t="shared" ref="BR18" si="8">CONCATENATE(Q18, " ", R18)</f>
        <v>Automation ES Row 1</v>
      </c>
      <c r="BS18" s="16" t="str">
        <f t="shared" ref="BS18" si="9">CONCATENATE(G18, "  -   , ", H18, "  , ",F18,"  , ",I18)</f>
        <v>145 E 39th St  -   , Gloversville  , NY  , 12078</v>
      </c>
      <c r="BT18" s="16" t="s">
        <v>336</v>
      </c>
      <c r="BU18" s="16" t="s">
        <v>365</v>
      </c>
      <c r="BV18" s="16" t="s">
        <v>467</v>
      </c>
      <c r="BW18" s="16" t="s">
        <v>369</v>
      </c>
      <c r="BX18" s="16" t="s">
        <v>370</v>
      </c>
      <c r="BY18" s="16" t="s">
        <v>229</v>
      </c>
      <c r="BZ18" s="16" t="s">
        <v>336</v>
      </c>
      <c r="CA18" s="16" t="s">
        <v>428</v>
      </c>
      <c r="CB18" s="16" t="s">
        <v>432</v>
      </c>
      <c r="CC18" s="16" t="s">
        <v>429</v>
      </c>
      <c r="CD18" s="16" t="s">
        <v>461</v>
      </c>
      <c r="CE18" s="16" t="s">
        <v>433</v>
      </c>
      <c r="CF18" s="16" t="s">
        <v>404</v>
      </c>
      <c r="CG18" s="16" t="s">
        <v>408</v>
      </c>
      <c r="CH18" s="16" t="s">
        <v>430</v>
      </c>
      <c r="CI18" s="16" t="s">
        <v>336</v>
      </c>
      <c r="CJ18" s="16" t="s">
        <v>411</v>
      </c>
      <c r="CK18" s="16" t="s">
        <v>413</v>
      </c>
      <c r="CL18" s="16" t="s">
        <v>414</v>
      </c>
      <c r="CM18" s="16" t="s">
        <v>415</v>
      </c>
      <c r="CN18" s="16" t="s">
        <v>416</v>
      </c>
      <c r="CO18" s="1" t="s">
        <v>229</v>
      </c>
      <c r="CP18" s="1" t="s">
        <v>25</v>
      </c>
      <c r="CQ18" s="1" t="s">
        <v>443</v>
      </c>
      <c r="CR18" s="1" t="s">
        <v>444</v>
      </c>
      <c r="CS18" s="1" t="s">
        <v>25</v>
      </c>
      <c r="CT18" s="11" t="s">
        <v>445</v>
      </c>
      <c r="CU18" s="11" t="s">
        <v>446</v>
      </c>
      <c r="CV18" s="11" t="s">
        <v>336</v>
      </c>
      <c r="CW18" s="11" t="s">
        <v>455</v>
      </c>
      <c r="CX18" s="11" t="s">
        <v>456</v>
      </c>
      <c r="CY18" s="11" t="s">
        <v>457</v>
      </c>
      <c r="CZ18" s="11" t="s">
        <v>458</v>
      </c>
      <c r="DA18" s="11" t="s">
        <v>404</v>
      </c>
      <c r="DB18" s="11" t="s">
        <v>459</v>
      </c>
      <c r="DC18" s="11" t="s">
        <v>460</v>
      </c>
      <c r="DD18" s="1" t="s">
        <v>408</v>
      </c>
      <c r="DE18" s="11" t="s">
        <v>409</v>
      </c>
      <c r="DF18" s="1" t="s">
        <v>418</v>
      </c>
      <c r="DG18" s="16" t="s">
        <v>25</v>
      </c>
      <c r="DH18" s="16" t="s">
        <v>25</v>
      </c>
      <c r="DI18" s="16" t="s">
        <v>25</v>
      </c>
      <c r="DJ18" s="16" t="s">
        <v>42</v>
      </c>
      <c r="DK18" s="16" t="s">
        <v>42</v>
      </c>
      <c r="DL18" s="16" t="s">
        <v>45</v>
      </c>
      <c r="DM18" s="16" t="s">
        <v>81</v>
      </c>
      <c r="DN18" s="16"/>
      <c r="DO18" s="16"/>
      <c r="DP18" s="16"/>
      <c r="DQ18" s="16" t="s">
        <v>25</v>
      </c>
      <c r="DR18" s="16" t="s">
        <v>24</v>
      </c>
      <c r="DS18" s="16" t="s">
        <v>24</v>
      </c>
      <c r="DT18" s="16" t="s">
        <v>24</v>
      </c>
      <c r="DU18" s="16" t="s">
        <v>24</v>
      </c>
      <c r="DV18" s="16" t="s">
        <v>389</v>
      </c>
      <c r="DW18" s="16" t="s">
        <v>24</v>
      </c>
      <c r="DX18" s="16" t="s">
        <v>24</v>
      </c>
      <c r="DY18" s="16" t="s">
        <v>24</v>
      </c>
      <c r="DZ18" s="16" t="s">
        <v>24</v>
      </c>
      <c r="EA18" s="16" t="s">
        <v>24</v>
      </c>
      <c r="EB18" s="16" t="s">
        <v>24</v>
      </c>
      <c r="EC18" s="16" t="s">
        <v>24</v>
      </c>
      <c r="ED18" s="16" t="s">
        <v>24</v>
      </c>
      <c r="EE18" s="16" t="s">
        <v>417</v>
      </c>
      <c r="EF18" s="16" t="s">
        <v>25</v>
      </c>
      <c r="EG18" s="16"/>
      <c r="EH18" s="16" t="s">
        <v>49</v>
      </c>
      <c r="EI18" s="16" t="s">
        <v>36</v>
      </c>
      <c r="EJ18" s="16" t="str">
        <f t="shared" ca="1" si="3"/>
        <v>10/15/2025</v>
      </c>
      <c r="EK18" s="16" t="s">
        <v>49</v>
      </c>
      <c r="EL18" s="16" t="s">
        <v>48</v>
      </c>
      <c r="EM18" s="16" t="s">
        <v>56</v>
      </c>
      <c r="EN18" s="16" t="s">
        <v>56</v>
      </c>
      <c r="EO18" s="16" t="s">
        <v>121</v>
      </c>
      <c r="EP18" s="16" t="s">
        <v>122</v>
      </c>
      <c r="EQ18" s="16" t="s">
        <v>247</v>
      </c>
      <c r="ER18" s="16" t="s">
        <v>248</v>
      </c>
      <c r="ES18" s="16" t="s">
        <v>249</v>
      </c>
      <c r="ET18" s="16" t="s">
        <v>250</v>
      </c>
      <c r="EU18" s="16" t="s">
        <v>78</v>
      </c>
      <c r="EV18" s="16" t="s">
        <v>78</v>
      </c>
      <c r="EW18" s="16" t="s">
        <v>123</v>
      </c>
      <c r="EX18" s="16" t="s">
        <v>124</v>
      </c>
      <c r="EY18" s="16" t="s">
        <v>56</v>
      </c>
      <c r="EZ18" s="16" t="s">
        <v>56</v>
      </c>
      <c r="FA18" s="16" t="s">
        <v>121</v>
      </c>
      <c r="FB18" s="16" t="s">
        <v>122</v>
      </c>
      <c r="FC18" s="16" t="s">
        <v>247</v>
      </c>
      <c r="FD18" s="16" t="s">
        <v>248</v>
      </c>
      <c r="FE18" s="16" t="s">
        <v>249</v>
      </c>
      <c r="FF18" s="16" t="s">
        <v>250</v>
      </c>
      <c r="FG18" s="16" t="s">
        <v>78</v>
      </c>
      <c r="FH18" s="16" t="s">
        <v>78</v>
      </c>
      <c r="FI18" s="16" t="s">
        <v>123</v>
      </c>
      <c r="FJ18" s="16" t="s">
        <v>124</v>
      </c>
      <c r="FK18" s="16" t="s">
        <v>142</v>
      </c>
      <c r="FL18" s="16" t="s">
        <v>21</v>
      </c>
      <c r="FM18" s="16" t="s">
        <v>135</v>
      </c>
      <c r="FN18" s="16" t="s">
        <v>122</v>
      </c>
      <c r="FO18" s="16" t="s">
        <v>78</v>
      </c>
      <c r="FP18" s="16" t="s">
        <v>78</v>
      </c>
      <c r="FQ18" s="16" t="s">
        <v>123</v>
      </c>
      <c r="FR18" s="16" t="s">
        <v>124</v>
      </c>
      <c r="FS18" s="16" t="s">
        <v>78</v>
      </c>
      <c r="FT18" s="16" t="s">
        <v>78</v>
      </c>
      <c r="FU18" s="16" t="s">
        <v>78</v>
      </c>
      <c r="FV18" s="16" t="s">
        <v>78</v>
      </c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</row>
  </sheetData>
  <mergeCells count="18">
    <mergeCell ref="BZ1:CH1"/>
    <mergeCell ref="AI1:AJ1"/>
    <mergeCell ref="DJ1:DP1"/>
    <mergeCell ref="DQ1:EG1"/>
    <mergeCell ref="EH1:EL1"/>
    <mergeCell ref="B1:W1"/>
    <mergeCell ref="X1:Y1"/>
    <mergeCell ref="Z1:AA1"/>
    <mergeCell ref="DG1:DI1"/>
    <mergeCell ref="BR1:BS1"/>
    <mergeCell ref="AK1:AS1"/>
    <mergeCell ref="AT1:BA1"/>
    <mergeCell ref="AB1:AF1"/>
    <mergeCell ref="AG1:AH1"/>
    <mergeCell ref="BB1:BQ1"/>
    <mergeCell ref="BT1:BX1"/>
    <mergeCell ref="CO1:DF1"/>
    <mergeCell ref="CI1:CN1"/>
  </mergeCells>
  <phoneticPr fontId="4" type="noConversion"/>
  <conditionalFormatting sqref="F3:F5">
    <cfRule type="duplicateValues" dxfId="2" priority="4"/>
  </conditionalFormatting>
  <conditionalFormatting sqref="F6:F9">
    <cfRule type="duplicateValues" dxfId="1" priority="3"/>
  </conditionalFormatting>
  <conditionalFormatting sqref="F1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0DD2-AEC4-4F52-870F-42199F6C0342}">
  <dimension ref="A1:AA5"/>
  <sheetViews>
    <sheetView workbookViewId="0">
      <selection activeCell="D2" sqref="D2"/>
    </sheetView>
  </sheetViews>
  <sheetFormatPr defaultRowHeight="14.4" x14ac:dyDescent="0.3"/>
  <cols>
    <col min="1" max="1" width="12.6640625" bestFit="1" customWidth="1"/>
    <col min="2" max="2" width="28.109375" customWidth="1"/>
    <col min="3" max="3" width="32" bestFit="1" customWidth="1"/>
    <col min="4" max="4" width="28.33203125" bestFit="1" customWidth="1"/>
    <col min="5" max="5" width="38.109375" bestFit="1" customWidth="1"/>
    <col min="6" max="6" width="26.33203125" bestFit="1" customWidth="1"/>
    <col min="7" max="7" width="27.6640625" bestFit="1" customWidth="1"/>
    <col min="8" max="8" width="25.5546875" bestFit="1" customWidth="1"/>
    <col min="9" max="9" width="52" bestFit="1" customWidth="1"/>
    <col min="10" max="11" width="25.5546875" customWidth="1"/>
    <col min="12" max="16" width="25.5546875" bestFit="1" customWidth="1"/>
    <col min="17" max="17" width="26.88671875" customWidth="1"/>
    <col min="18" max="19" width="29.33203125" customWidth="1"/>
    <col min="20" max="25" width="26.88671875" customWidth="1"/>
    <col min="26" max="26" width="71.109375" bestFit="1" customWidth="1"/>
  </cols>
  <sheetData>
    <row r="1" spans="1:27" ht="15" thickBot="1" x14ac:dyDescent="0.35">
      <c r="A1" s="18" t="s">
        <v>207</v>
      </c>
      <c r="B1" s="19" t="s">
        <v>163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5" thickBot="1" x14ac:dyDescent="0.35">
      <c r="A2" s="21" t="s">
        <v>164</v>
      </c>
      <c r="B2" s="22" t="s">
        <v>165</v>
      </c>
      <c r="C2" s="22" t="s">
        <v>166</v>
      </c>
      <c r="D2" s="22" t="s">
        <v>167</v>
      </c>
      <c r="E2" s="22" t="s">
        <v>168</v>
      </c>
      <c r="F2" s="22" t="s">
        <v>169</v>
      </c>
      <c r="G2" s="22" t="s">
        <v>170</v>
      </c>
      <c r="H2" s="22" t="s">
        <v>171</v>
      </c>
      <c r="I2" s="22" t="s">
        <v>240</v>
      </c>
      <c r="J2" s="22" t="s">
        <v>241</v>
      </c>
      <c r="K2" s="22" t="s">
        <v>242</v>
      </c>
      <c r="L2" s="22" t="s">
        <v>172</v>
      </c>
      <c r="M2" s="22" t="s">
        <v>173</v>
      </c>
      <c r="N2" s="22" t="s">
        <v>174</v>
      </c>
      <c r="O2" s="22" t="s">
        <v>175</v>
      </c>
      <c r="P2" s="22" t="s">
        <v>176</v>
      </c>
      <c r="Q2" s="22" t="s">
        <v>177</v>
      </c>
      <c r="R2" s="22" t="s">
        <v>178</v>
      </c>
      <c r="S2" s="22" t="s">
        <v>179</v>
      </c>
      <c r="T2" s="22" t="s">
        <v>180</v>
      </c>
      <c r="U2" s="22" t="s">
        <v>181</v>
      </c>
      <c r="V2" s="22" t="s">
        <v>182</v>
      </c>
      <c r="W2" s="22" t="s">
        <v>183</v>
      </c>
      <c r="X2" s="22" t="s">
        <v>184</v>
      </c>
      <c r="Y2" s="22" t="s">
        <v>185</v>
      </c>
      <c r="Z2" s="22" t="s">
        <v>186</v>
      </c>
    </row>
    <row r="3" spans="1:27" x14ac:dyDescent="0.3">
      <c r="A3" s="23" t="s">
        <v>187</v>
      </c>
      <c r="B3" s="24" t="s">
        <v>188</v>
      </c>
      <c r="C3" s="24" t="s">
        <v>24</v>
      </c>
      <c r="D3" s="24" t="s">
        <v>189</v>
      </c>
      <c r="E3" s="24" t="s">
        <v>66</v>
      </c>
      <c r="F3" s="24" t="s">
        <v>71</v>
      </c>
      <c r="G3" s="24" t="s">
        <v>33</v>
      </c>
      <c r="H3" s="24" t="s">
        <v>77</v>
      </c>
      <c r="I3" s="24"/>
      <c r="J3" s="24"/>
      <c r="K3" s="24"/>
      <c r="L3" s="24" t="s">
        <v>190</v>
      </c>
      <c r="M3" s="24" t="s">
        <v>191</v>
      </c>
      <c r="N3" s="24" t="s">
        <v>192</v>
      </c>
      <c r="O3" s="24" t="s">
        <v>36</v>
      </c>
      <c r="P3" s="24" t="s">
        <v>193</v>
      </c>
      <c r="Q3" s="24" t="s">
        <v>194</v>
      </c>
      <c r="R3" s="24" t="s">
        <v>195</v>
      </c>
      <c r="S3" s="24" t="s">
        <v>196</v>
      </c>
      <c r="T3" s="24" t="s">
        <v>197</v>
      </c>
      <c r="U3" s="24" t="s">
        <v>25</v>
      </c>
      <c r="V3" s="24" t="s">
        <v>25</v>
      </c>
      <c r="W3" s="24"/>
      <c r="X3" s="24" t="s">
        <v>25</v>
      </c>
      <c r="Y3" s="24"/>
      <c r="Z3" s="24" t="s">
        <v>25</v>
      </c>
    </row>
    <row r="4" spans="1:27" x14ac:dyDescent="0.3">
      <c r="A4" s="23" t="s">
        <v>198</v>
      </c>
      <c r="B4" s="24" t="s">
        <v>188</v>
      </c>
      <c r="C4" s="24" t="s">
        <v>25</v>
      </c>
      <c r="D4" s="24" t="s">
        <v>199</v>
      </c>
      <c r="E4" s="24" t="s">
        <v>66</v>
      </c>
      <c r="F4" s="24" t="s">
        <v>71</v>
      </c>
      <c r="G4" s="24" t="s">
        <v>33</v>
      </c>
      <c r="H4" s="24" t="s">
        <v>77</v>
      </c>
      <c r="I4" s="24"/>
      <c r="J4" s="24"/>
      <c r="K4" s="24"/>
      <c r="L4" s="24" t="s">
        <v>190</v>
      </c>
      <c r="M4" s="24" t="s">
        <v>191</v>
      </c>
      <c r="N4" s="24" t="s">
        <v>192</v>
      </c>
      <c r="O4" s="24" t="s">
        <v>36</v>
      </c>
      <c r="P4" s="24" t="s">
        <v>193</v>
      </c>
      <c r="Q4" s="24" t="s">
        <v>194</v>
      </c>
      <c r="R4" s="24" t="s">
        <v>200</v>
      </c>
      <c r="S4" s="24" t="s">
        <v>196</v>
      </c>
      <c r="T4" s="24" t="s">
        <v>201</v>
      </c>
      <c r="U4" s="24" t="s">
        <v>25</v>
      </c>
      <c r="V4" s="24" t="s">
        <v>25</v>
      </c>
      <c r="W4" s="24"/>
      <c r="X4" s="24" t="s">
        <v>25</v>
      </c>
      <c r="Y4" s="24"/>
      <c r="Z4" s="24" t="s">
        <v>25</v>
      </c>
    </row>
    <row r="5" spans="1:27" x14ac:dyDescent="0.3">
      <c r="A5" s="23" t="s">
        <v>202</v>
      </c>
      <c r="B5" s="24" t="s">
        <v>203</v>
      </c>
      <c r="C5" s="24"/>
      <c r="D5" s="24" t="s">
        <v>204</v>
      </c>
      <c r="E5" s="24" t="s">
        <v>66</v>
      </c>
      <c r="F5" s="24" t="s">
        <v>71</v>
      </c>
      <c r="G5" s="24" t="s">
        <v>33</v>
      </c>
      <c r="H5" s="24" t="s">
        <v>77</v>
      </c>
      <c r="I5" s="24"/>
      <c r="J5" s="24"/>
      <c r="K5" s="24"/>
      <c r="L5" s="24" t="s">
        <v>190</v>
      </c>
      <c r="M5" s="24" t="s">
        <v>191</v>
      </c>
      <c r="N5" s="24" t="s">
        <v>192</v>
      </c>
      <c r="O5" s="24" t="s">
        <v>36</v>
      </c>
      <c r="P5" s="24" t="s">
        <v>193</v>
      </c>
      <c r="Q5" s="24" t="s">
        <v>194</v>
      </c>
      <c r="R5" s="24" t="s">
        <v>200</v>
      </c>
      <c r="S5" s="24" t="s">
        <v>205</v>
      </c>
      <c r="T5" s="24" t="s">
        <v>206</v>
      </c>
      <c r="U5" s="24" t="s">
        <v>25</v>
      </c>
      <c r="V5" s="24" t="s">
        <v>25</v>
      </c>
      <c r="W5" s="24"/>
      <c r="X5" s="24" t="s">
        <v>25</v>
      </c>
      <c r="Y5" s="24"/>
      <c r="Z5" s="2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5C05-8BC4-4358-B9D5-B587A15EE00E}">
  <dimension ref="A1:F4"/>
  <sheetViews>
    <sheetView workbookViewId="0">
      <selection activeCell="C20" sqref="B20:C20"/>
    </sheetView>
  </sheetViews>
  <sheetFormatPr defaultColWidth="9.109375" defaultRowHeight="14.4" x14ac:dyDescent="0.3"/>
  <cols>
    <col min="1" max="1" width="23.109375" style="36" bestFit="1" customWidth="1"/>
    <col min="2" max="2" width="42" style="27" bestFit="1" customWidth="1"/>
    <col min="3" max="3" width="42" style="35" bestFit="1" customWidth="1"/>
    <col min="4" max="4" width="29.5546875" style="35" bestFit="1" customWidth="1"/>
    <col min="5" max="5" width="31.33203125" style="35" bestFit="1" customWidth="1"/>
    <col min="6" max="6" width="51.88671875" style="35" customWidth="1"/>
    <col min="7" max="16384" width="9.109375" style="35"/>
  </cols>
  <sheetData>
    <row r="1" spans="1:6" s="28" customFormat="1" ht="15" thickBot="1" x14ac:dyDescent="0.35">
      <c r="A1" s="25" t="s">
        <v>208</v>
      </c>
      <c r="B1" s="49"/>
      <c r="C1" s="49"/>
      <c r="D1" s="49"/>
      <c r="E1" s="49"/>
      <c r="F1" s="26"/>
    </row>
    <row r="2" spans="1:6" s="31" customFormat="1" ht="15" thickBot="1" x14ac:dyDescent="0.35">
      <c r="A2" s="21" t="s">
        <v>209</v>
      </c>
      <c r="B2" s="37" t="s">
        <v>235</v>
      </c>
      <c r="C2" s="37" t="s">
        <v>236</v>
      </c>
      <c r="D2" s="37" t="s">
        <v>237</v>
      </c>
      <c r="E2" s="37" t="s">
        <v>238</v>
      </c>
      <c r="F2" s="37" t="s">
        <v>239</v>
      </c>
    </row>
    <row r="3" spans="1:6" s="34" customFormat="1" x14ac:dyDescent="0.3">
      <c r="A3" s="32" t="s">
        <v>210</v>
      </c>
      <c r="B3" s="33" t="s">
        <v>211</v>
      </c>
      <c r="C3" s="33"/>
      <c r="D3" s="33" t="s">
        <v>212</v>
      </c>
      <c r="E3" s="33" t="s">
        <v>213</v>
      </c>
      <c r="F3" s="33" t="s">
        <v>214</v>
      </c>
    </row>
    <row r="4" spans="1:6" s="34" customFormat="1" x14ac:dyDescent="0.3">
      <c r="A4" s="32" t="s">
        <v>215</v>
      </c>
      <c r="B4" s="33" t="s">
        <v>216</v>
      </c>
      <c r="C4" s="33"/>
      <c r="D4" s="33" t="s">
        <v>212</v>
      </c>
      <c r="E4" s="33" t="s">
        <v>213</v>
      </c>
      <c r="F4" s="33" t="s">
        <v>214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D3A9-3243-4758-BF41-AC6F190A7F4B}">
  <dimension ref="A1:T318"/>
  <sheetViews>
    <sheetView workbookViewId="0">
      <selection activeCell="C24" sqref="C24"/>
    </sheetView>
  </sheetViews>
  <sheetFormatPr defaultColWidth="9.109375" defaultRowHeight="14.4" x14ac:dyDescent="0.3"/>
  <cols>
    <col min="1" max="1" width="33.44140625" style="36" bestFit="1" customWidth="1"/>
    <col min="2" max="2" width="41.33203125" style="27" bestFit="1" customWidth="1"/>
    <col min="3" max="3" width="41.109375" style="35" bestFit="1" customWidth="1"/>
    <col min="4" max="4" width="34.44140625" style="35" bestFit="1" customWidth="1"/>
    <col min="5" max="5" width="35" style="35" bestFit="1" customWidth="1"/>
    <col min="6" max="6" width="82.6640625" style="35" customWidth="1"/>
    <col min="7" max="8" width="59.109375" style="27" bestFit="1" customWidth="1"/>
    <col min="9" max="9" width="59" style="27" bestFit="1" customWidth="1"/>
    <col min="10" max="10" width="58.88671875" style="35" bestFit="1" customWidth="1"/>
    <col min="11" max="11" width="65.33203125" style="35" bestFit="1" customWidth="1"/>
    <col min="12" max="12" width="65.109375" style="35" bestFit="1" customWidth="1"/>
    <col min="13" max="13" width="65.33203125" style="35" bestFit="1" customWidth="1"/>
    <col min="14" max="15" width="65.5546875" style="35" bestFit="1" customWidth="1"/>
    <col min="16" max="16" width="59" style="35" bestFit="1" customWidth="1"/>
    <col min="17" max="17" width="58.88671875" style="35" bestFit="1" customWidth="1"/>
    <col min="18" max="16384" width="9.109375" style="35"/>
  </cols>
  <sheetData>
    <row r="1" spans="1:20" s="28" customFormat="1" ht="15" thickBot="1" x14ac:dyDescent="0.35">
      <c r="A1" s="25" t="s">
        <v>217</v>
      </c>
      <c r="B1" s="50" t="s">
        <v>218</v>
      </c>
      <c r="C1" s="49"/>
      <c r="D1" s="49"/>
      <c r="E1" s="49"/>
      <c r="F1" s="49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s="31" customFormat="1" ht="15" thickBot="1" x14ac:dyDescent="0.35">
      <c r="A2" s="21" t="s">
        <v>219</v>
      </c>
      <c r="B2" s="29" t="s">
        <v>230</v>
      </c>
      <c r="C2" s="30" t="s">
        <v>231</v>
      </c>
      <c r="D2" s="30" t="s">
        <v>232</v>
      </c>
      <c r="E2" s="31" t="s">
        <v>233</v>
      </c>
      <c r="F2" s="31" t="s">
        <v>234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s="34" customFormat="1" x14ac:dyDescent="0.3">
      <c r="A3" s="32" t="s">
        <v>196</v>
      </c>
      <c r="B3" s="33" t="s">
        <v>220</v>
      </c>
      <c r="C3" s="33" t="s">
        <v>221</v>
      </c>
      <c r="D3" s="33" t="s">
        <v>22</v>
      </c>
      <c r="E3" s="33" t="s">
        <v>222</v>
      </c>
      <c r="F3" s="33" t="s">
        <v>223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s="34" customFormat="1" x14ac:dyDescent="0.3">
      <c r="A4" s="32" t="s">
        <v>224</v>
      </c>
      <c r="B4" s="24" t="s">
        <v>220</v>
      </c>
      <c r="C4" s="24" t="s">
        <v>225</v>
      </c>
      <c r="D4" s="24" t="s">
        <v>22</v>
      </c>
      <c r="E4" s="24" t="s">
        <v>226</v>
      </c>
      <c r="F4" s="24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x14ac:dyDescent="0.3">
      <c r="A5" s="27"/>
      <c r="C5" s="27"/>
      <c r="D5" s="27"/>
      <c r="E5" s="27"/>
      <c r="F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x14ac:dyDescent="0.3">
      <c r="A6" s="27"/>
      <c r="C6" s="27"/>
      <c r="D6" s="27"/>
      <c r="E6" s="27"/>
      <c r="F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0" x14ac:dyDescent="0.3">
      <c r="A7" s="27"/>
      <c r="C7" s="27"/>
      <c r="D7" s="27"/>
      <c r="E7" s="27"/>
      <c r="F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1:20" x14ac:dyDescent="0.3">
      <c r="A8" s="27"/>
      <c r="C8" s="27"/>
      <c r="D8" s="27"/>
      <c r="E8" s="27"/>
      <c r="F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1:20" x14ac:dyDescent="0.3">
      <c r="A9" s="27"/>
      <c r="C9" s="27"/>
      <c r="D9" s="27"/>
      <c r="E9" s="27"/>
      <c r="F9" s="27"/>
    </row>
    <row r="10" spans="1:20" x14ac:dyDescent="0.3">
      <c r="A10" s="27"/>
      <c r="C10" s="27"/>
      <c r="D10" s="27"/>
      <c r="E10" s="27"/>
      <c r="F10" s="27"/>
    </row>
    <row r="11" spans="1:20" x14ac:dyDescent="0.3">
      <c r="A11" s="27"/>
      <c r="C11" s="27"/>
      <c r="D11" s="27"/>
      <c r="E11" s="27"/>
      <c r="F11" s="27"/>
    </row>
    <row r="12" spans="1:20" x14ac:dyDescent="0.3">
      <c r="A12" s="27"/>
      <c r="C12" s="27"/>
      <c r="D12" s="27"/>
      <c r="E12" s="27"/>
      <c r="F12" s="27"/>
    </row>
    <row r="13" spans="1:20" x14ac:dyDescent="0.3">
      <c r="A13" s="27"/>
      <c r="C13" s="27"/>
      <c r="D13" s="27"/>
      <c r="E13" s="27"/>
      <c r="F13" s="27"/>
    </row>
    <row r="14" spans="1:20" x14ac:dyDescent="0.3">
      <c r="A14" s="27"/>
      <c r="C14" s="27"/>
      <c r="D14" s="27"/>
      <c r="E14" s="27"/>
      <c r="F14" s="27"/>
    </row>
    <row r="15" spans="1:20" x14ac:dyDescent="0.3">
      <c r="A15" s="27"/>
      <c r="C15" s="27"/>
      <c r="D15" s="27"/>
      <c r="E15" s="27"/>
      <c r="F15" s="27"/>
    </row>
    <row r="16" spans="1:20" x14ac:dyDescent="0.3">
      <c r="A16" s="27"/>
      <c r="C16" s="27"/>
      <c r="D16" s="27"/>
      <c r="E16" s="27"/>
      <c r="F16" s="27"/>
    </row>
    <row r="17" spans="1:6" x14ac:dyDescent="0.3">
      <c r="A17" s="27"/>
      <c r="C17" s="27"/>
      <c r="D17" s="27"/>
      <c r="E17" s="27"/>
      <c r="F17" s="27"/>
    </row>
    <row r="18" spans="1:6" x14ac:dyDescent="0.3">
      <c r="A18" s="27"/>
      <c r="C18" s="27"/>
      <c r="D18" s="27"/>
      <c r="E18" s="27"/>
      <c r="F18" s="27"/>
    </row>
    <row r="19" spans="1:6" x14ac:dyDescent="0.3">
      <c r="A19" s="27"/>
      <c r="C19" s="27"/>
      <c r="D19" s="27"/>
      <c r="E19" s="27"/>
      <c r="F19" s="27"/>
    </row>
    <row r="20" spans="1:6" x14ac:dyDescent="0.3">
      <c r="A20" s="27"/>
      <c r="C20" s="27"/>
      <c r="D20" s="27"/>
      <c r="E20" s="27"/>
      <c r="F20" s="27"/>
    </row>
    <row r="21" spans="1:6" x14ac:dyDescent="0.3">
      <c r="A21" s="27"/>
      <c r="C21" s="27"/>
      <c r="D21" s="27"/>
      <c r="E21" s="27"/>
      <c r="F21" s="27"/>
    </row>
    <row r="22" spans="1:6" x14ac:dyDescent="0.3">
      <c r="A22" s="27"/>
      <c r="C22" s="27"/>
      <c r="D22" s="27"/>
      <c r="E22" s="27"/>
      <c r="F22" s="27"/>
    </row>
    <row r="23" spans="1:6" x14ac:dyDescent="0.3">
      <c r="A23" s="27"/>
      <c r="C23" s="27"/>
      <c r="D23" s="27"/>
      <c r="E23" s="27"/>
      <c r="F23" s="27"/>
    </row>
    <row r="24" spans="1:6" x14ac:dyDescent="0.3">
      <c r="A24" s="27"/>
      <c r="C24" s="27"/>
      <c r="D24" s="27"/>
      <c r="E24" s="27"/>
      <c r="F24" s="27"/>
    </row>
    <row r="25" spans="1:6" x14ac:dyDescent="0.3">
      <c r="A25" s="27"/>
      <c r="C25" s="27"/>
      <c r="D25" s="27"/>
      <c r="E25" s="27"/>
      <c r="F25" s="27"/>
    </row>
    <row r="26" spans="1:6" x14ac:dyDescent="0.3">
      <c r="A26" s="27"/>
      <c r="C26" s="27"/>
      <c r="D26" s="27"/>
      <c r="E26" s="27"/>
      <c r="F26" s="27"/>
    </row>
    <row r="27" spans="1:6" x14ac:dyDescent="0.3">
      <c r="A27" s="27"/>
      <c r="C27" s="27"/>
      <c r="D27" s="27"/>
      <c r="E27" s="27"/>
      <c r="F27" s="27"/>
    </row>
    <row r="28" spans="1:6" x14ac:dyDescent="0.3">
      <c r="A28" s="27"/>
      <c r="C28" s="27"/>
      <c r="D28" s="27"/>
      <c r="E28" s="27"/>
      <c r="F28" s="27"/>
    </row>
    <row r="29" spans="1:6" x14ac:dyDescent="0.3">
      <c r="A29" s="27"/>
      <c r="C29" s="27"/>
      <c r="D29" s="27"/>
      <c r="E29" s="27"/>
      <c r="F29" s="27"/>
    </row>
    <row r="30" spans="1:6" x14ac:dyDescent="0.3">
      <c r="A30" s="27"/>
      <c r="C30" s="27"/>
      <c r="D30" s="27"/>
      <c r="E30" s="27"/>
      <c r="F30" s="27"/>
    </row>
    <row r="31" spans="1:6" x14ac:dyDescent="0.3">
      <c r="A31" s="27"/>
      <c r="C31" s="27"/>
      <c r="D31" s="27"/>
      <c r="E31" s="27"/>
      <c r="F31" s="27"/>
    </row>
    <row r="32" spans="1:6" x14ac:dyDescent="0.3">
      <c r="A32" s="27"/>
      <c r="C32" s="27"/>
      <c r="D32" s="27"/>
      <c r="E32" s="27"/>
      <c r="F32" s="27"/>
    </row>
    <row r="33" spans="1:6" x14ac:dyDescent="0.3">
      <c r="A33" s="27"/>
      <c r="C33" s="27"/>
      <c r="D33" s="27"/>
      <c r="E33" s="27"/>
      <c r="F33" s="27"/>
    </row>
    <row r="34" spans="1:6" x14ac:dyDescent="0.3">
      <c r="A34" s="27"/>
      <c r="C34" s="27"/>
      <c r="D34" s="27"/>
      <c r="E34" s="27"/>
      <c r="F34" s="27"/>
    </row>
    <row r="35" spans="1:6" x14ac:dyDescent="0.3">
      <c r="A35" s="27"/>
      <c r="C35" s="27"/>
      <c r="D35" s="27"/>
      <c r="E35" s="27"/>
      <c r="F35" s="27"/>
    </row>
    <row r="36" spans="1:6" x14ac:dyDescent="0.3">
      <c r="A36" s="27"/>
      <c r="C36" s="27"/>
      <c r="D36" s="27"/>
      <c r="E36" s="27"/>
      <c r="F36" s="27"/>
    </row>
    <row r="37" spans="1:6" x14ac:dyDescent="0.3">
      <c r="A37" s="27"/>
      <c r="C37" s="27"/>
      <c r="D37" s="27"/>
      <c r="E37" s="27"/>
      <c r="F37" s="27"/>
    </row>
    <row r="38" spans="1:6" x14ac:dyDescent="0.3">
      <c r="A38" s="27"/>
      <c r="C38" s="27"/>
      <c r="D38" s="27"/>
      <c r="E38" s="27"/>
      <c r="F38" s="27"/>
    </row>
    <row r="39" spans="1:6" x14ac:dyDescent="0.3">
      <c r="A39" s="27"/>
      <c r="C39" s="27"/>
      <c r="D39" s="27"/>
      <c r="E39" s="27"/>
      <c r="F39" s="27"/>
    </row>
    <row r="40" spans="1:6" x14ac:dyDescent="0.3">
      <c r="A40" s="27"/>
      <c r="C40" s="27"/>
      <c r="D40" s="27"/>
      <c r="E40" s="27"/>
      <c r="F40" s="27"/>
    </row>
    <row r="41" spans="1:6" x14ac:dyDescent="0.3">
      <c r="A41" s="27"/>
      <c r="C41" s="27"/>
      <c r="D41" s="27"/>
      <c r="E41" s="27"/>
      <c r="F41" s="27"/>
    </row>
    <row r="42" spans="1:6" x14ac:dyDescent="0.3">
      <c r="A42" s="27"/>
      <c r="C42" s="27"/>
      <c r="D42" s="27"/>
      <c r="E42" s="27"/>
      <c r="F42" s="27"/>
    </row>
    <row r="43" spans="1:6" x14ac:dyDescent="0.3">
      <c r="A43" s="27"/>
      <c r="C43" s="27"/>
      <c r="D43" s="27"/>
      <c r="E43" s="27"/>
      <c r="F43" s="27"/>
    </row>
    <row r="44" spans="1:6" x14ac:dyDescent="0.3">
      <c r="A44" s="27"/>
      <c r="C44" s="27"/>
      <c r="D44" s="27"/>
      <c r="E44" s="27"/>
      <c r="F44" s="27"/>
    </row>
    <row r="45" spans="1:6" x14ac:dyDescent="0.3">
      <c r="A45" s="27"/>
      <c r="C45" s="27"/>
      <c r="D45" s="27"/>
      <c r="E45" s="27"/>
      <c r="F45" s="27"/>
    </row>
    <row r="46" spans="1:6" x14ac:dyDescent="0.3">
      <c r="A46" s="27"/>
      <c r="C46" s="27"/>
      <c r="D46" s="27"/>
      <c r="E46" s="27"/>
      <c r="F46" s="27"/>
    </row>
    <row r="47" spans="1:6" x14ac:dyDescent="0.3">
      <c r="A47" s="27"/>
      <c r="C47" s="27"/>
      <c r="D47" s="27"/>
      <c r="E47" s="27"/>
      <c r="F47" s="27"/>
    </row>
    <row r="48" spans="1:6" x14ac:dyDescent="0.3">
      <c r="A48" s="27"/>
      <c r="C48" s="27"/>
      <c r="D48" s="27"/>
      <c r="E48" s="27"/>
      <c r="F48" s="27"/>
    </row>
    <row r="49" spans="1:6" x14ac:dyDescent="0.3">
      <c r="A49" s="27"/>
      <c r="C49" s="27"/>
      <c r="D49" s="27"/>
      <c r="E49" s="27"/>
      <c r="F49" s="27"/>
    </row>
    <row r="50" spans="1:6" x14ac:dyDescent="0.3">
      <c r="A50" s="27"/>
      <c r="C50" s="27"/>
      <c r="D50" s="27"/>
      <c r="E50" s="27"/>
      <c r="F50" s="27"/>
    </row>
    <row r="51" spans="1:6" x14ac:dyDescent="0.3">
      <c r="A51" s="27"/>
      <c r="C51" s="27"/>
      <c r="D51" s="27"/>
      <c r="E51" s="27"/>
      <c r="F51" s="27"/>
    </row>
    <row r="52" spans="1:6" x14ac:dyDescent="0.3">
      <c r="A52" s="27"/>
      <c r="C52" s="27"/>
      <c r="D52" s="27"/>
      <c r="E52" s="27"/>
      <c r="F52" s="27"/>
    </row>
    <row r="53" spans="1:6" x14ac:dyDescent="0.3">
      <c r="A53" s="27"/>
      <c r="C53" s="27"/>
      <c r="D53" s="27"/>
      <c r="E53" s="27"/>
      <c r="F53" s="27"/>
    </row>
    <row r="54" spans="1:6" x14ac:dyDescent="0.3">
      <c r="A54" s="27"/>
      <c r="C54" s="27"/>
      <c r="D54" s="27"/>
      <c r="E54" s="27"/>
      <c r="F54" s="27"/>
    </row>
    <row r="55" spans="1:6" x14ac:dyDescent="0.3">
      <c r="A55" s="27"/>
      <c r="C55" s="27"/>
      <c r="D55" s="27"/>
      <c r="E55" s="27"/>
      <c r="F55" s="27"/>
    </row>
    <row r="56" spans="1:6" x14ac:dyDescent="0.3">
      <c r="A56" s="27"/>
      <c r="C56" s="27"/>
      <c r="D56" s="27"/>
      <c r="E56" s="27"/>
      <c r="F56" s="27"/>
    </row>
    <row r="57" spans="1:6" x14ac:dyDescent="0.3">
      <c r="A57" s="27"/>
      <c r="C57" s="27"/>
      <c r="D57" s="27"/>
      <c r="E57" s="27"/>
      <c r="F57" s="27"/>
    </row>
    <row r="58" spans="1:6" x14ac:dyDescent="0.3">
      <c r="A58" s="27"/>
      <c r="C58" s="27"/>
      <c r="D58" s="27"/>
      <c r="E58" s="27"/>
      <c r="F58" s="27"/>
    </row>
    <row r="59" spans="1:6" x14ac:dyDescent="0.3">
      <c r="A59" s="27"/>
      <c r="C59" s="27"/>
      <c r="D59" s="27"/>
      <c r="E59" s="27"/>
      <c r="F59" s="27"/>
    </row>
    <row r="60" spans="1:6" x14ac:dyDescent="0.3">
      <c r="A60" s="27"/>
      <c r="C60" s="27"/>
      <c r="D60" s="27"/>
      <c r="E60" s="27"/>
      <c r="F60" s="27"/>
    </row>
    <row r="61" spans="1:6" x14ac:dyDescent="0.3">
      <c r="A61" s="27"/>
      <c r="C61" s="27"/>
      <c r="D61" s="27"/>
      <c r="E61" s="27"/>
      <c r="F61" s="27"/>
    </row>
    <row r="62" spans="1:6" x14ac:dyDescent="0.3">
      <c r="A62" s="27"/>
      <c r="C62" s="27"/>
      <c r="D62" s="27"/>
      <c r="E62" s="27"/>
      <c r="F62" s="27"/>
    </row>
    <row r="63" spans="1:6" x14ac:dyDescent="0.3">
      <c r="A63" s="27"/>
      <c r="C63" s="27"/>
      <c r="D63" s="27"/>
      <c r="E63" s="27"/>
      <c r="F63" s="27"/>
    </row>
    <row r="64" spans="1:6" x14ac:dyDescent="0.3">
      <c r="A64" s="27"/>
      <c r="C64" s="27"/>
      <c r="D64" s="27"/>
      <c r="E64" s="27"/>
      <c r="F64" s="27"/>
    </row>
    <row r="65" spans="1:6" x14ac:dyDescent="0.3">
      <c r="A65" s="27"/>
      <c r="C65" s="27"/>
      <c r="D65" s="27"/>
      <c r="E65" s="27"/>
      <c r="F65" s="27"/>
    </row>
    <row r="66" spans="1:6" x14ac:dyDescent="0.3">
      <c r="A66" s="27"/>
      <c r="C66" s="27"/>
      <c r="D66" s="27"/>
      <c r="E66" s="27"/>
      <c r="F66" s="27"/>
    </row>
    <row r="67" spans="1:6" x14ac:dyDescent="0.3">
      <c r="A67" s="27"/>
      <c r="C67" s="27"/>
      <c r="D67" s="27"/>
      <c r="E67" s="27"/>
      <c r="F67" s="27"/>
    </row>
    <row r="68" spans="1:6" x14ac:dyDescent="0.3">
      <c r="A68" s="27"/>
      <c r="C68" s="27"/>
      <c r="D68" s="27"/>
      <c r="E68" s="27"/>
      <c r="F68" s="27"/>
    </row>
    <row r="69" spans="1:6" x14ac:dyDescent="0.3">
      <c r="A69" s="27"/>
      <c r="C69" s="27"/>
      <c r="D69" s="27"/>
      <c r="E69" s="27"/>
      <c r="F69" s="27"/>
    </row>
    <row r="70" spans="1:6" x14ac:dyDescent="0.3">
      <c r="A70" s="27"/>
      <c r="C70" s="27"/>
      <c r="D70" s="27"/>
      <c r="E70" s="27"/>
      <c r="F70" s="27"/>
    </row>
    <row r="71" spans="1:6" x14ac:dyDescent="0.3">
      <c r="A71" s="27"/>
      <c r="C71" s="27"/>
      <c r="D71" s="27"/>
      <c r="E71" s="27"/>
      <c r="F71" s="27"/>
    </row>
    <row r="72" spans="1:6" x14ac:dyDescent="0.3">
      <c r="A72" s="27"/>
      <c r="C72" s="27"/>
      <c r="D72" s="27"/>
      <c r="E72" s="27"/>
      <c r="F72" s="27"/>
    </row>
    <row r="73" spans="1:6" x14ac:dyDescent="0.3">
      <c r="A73" s="27"/>
      <c r="C73" s="27"/>
      <c r="D73" s="27"/>
      <c r="E73" s="27"/>
      <c r="F73" s="27"/>
    </row>
    <row r="74" spans="1:6" x14ac:dyDescent="0.3">
      <c r="A74" s="27"/>
      <c r="C74" s="27"/>
      <c r="D74" s="27"/>
      <c r="E74" s="27"/>
      <c r="F74" s="27"/>
    </row>
    <row r="75" spans="1:6" x14ac:dyDescent="0.3">
      <c r="A75" s="27"/>
      <c r="C75" s="27"/>
      <c r="D75" s="27"/>
      <c r="E75" s="27"/>
      <c r="F75" s="27"/>
    </row>
    <row r="76" spans="1:6" x14ac:dyDescent="0.3">
      <c r="A76" s="27"/>
      <c r="C76" s="27"/>
      <c r="D76" s="27"/>
      <c r="E76" s="27"/>
      <c r="F76" s="27"/>
    </row>
    <row r="77" spans="1:6" x14ac:dyDescent="0.3">
      <c r="A77" s="27"/>
      <c r="C77" s="27"/>
      <c r="D77" s="27"/>
      <c r="E77" s="27"/>
      <c r="F77" s="27"/>
    </row>
    <row r="78" spans="1:6" x14ac:dyDescent="0.3">
      <c r="A78" s="27"/>
      <c r="C78" s="27"/>
      <c r="D78" s="27"/>
      <c r="E78" s="27"/>
      <c r="F78" s="27"/>
    </row>
    <row r="79" spans="1:6" x14ac:dyDescent="0.3">
      <c r="A79" s="27"/>
      <c r="C79" s="27"/>
      <c r="D79" s="27"/>
      <c r="E79" s="27"/>
      <c r="F79" s="27"/>
    </row>
    <row r="80" spans="1:6" x14ac:dyDescent="0.3">
      <c r="A80" s="27"/>
      <c r="C80" s="27"/>
      <c r="D80" s="27"/>
      <c r="E80" s="27"/>
      <c r="F80" s="27"/>
    </row>
    <row r="81" spans="1:6" x14ac:dyDescent="0.3">
      <c r="A81" s="27"/>
      <c r="C81" s="27"/>
      <c r="D81" s="27"/>
      <c r="E81" s="27"/>
      <c r="F81" s="27"/>
    </row>
    <row r="82" spans="1:6" x14ac:dyDescent="0.3">
      <c r="A82" s="27"/>
      <c r="C82" s="27"/>
      <c r="D82" s="27"/>
      <c r="E82" s="27"/>
      <c r="F82" s="27"/>
    </row>
    <row r="83" spans="1:6" x14ac:dyDescent="0.3">
      <c r="A83" s="27"/>
      <c r="C83" s="27"/>
      <c r="D83" s="27"/>
      <c r="E83" s="27"/>
      <c r="F83" s="27"/>
    </row>
    <row r="84" spans="1:6" x14ac:dyDescent="0.3">
      <c r="A84" s="27"/>
      <c r="C84" s="27"/>
      <c r="D84" s="27"/>
      <c r="E84" s="27"/>
      <c r="F84" s="27"/>
    </row>
    <row r="85" spans="1:6" x14ac:dyDescent="0.3">
      <c r="A85" s="27"/>
      <c r="C85" s="27"/>
      <c r="D85" s="27"/>
      <c r="E85" s="27"/>
      <c r="F85" s="27"/>
    </row>
    <row r="86" spans="1:6" x14ac:dyDescent="0.3">
      <c r="A86" s="27"/>
      <c r="C86" s="27"/>
      <c r="D86" s="27"/>
      <c r="E86" s="27"/>
      <c r="F86" s="27"/>
    </row>
    <row r="87" spans="1:6" x14ac:dyDescent="0.3">
      <c r="A87" s="27"/>
      <c r="C87" s="27"/>
      <c r="D87" s="27"/>
      <c r="E87" s="27"/>
      <c r="F87" s="27"/>
    </row>
    <row r="88" spans="1:6" x14ac:dyDescent="0.3">
      <c r="A88" s="27"/>
      <c r="C88" s="27"/>
      <c r="D88" s="27"/>
      <c r="E88" s="27"/>
      <c r="F88" s="27"/>
    </row>
    <row r="89" spans="1:6" x14ac:dyDescent="0.3">
      <c r="A89" s="27"/>
      <c r="C89" s="27"/>
      <c r="D89" s="27"/>
      <c r="E89" s="27"/>
      <c r="F89" s="27"/>
    </row>
    <row r="90" spans="1:6" x14ac:dyDescent="0.3">
      <c r="A90" s="27"/>
      <c r="C90" s="27"/>
      <c r="D90" s="27"/>
      <c r="E90" s="27"/>
      <c r="F90" s="27"/>
    </row>
    <row r="91" spans="1:6" x14ac:dyDescent="0.3">
      <c r="A91" s="27"/>
      <c r="C91" s="27"/>
      <c r="D91" s="27"/>
      <c r="E91" s="27"/>
      <c r="F91" s="27"/>
    </row>
    <row r="92" spans="1:6" x14ac:dyDescent="0.3">
      <c r="A92" s="27"/>
      <c r="C92" s="27"/>
      <c r="D92" s="27"/>
      <c r="E92" s="27"/>
      <c r="F92" s="27"/>
    </row>
    <row r="93" spans="1:6" x14ac:dyDescent="0.3">
      <c r="A93" s="27"/>
      <c r="C93" s="27"/>
      <c r="D93" s="27"/>
      <c r="E93" s="27"/>
      <c r="F93" s="27"/>
    </row>
    <row r="94" spans="1:6" x14ac:dyDescent="0.3">
      <c r="A94" s="27"/>
      <c r="C94" s="27"/>
      <c r="D94" s="27"/>
      <c r="E94" s="27"/>
      <c r="F94" s="27"/>
    </row>
    <row r="95" spans="1:6" x14ac:dyDescent="0.3">
      <c r="A95" s="27"/>
      <c r="C95" s="27"/>
      <c r="D95" s="27"/>
      <c r="E95" s="27"/>
      <c r="F95" s="27"/>
    </row>
    <row r="96" spans="1:6" x14ac:dyDescent="0.3">
      <c r="A96" s="27"/>
      <c r="C96" s="27"/>
      <c r="D96" s="27"/>
      <c r="E96" s="27"/>
      <c r="F96" s="27"/>
    </row>
    <row r="97" spans="1:6" x14ac:dyDescent="0.3">
      <c r="A97" s="27"/>
      <c r="C97" s="27"/>
      <c r="D97" s="27"/>
      <c r="E97" s="27"/>
      <c r="F97" s="27"/>
    </row>
    <row r="98" spans="1:6" x14ac:dyDescent="0.3">
      <c r="A98" s="27"/>
      <c r="C98" s="27"/>
      <c r="D98" s="27"/>
      <c r="E98" s="27"/>
      <c r="F98" s="27"/>
    </row>
    <row r="99" spans="1:6" x14ac:dyDescent="0.3">
      <c r="A99" s="27"/>
      <c r="C99" s="27"/>
      <c r="D99" s="27"/>
      <c r="E99" s="27"/>
      <c r="F99" s="27"/>
    </row>
    <row r="100" spans="1:6" x14ac:dyDescent="0.3">
      <c r="A100" s="27"/>
      <c r="C100" s="27"/>
      <c r="D100" s="27"/>
      <c r="E100" s="27"/>
      <c r="F100" s="27"/>
    </row>
    <row r="101" spans="1:6" x14ac:dyDescent="0.3">
      <c r="A101" s="27"/>
      <c r="C101" s="27"/>
      <c r="D101" s="27"/>
      <c r="E101" s="27"/>
      <c r="F101" s="27"/>
    </row>
    <row r="102" spans="1:6" x14ac:dyDescent="0.3">
      <c r="A102" s="27"/>
      <c r="C102" s="27"/>
      <c r="D102" s="27"/>
      <c r="E102" s="27"/>
      <c r="F102" s="27"/>
    </row>
    <row r="103" spans="1:6" x14ac:dyDescent="0.3">
      <c r="A103" s="27"/>
      <c r="C103" s="27"/>
      <c r="D103" s="27"/>
      <c r="E103" s="27"/>
      <c r="F103" s="27"/>
    </row>
    <row r="104" spans="1:6" x14ac:dyDescent="0.3">
      <c r="A104" s="27"/>
      <c r="C104" s="27"/>
      <c r="D104" s="27"/>
      <c r="E104" s="27"/>
      <c r="F104" s="27"/>
    </row>
    <row r="105" spans="1:6" x14ac:dyDescent="0.3">
      <c r="A105" s="27"/>
      <c r="C105" s="27"/>
      <c r="D105" s="27"/>
      <c r="E105" s="27"/>
      <c r="F105" s="27"/>
    </row>
    <row r="106" spans="1:6" x14ac:dyDescent="0.3">
      <c r="A106" s="27"/>
      <c r="C106" s="27"/>
      <c r="D106" s="27"/>
      <c r="E106" s="27"/>
      <c r="F106" s="27"/>
    </row>
    <row r="107" spans="1:6" x14ac:dyDescent="0.3">
      <c r="A107" s="27"/>
      <c r="C107" s="27"/>
      <c r="D107" s="27"/>
      <c r="E107" s="27"/>
      <c r="F107" s="27"/>
    </row>
    <row r="108" spans="1:6" x14ac:dyDescent="0.3">
      <c r="A108" s="27"/>
      <c r="C108" s="27"/>
      <c r="D108" s="27"/>
      <c r="E108" s="27"/>
      <c r="F108" s="27"/>
    </row>
    <row r="109" spans="1:6" x14ac:dyDescent="0.3">
      <c r="A109" s="27"/>
      <c r="C109" s="27"/>
      <c r="D109" s="27"/>
      <c r="E109" s="27"/>
      <c r="F109" s="27"/>
    </row>
    <row r="110" spans="1:6" x14ac:dyDescent="0.3">
      <c r="A110" s="27"/>
      <c r="C110" s="27"/>
      <c r="D110" s="27"/>
      <c r="E110" s="27"/>
      <c r="F110" s="27"/>
    </row>
    <row r="111" spans="1:6" x14ac:dyDescent="0.3">
      <c r="A111" s="27"/>
      <c r="C111" s="27"/>
      <c r="D111" s="27"/>
      <c r="E111" s="27"/>
      <c r="F111" s="27"/>
    </row>
    <row r="112" spans="1:6" x14ac:dyDescent="0.3">
      <c r="A112" s="27"/>
      <c r="C112" s="27"/>
      <c r="D112" s="27"/>
      <c r="E112" s="27"/>
      <c r="F112" s="27"/>
    </row>
    <row r="113" spans="1:6" x14ac:dyDescent="0.3">
      <c r="A113" s="27"/>
      <c r="C113" s="27"/>
      <c r="D113" s="27"/>
      <c r="E113" s="27"/>
      <c r="F113" s="27"/>
    </row>
    <row r="114" spans="1:6" x14ac:dyDescent="0.3">
      <c r="A114" s="27"/>
      <c r="C114" s="27"/>
      <c r="D114" s="27"/>
      <c r="E114" s="27"/>
      <c r="F114" s="27"/>
    </row>
    <row r="115" spans="1:6" x14ac:dyDescent="0.3">
      <c r="A115" s="27"/>
      <c r="C115" s="27"/>
      <c r="D115" s="27"/>
      <c r="E115" s="27"/>
      <c r="F115" s="27"/>
    </row>
    <row r="116" spans="1:6" x14ac:dyDescent="0.3">
      <c r="A116" s="27"/>
      <c r="C116" s="27"/>
      <c r="D116" s="27"/>
      <c r="E116" s="27"/>
      <c r="F116" s="27"/>
    </row>
    <row r="117" spans="1:6" x14ac:dyDescent="0.3">
      <c r="A117" s="27"/>
      <c r="C117" s="27"/>
      <c r="D117" s="27"/>
      <c r="E117" s="27"/>
      <c r="F117" s="27"/>
    </row>
    <row r="118" spans="1:6" x14ac:dyDescent="0.3">
      <c r="A118" s="27"/>
      <c r="C118" s="27"/>
      <c r="D118" s="27"/>
      <c r="E118" s="27"/>
      <c r="F118" s="27"/>
    </row>
    <row r="119" spans="1:6" x14ac:dyDescent="0.3">
      <c r="A119" s="27"/>
      <c r="C119" s="27"/>
      <c r="D119" s="27"/>
      <c r="E119" s="27"/>
      <c r="F119" s="27"/>
    </row>
    <row r="120" spans="1:6" x14ac:dyDescent="0.3">
      <c r="A120" s="27"/>
      <c r="C120" s="27"/>
      <c r="D120" s="27"/>
      <c r="E120" s="27"/>
      <c r="F120" s="27"/>
    </row>
    <row r="121" spans="1:6" x14ac:dyDescent="0.3">
      <c r="A121" s="27"/>
      <c r="C121" s="27"/>
      <c r="D121" s="27"/>
      <c r="E121" s="27"/>
      <c r="F121" s="27"/>
    </row>
    <row r="122" spans="1:6" x14ac:dyDescent="0.3">
      <c r="A122" s="27"/>
      <c r="C122" s="27"/>
      <c r="D122" s="27"/>
      <c r="E122" s="27"/>
      <c r="F122" s="27"/>
    </row>
    <row r="123" spans="1:6" x14ac:dyDescent="0.3">
      <c r="A123" s="27"/>
      <c r="C123" s="27"/>
      <c r="D123" s="27"/>
      <c r="E123" s="27"/>
      <c r="F123" s="27"/>
    </row>
    <row r="124" spans="1:6" x14ac:dyDescent="0.3">
      <c r="A124" s="27"/>
      <c r="C124" s="27"/>
      <c r="D124" s="27"/>
      <c r="E124" s="27"/>
      <c r="F124" s="27"/>
    </row>
    <row r="125" spans="1:6" x14ac:dyDescent="0.3">
      <c r="A125" s="27"/>
      <c r="C125" s="27"/>
      <c r="D125" s="27"/>
      <c r="E125" s="27"/>
      <c r="F125" s="27"/>
    </row>
    <row r="126" spans="1:6" x14ac:dyDescent="0.3">
      <c r="A126" s="27"/>
      <c r="C126" s="27"/>
      <c r="D126" s="27"/>
      <c r="E126" s="27"/>
      <c r="F126" s="27"/>
    </row>
    <row r="127" spans="1:6" x14ac:dyDescent="0.3">
      <c r="A127" s="27"/>
      <c r="C127" s="27"/>
      <c r="D127" s="27"/>
      <c r="E127" s="27"/>
      <c r="F127" s="27"/>
    </row>
    <row r="128" spans="1:6" x14ac:dyDescent="0.3">
      <c r="A128" s="27"/>
      <c r="C128" s="27"/>
      <c r="D128" s="27"/>
      <c r="E128" s="27"/>
      <c r="F128" s="27"/>
    </row>
    <row r="129" spans="1:6" x14ac:dyDescent="0.3">
      <c r="A129" s="27"/>
      <c r="C129" s="27"/>
      <c r="D129" s="27"/>
      <c r="E129" s="27"/>
      <c r="F129" s="27"/>
    </row>
    <row r="130" spans="1:6" x14ac:dyDescent="0.3">
      <c r="A130" s="27"/>
      <c r="C130" s="27"/>
      <c r="D130" s="27"/>
      <c r="E130" s="27"/>
      <c r="F130" s="27"/>
    </row>
    <row r="131" spans="1:6" x14ac:dyDescent="0.3">
      <c r="A131" s="27"/>
      <c r="C131" s="27"/>
      <c r="D131" s="27"/>
      <c r="E131" s="27"/>
      <c r="F131" s="27"/>
    </row>
    <row r="132" spans="1:6" x14ac:dyDescent="0.3">
      <c r="A132" s="27"/>
      <c r="C132" s="27"/>
      <c r="D132" s="27"/>
      <c r="E132" s="27"/>
      <c r="F132" s="27"/>
    </row>
    <row r="133" spans="1:6" x14ac:dyDescent="0.3">
      <c r="A133" s="27"/>
      <c r="C133" s="27"/>
      <c r="D133" s="27"/>
      <c r="E133" s="27"/>
      <c r="F133" s="27"/>
    </row>
    <row r="134" spans="1:6" x14ac:dyDescent="0.3">
      <c r="A134" s="27"/>
      <c r="C134" s="27"/>
      <c r="D134" s="27"/>
      <c r="E134" s="27"/>
      <c r="F134" s="27"/>
    </row>
    <row r="135" spans="1:6" x14ac:dyDescent="0.3">
      <c r="A135" s="27"/>
      <c r="C135" s="27"/>
      <c r="D135" s="27"/>
      <c r="E135" s="27"/>
      <c r="F135" s="27"/>
    </row>
    <row r="136" spans="1:6" x14ac:dyDescent="0.3">
      <c r="A136" s="27"/>
      <c r="C136" s="27"/>
      <c r="D136" s="27"/>
      <c r="E136" s="27"/>
      <c r="F136" s="27"/>
    </row>
    <row r="137" spans="1:6" x14ac:dyDescent="0.3">
      <c r="A137" s="27"/>
      <c r="C137" s="27"/>
      <c r="D137" s="27"/>
      <c r="E137" s="27"/>
      <c r="F137" s="27"/>
    </row>
    <row r="138" spans="1:6" x14ac:dyDescent="0.3">
      <c r="A138" s="27"/>
      <c r="C138" s="27"/>
      <c r="D138" s="27"/>
      <c r="E138" s="27"/>
      <c r="F138" s="27"/>
    </row>
    <row r="139" spans="1:6" x14ac:dyDescent="0.3">
      <c r="A139" s="27"/>
      <c r="C139" s="27"/>
      <c r="D139" s="27"/>
      <c r="E139" s="27"/>
      <c r="F139" s="27"/>
    </row>
    <row r="140" spans="1:6" x14ac:dyDescent="0.3">
      <c r="A140" s="27"/>
      <c r="C140" s="27"/>
      <c r="D140" s="27"/>
      <c r="E140" s="27"/>
      <c r="F140" s="27"/>
    </row>
    <row r="141" spans="1:6" x14ac:dyDescent="0.3">
      <c r="A141" s="27"/>
      <c r="C141" s="27"/>
      <c r="D141" s="27"/>
      <c r="E141" s="27"/>
      <c r="F141" s="27"/>
    </row>
    <row r="142" spans="1:6" x14ac:dyDescent="0.3">
      <c r="A142" s="27"/>
      <c r="C142" s="27"/>
      <c r="D142" s="27"/>
      <c r="E142" s="27"/>
      <c r="F142" s="27"/>
    </row>
    <row r="143" spans="1:6" x14ac:dyDescent="0.3">
      <c r="A143" s="27"/>
      <c r="C143" s="27"/>
      <c r="D143" s="27"/>
      <c r="E143" s="27"/>
      <c r="F143" s="27"/>
    </row>
    <row r="144" spans="1:6" x14ac:dyDescent="0.3">
      <c r="A144" s="27"/>
      <c r="C144" s="27"/>
      <c r="D144" s="27"/>
      <c r="E144" s="27"/>
      <c r="F144" s="27"/>
    </row>
    <row r="145" spans="1:6" x14ac:dyDescent="0.3">
      <c r="A145" s="27"/>
      <c r="C145" s="27"/>
      <c r="D145" s="27"/>
      <c r="E145" s="27"/>
      <c r="F145" s="27"/>
    </row>
    <row r="146" spans="1:6" x14ac:dyDescent="0.3">
      <c r="A146" s="27"/>
      <c r="C146" s="27"/>
      <c r="D146" s="27"/>
      <c r="E146" s="27"/>
      <c r="F146" s="27"/>
    </row>
    <row r="147" spans="1:6" x14ac:dyDescent="0.3">
      <c r="A147" s="27"/>
      <c r="C147" s="27"/>
      <c r="D147" s="27"/>
      <c r="E147" s="27"/>
      <c r="F147" s="27"/>
    </row>
    <row r="148" spans="1:6" x14ac:dyDescent="0.3">
      <c r="A148" s="27"/>
      <c r="C148" s="27"/>
      <c r="D148" s="27"/>
      <c r="E148" s="27"/>
      <c r="F148" s="27"/>
    </row>
    <row r="149" spans="1:6" x14ac:dyDescent="0.3">
      <c r="A149" s="27"/>
      <c r="C149" s="27"/>
      <c r="D149" s="27"/>
      <c r="E149" s="27"/>
      <c r="F149" s="27"/>
    </row>
    <row r="150" spans="1:6" x14ac:dyDescent="0.3">
      <c r="A150" s="27"/>
      <c r="C150" s="27"/>
      <c r="D150" s="27"/>
      <c r="E150" s="27"/>
      <c r="F150" s="27"/>
    </row>
    <row r="151" spans="1:6" x14ac:dyDescent="0.3">
      <c r="A151" s="27"/>
      <c r="C151" s="27"/>
      <c r="D151" s="27"/>
      <c r="E151" s="27"/>
      <c r="F151" s="27"/>
    </row>
    <row r="152" spans="1:6" x14ac:dyDescent="0.3">
      <c r="A152" s="27"/>
      <c r="C152" s="27"/>
      <c r="D152" s="27"/>
      <c r="E152" s="27"/>
      <c r="F152" s="27"/>
    </row>
    <row r="153" spans="1:6" x14ac:dyDescent="0.3">
      <c r="A153" s="27"/>
      <c r="C153" s="27"/>
      <c r="D153" s="27"/>
      <c r="E153" s="27"/>
      <c r="F153" s="27"/>
    </row>
    <row r="154" spans="1:6" x14ac:dyDescent="0.3">
      <c r="A154" s="27"/>
      <c r="C154" s="27"/>
      <c r="D154" s="27"/>
      <c r="E154" s="27"/>
      <c r="F154" s="27"/>
    </row>
    <row r="155" spans="1:6" x14ac:dyDescent="0.3">
      <c r="A155" s="27"/>
      <c r="C155" s="27"/>
      <c r="D155" s="27"/>
      <c r="E155" s="27"/>
      <c r="F155" s="27"/>
    </row>
    <row r="156" spans="1:6" x14ac:dyDescent="0.3">
      <c r="A156" s="27"/>
      <c r="C156" s="27"/>
      <c r="D156" s="27"/>
      <c r="E156" s="27"/>
      <c r="F156" s="27"/>
    </row>
    <row r="157" spans="1:6" x14ac:dyDescent="0.3">
      <c r="A157" s="27"/>
      <c r="C157" s="27"/>
      <c r="D157" s="27"/>
      <c r="E157" s="27"/>
      <c r="F157" s="27"/>
    </row>
    <row r="158" spans="1:6" x14ac:dyDescent="0.3">
      <c r="A158" s="27"/>
      <c r="C158" s="27"/>
      <c r="D158" s="27"/>
      <c r="E158" s="27"/>
      <c r="F158" s="27"/>
    </row>
    <row r="159" spans="1:6" x14ac:dyDescent="0.3">
      <c r="A159" s="27"/>
      <c r="C159" s="27"/>
      <c r="D159" s="27"/>
      <c r="E159" s="27"/>
      <c r="F159" s="27"/>
    </row>
    <row r="160" spans="1:6" x14ac:dyDescent="0.3">
      <c r="A160" s="27"/>
      <c r="C160" s="27"/>
      <c r="D160" s="27"/>
      <c r="E160" s="27"/>
      <c r="F160" s="27"/>
    </row>
    <row r="161" spans="1:6" x14ac:dyDescent="0.3">
      <c r="A161" s="27"/>
      <c r="C161" s="27"/>
      <c r="D161" s="27"/>
      <c r="E161" s="27"/>
      <c r="F161" s="27"/>
    </row>
    <row r="162" spans="1:6" x14ac:dyDescent="0.3">
      <c r="A162" s="27"/>
      <c r="C162" s="27"/>
      <c r="D162" s="27"/>
      <c r="E162" s="27"/>
      <c r="F162" s="27"/>
    </row>
    <row r="163" spans="1:6" x14ac:dyDescent="0.3">
      <c r="A163" s="27"/>
      <c r="C163" s="27"/>
      <c r="D163" s="27"/>
      <c r="E163" s="27"/>
      <c r="F163" s="27"/>
    </row>
    <row r="164" spans="1:6" x14ac:dyDescent="0.3">
      <c r="A164" s="27"/>
      <c r="C164" s="27"/>
      <c r="D164" s="27"/>
      <c r="E164" s="27"/>
      <c r="F164" s="27"/>
    </row>
    <row r="165" spans="1:6" x14ac:dyDescent="0.3">
      <c r="A165" s="27"/>
      <c r="C165" s="27"/>
      <c r="D165" s="27"/>
      <c r="E165" s="27"/>
      <c r="F165" s="27"/>
    </row>
    <row r="166" spans="1:6" x14ac:dyDescent="0.3">
      <c r="A166" s="27"/>
      <c r="C166" s="27"/>
      <c r="D166" s="27"/>
      <c r="E166" s="27"/>
      <c r="F166" s="27"/>
    </row>
    <row r="167" spans="1:6" x14ac:dyDescent="0.3">
      <c r="A167" s="27"/>
      <c r="C167" s="27"/>
      <c r="D167" s="27"/>
      <c r="E167" s="27"/>
      <c r="F167" s="27"/>
    </row>
    <row r="168" spans="1:6" x14ac:dyDescent="0.3">
      <c r="A168" s="27"/>
      <c r="C168" s="27"/>
      <c r="D168" s="27"/>
      <c r="E168" s="27"/>
      <c r="F168" s="27"/>
    </row>
    <row r="169" spans="1:6" x14ac:dyDescent="0.3">
      <c r="A169" s="27"/>
      <c r="C169" s="27"/>
      <c r="D169" s="27"/>
      <c r="E169" s="27"/>
      <c r="F169" s="27"/>
    </row>
    <row r="170" spans="1:6" x14ac:dyDescent="0.3">
      <c r="A170" s="27"/>
      <c r="C170" s="27"/>
      <c r="D170" s="27"/>
      <c r="E170" s="27"/>
      <c r="F170" s="27"/>
    </row>
    <row r="171" spans="1:6" x14ac:dyDescent="0.3">
      <c r="A171" s="27"/>
      <c r="C171" s="27"/>
      <c r="D171" s="27"/>
      <c r="E171" s="27"/>
      <c r="F171" s="27"/>
    </row>
    <row r="172" spans="1:6" x14ac:dyDescent="0.3">
      <c r="A172" s="27"/>
      <c r="C172" s="27"/>
      <c r="D172" s="27"/>
      <c r="E172" s="27"/>
      <c r="F172" s="27"/>
    </row>
    <row r="173" spans="1:6" x14ac:dyDescent="0.3">
      <c r="A173" s="27"/>
      <c r="C173" s="27"/>
      <c r="D173" s="27"/>
      <c r="E173" s="27"/>
      <c r="F173" s="27"/>
    </row>
    <row r="174" spans="1:6" x14ac:dyDescent="0.3">
      <c r="A174" s="27"/>
      <c r="C174" s="27"/>
      <c r="D174" s="27"/>
      <c r="E174" s="27"/>
      <c r="F174" s="27"/>
    </row>
    <row r="175" spans="1:6" x14ac:dyDescent="0.3">
      <c r="A175" s="27"/>
      <c r="C175" s="27"/>
      <c r="D175" s="27"/>
      <c r="E175" s="27"/>
      <c r="F175" s="27"/>
    </row>
    <row r="176" spans="1:6" x14ac:dyDescent="0.3">
      <c r="A176" s="27"/>
      <c r="C176" s="27"/>
      <c r="D176" s="27"/>
      <c r="E176" s="27"/>
      <c r="F176" s="27"/>
    </row>
    <row r="177" spans="1:6" x14ac:dyDescent="0.3">
      <c r="A177" s="27"/>
      <c r="C177" s="27"/>
      <c r="D177" s="27"/>
      <c r="E177" s="27"/>
      <c r="F177" s="27"/>
    </row>
    <row r="178" spans="1:6" x14ac:dyDescent="0.3">
      <c r="A178" s="27"/>
      <c r="C178" s="27"/>
      <c r="D178" s="27"/>
      <c r="E178" s="27"/>
      <c r="F178" s="27"/>
    </row>
    <row r="179" spans="1:6" x14ac:dyDescent="0.3">
      <c r="A179" s="27"/>
      <c r="C179" s="27"/>
      <c r="D179" s="27"/>
      <c r="E179" s="27"/>
      <c r="F179" s="27"/>
    </row>
    <row r="180" spans="1:6" x14ac:dyDescent="0.3">
      <c r="A180" s="27"/>
      <c r="C180" s="27"/>
      <c r="D180" s="27"/>
      <c r="E180" s="27"/>
      <c r="F180" s="27"/>
    </row>
    <row r="181" spans="1:6" x14ac:dyDescent="0.3">
      <c r="A181" s="27"/>
      <c r="C181" s="27"/>
      <c r="D181" s="27"/>
      <c r="E181" s="27"/>
      <c r="F181" s="27"/>
    </row>
    <row r="182" spans="1:6" x14ac:dyDescent="0.3">
      <c r="A182" s="27"/>
      <c r="C182" s="27"/>
      <c r="D182" s="27"/>
      <c r="E182" s="27"/>
      <c r="F182" s="27"/>
    </row>
    <row r="183" spans="1:6" x14ac:dyDescent="0.3">
      <c r="A183" s="27"/>
      <c r="C183" s="27"/>
      <c r="D183" s="27"/>
      <c r="E183" s="27"/>
      <c r="F183" s="27"/>
    </row>
    <row r="184" spans="1:6" x14ac:dyDescent="0.3">
      <c r="A184" s="27"/>
      <c r="C184" s="27"/>
      <c r="D184" s="27"/>
      <c r="E184" s="27"/>
      <c r="F184" s="27"/>
    </row>
    <row r="185" spans="1:6" x14ac:dyDescent="0.3">
      <c r="A185" s="27"/>
      <c r="C185" s="27"/>
      <c r="D185" s="27"/>
      <c r="E185" s="27"/>
      <c r="F185" s="27"/>
    </row>
    <row r="186" spans="1:6" x14ac:dyDescent="0.3">
      <c r="A186" s="27"/>
      <c r="C186" s="27"/>
      <c r="D186" s="27"/>
      <c r="E186" s="27"/>
      <c r="F186" s="27"/>
    </row>
    <row r="187" spans="1:6" x14ac:dyDescent="0.3">
      <c r="A187" s="27"/>
      <c r="C187" s="27"/>
      <c r="D187" s="27"/>
      <c r="E187" s="27"/>
      <c r="F187" s="27"/>
    </row>
    <row r="188" spans="1:6" x14ac:dyDescent="0.3">
      <c r="A188" s="27"/>
      <c r="C188" s="27"/>
      <c r="D188" s="27"/>
      <c r="E188" s="27"/>
      <c r="F188" s="27"/>
    </row>
    <row r="189" spans="1:6" x14ac:dyDescent="0.3">
      <c r="A189" s="27"/>
      <c r="C189" s="27"/>
      <c r="D189" s="27"/>
      <c r="E189" s="27"/>
      <c r="F189" s="27"/>
    </row>
    <row r="190" spans="1:6" x14ac:dyDescent="0.3">
      <c r="A190" s="27"/>
      <c r="C190" s="27"/>
      <c r="D190" s="27"/>
      <c r="E190" s="27"/>
      <c r="F190" s="27"/>
    </row>
    <row r="191" spans="1:6" x14ac:dyDescent="0.3">
      <c r="A191" s="27"/>
      <c r="C191" s="27"/>
      <c r="D191" s="27"/>
      <c r="E191" s="27"/>
      <c r="F191" s="27"/>
    </row>
    <row r="192" spans="1:6" x14ac:dyDescent="0.3">
      <c r="A192" s="27"/>
      <c r="C192" s="27"/>
      <c r="D192" s="27"/>
      <c r="E192" s="27"/>
      <c r="F192" s="27"/>
    </row>
    <row r="193" spans="1:6" x14ac:dyDescent="0.3">
      <c r="A193" s="27"/>
      <c r="C193" s="27"/>
      <c r="D193" s="27"/>
      <c r="E193" s="27"/>
      <c r="F193" s="27"/>
    </row>
    <row r="194" spans="1:6" x14ac:dyDescent="0.3">
      <c r="A194" s="27"/>
      <c r="C194" s="27"/>
      <c r="D194" s="27"/>
      <c r="E194" s="27"/>
      <c r="F194" s="27"/>
    </row>
    <row r="195" spans="1:6" x14ac:dyDescent="0.3">
      <c r="A195" s="27"/>
      <c r="C195" s="27"/>
      <c r="D195" s="27"/>
      <c r="E195" s="27"/>
      <c r="F195" s="27"/>
    </row>
    <row r="196" spans="1:6" x14ac:dyDescent="0.3">
      <c r="A196" s="27"/>
      <c r="C196" s="27"/>
      <c r="D196" s="27"/>
      <c r="E196" s="27"/>
      <c r="F196" s="27"/>
    </row>
    <row r="197" spans="1:6" x14ac:dyDescent="0.3">
      <c r="A197" s="27"/>
      <c r="C197" s="27"/>
      <c r="D197" s="27"/>
      <c r="E197" s="27"/>
      <c r="F197" s="27"/>
    </row>
    <row r="198" spans="1:6" x14ac:dyDescent="0.3">
      <c r="A198" s="27"/>
      <c r="C198" s="27"/>
      <c r="D198" s="27"/>
      <c r="E198" s="27"/>
      <c r="F198" s="27"/>
    </row>
    <row r="199" spans="1:6" x14ac:dyDescent="0.3">
      <c r="A199" s="27"/>
      <c r="C199" s="27"/>
      <c r="D199" s="27"/>
      <c r="E199" s="27"/>
      <c r="F199" s="27"/>
    </row>
    <row r="200" spans="1:6" x14ac:dyDescent="0.3">
      <c r="A200" s="27"/>
      <c r="C200" s="27"/>
      <c r="D200" s="27"/>
      <c r="E200" s="27"/>
      <c r="F200" s="27"/>
    </row>
    <row r="201" spans="1:6" x14ac:dyDescent="0.3">
      <c r="A201" s="27"/>
      <c r="C201" s="27"/>
      <c r="D201" s="27"/>
      <c r="E201" s="27"/>
      <c r="F201" s="27"/>
    </row>
    <row r="202" spans="1:6" x14ac:dyDescent="0.3">
      <c r="A202" s="27"/>
      <c r="C202" s="27"/>
      <c r="D202" s="27"/>
      <c r="E202" s="27"/>
      <c r="F202" s="27"/>
    </row>
    <row r="203" spans="1:6" x14ac:dyDescent="0.3">
      <c r="A203" s="27"/>
      <c r="C203" s="27"/>
      <c r="D203" s="27"/>
      <c r="E203" s="27"/>
      <c r="F203" s="27"/>
    </row>
    <row r="204" spans="1:6" x14ac:dyDescent="0.3">
      <c r="A204" s="27"/>
      <c r="C204" s="27"/>
      <c r="D204" s="27"/>
      <c r="E204" s="27"/>
      <c r="F204" s="27"/>
    </row>
    <row r="205" spans="1:6" x14ac:dyDescent="0.3">
      <c r="A205" s="27"/>
      <c r="C205" s="27"/>
      <c r="D205" s="27"/>
      <c r="E205" s="27"/>
      <c r="F205" s="27"/>
    </row>
    <row r="206" spans="1:6" x14ac:dyDescent="0.3">
      <c r="A206" s="27"/>
      <c r="C206" s="27"/>
      <c r="D206" s="27"/>
      <c r="E206" s="27"/>
      <c r="F206" s="27"/>
    </row>
    <row r="207" spans="1:6" x14ac:dyDescent="0.3">
      <c r="A207" s="27"/>
      <c r="C207" s="27"/>
      <c r="D207" s="27"/>
      <c r="E207" s="27"/>
      <c r="F207" s="27"/>
    </row>
    <row r="208" spans="1:6" x14ac:dyDescent="0.3">
      <c r="A208" s="27"/>
      <c r="C208" s="27"/>
      <c r="D208" s="27"/>
      <c r="E208" s="27"/>
      <c r="F208" s="27"/>
    </row>
    <row r="209" spans="1:6" x14ac:dyDescent="0.3">
      <c r="A209" s="27"/>
      <c r="C209" s="27"/>
      <c r="D209" s="27"/>
      <c r="E209" s="27"/>
      <c r="F209" s="27"/>
    </row>
    <row r="210" spans="1:6" x14ac:dyDescent="0.3">
      <c r="A210" s="27"/>
      <c r="C210" s="27"/>
      <c r="D210" s="27"/>
      <c r="E210" s="27"/>
      <c r="F210" s="27"/>
    </row>
    <row r="211" spans="1:6" x14ac:dyDescent="0.3">
      <c r="A211" s="27"/>
      <c r="C211" s="27"/>
      <c r="D211" s="27"/>
      <c r="E211" s="27"/>
      <c r="F211" s="27"/>
    </row>
    <row r="212" spans="1:6" x14ac:dyDescent="0.3">
      <c r="A212" s="27"/>
      <c r="C212" s="27"/>
      <c r="D212" s="27"/>
      <c r="E212" s="27"/>
      <c r="F212" s="27"/>
    </row>
    <row r="213" spans="1:6" x14ac:dyDescent="0.3">
      <c r="A213" s="27"/>
      <c r="C213" s="27"/>
      <c r="D213" s="27"/>
      <c r="E213" s="27"/>
      <c r="F213" s="27"/>
    </row>
    <row r="214" spans="1:6" x14ac:dyDescent="0.3">
      <c r="A214" s="27"/>
      <c r="C214" s="27"/>
      <c r="D214" s="27"/>
      <c r="E214" s="27"/>
      <c r="F214" s="27"/>
    </row>
    <row r="215" spans="1:6" x14ac:dyDescent="0.3">
      <c r="A215" s="27"/>
      <c r="C215" s="27"/>
      <c r="D215" s="27"/>
      <c r="E215" s="27"/>
      <c r="F215" s="27"/>
    </row>
    <row r="216" spans="1:6" x14ac:dyDescent="0.3">
      <c r="A216" s="27"/>
      <c r="C216" s="27"/>
      <c r="D216" s="27"/>
      <c r="E216" s="27"/>
      <c r="F216" s="27"/>
    </row>
    <row r="217" spans="1:6" x14ac:dyDescent="0.3">
      <c r="A217" s="27"/>
      <c r="C217" s="27"/>
      <c r="D217" s="27"/>
      <c r="E217" s="27"/>
      <c r="F217" s="27"/>
    </row>
    <row r="218" spans="1:6" x14ac:dyDescent="0.3">
      <c r="A218" s="27"/>
      <c r="C218" s="27"/>
      <c r="D218" s="27"/>
      <c r="E218" s="27"/>
      <c r="F218" s="27"/>
    </row>
    <row r="219" spans="1:6" x14ac:dyDescent="0.3">
      <c r="A219" s="27"/>
      <c r="C219" s="27"/>
      <c r="D219" s="27"/>
      <c r="E219" s="27"/>
      <c r="F219" s="27"/>
    </row>
    <row r="220" spans="1:6" x14ac:dyDescent="0.3">
      <c r="A220" s="27"/>
      <c r="C220" s="27"/>
      <c r="D220" s="27"/>
      <c r="E220" s="27"/>
      <c r="F220" s="27"/>
    </row>
    <row r="221" spans="1:6" x14ac:dyDescent="0.3">
      <c r="A221" s="27"/>
      <c r="C221" s="27"/>
      <c r="D221" s="27"/>
      <c r="E221" s="27"/>
      <c r="F221" s="27"/>
    </row>
    <row r="222" spans="1:6" x14ac:dyDescent="0.3">
      <c r="A222" s="27"/>
      <c r="C222" s="27"/>
      <c r="D222" s="27"/>
      <c r="E222" s="27"/>
      <c r="F222" s="27"/>
    </row>
    <row r="223" spans="1:6" x14ac:dyDescent="0.3">
      <c r="A223" s="27"/>
      <c r="C223" s="27"/>
      <c r="D223" s="27"/>
      <c r="E223" s="27"/>
      <c r="F223" s="27"/>
    </row>
    <row r="224" spans="1:6" x14ac:dyDescent="0.3">
      <c r="A224" s="27"/>
      <c r="C224" s="27"/>
      <c r="D224" s="27"/>
      <c r="E224" s="27"/>
      <c r="F224" s="27"/>
    </row>
    <row r="225" spans="1:6" x14ac:dyDescent="0.3">
      <c r="A225" s="27"/>
      <c r="C225" s="27"/>
      <c r="D225" s="27"/>
      <c r="E225" s="27"/>
      <c r="F225" s="27"/>
    </row>
    <row r="226" spans="1:6" x14ac:dyDescent="0.3">
      <c r="A226" s="27"/>
      <c r="C226" s="27"/>
      <c r="D226" s="27"/>
      <c r="E226" s="27"/>
      <c r="F226" s="27"/>
    </row>
    <row r="227" spans="1:6" x14ac:dyDescent="0.3">
      <c r="A227" s="27"/>
      <c r="C227" s="27"/>
      <c r="D227" s="27"/>
      <c r="E227" s="27"/>
      <c r="F227" s="27"/>
    </row>
    <row r="228" spans="1:6" x14ac:dyDescent="0.3">
      <c r="A228" s="27"/>
      <c r="C228" s="27"/>
      <c r="D228" s="27"/>
      <c r="E228" s="27"/>
      <c r="F228" s="27"/>
    </row>
    <row r="229" spans="1:6" x14ac:dyDescent="0.3">
      <c r="A229" s="27"/>
      <c r="C229" s="27"/>
      <c r="D229" s="27"/>
      <c r="E229" s="27"/>
      <c r="F229" s="27"/>
    </row>
    <row r="230" spans="1:6" x14ac:dyDescent="0.3">
      <c r="A230" s="27"/>
      <c r="C230" s="27"/>
      <c r="D230" s="27"/>
      <c r="E230" s="27"/>
      <c r="F230" s="27"/>
    </row>
    <row r="231" spans="1:6" x14ac:dyDescent="0.3">
      <c r="A231" s="27"/>
      <c r="C231" s="27"/>
      <c r="D231" s="27"/>
      <c r="E231" s="27"/>
      <c r="F231" s="27"/>
    </row>
    <row r="232" spans="1:6" x14ac:dyDescent="0.3">
      <c r="A232" s="27"/>
      <c r="C232" s="27"/>
      <c r="D232" s="27"/>
      <c r="E232" s="27"/>
      <c r="F232" s="27"/>
    </row>
    <row r="233" spans="1:6" x14ac:dyDescent="0.3">
      <c r="A233" s="27"/>
      <c r="C233" s="27"/>
      <c r="D233" s="27"/>
      <c r="E233" s="27"/>
      <c r="F233" s="27"/>
    </row>
    <row r="234" spans="1:6" x14ac:dyDescent="0.3">
      <c r="A234" s="27"/>
      <c r="C234" s="27"/>
      <c r="D234" s="27"/>
      <c r="E234" s="27"/>
      <c r="F234" s="27"/>
    </row>
    <row r="235" spans="1:6" x14ac:dyDescent="0.3">
      <c r="A235" s="27"/>
      <c r="C235" s="27"/>
      <c r="D235" s="27"/>
      <c r="E235" s="27"/>
      <c r="F235" s="27"/>
    </row>
    <row r="236" spans="1:6" x14ac:dyDescent="0.3">
      <c r="A236" s="27"/>
      <c r="C236" s="27"/>
      <c r="D236" s="27"/>
      <c r="E236" s="27"/>
      <c r="F236" s="27"/>
    </row>
    <row r="237" spans="1:6" x14ac:dyDescent="0.3">
      <c r="A237" s="27"/>
      <c r="C237" s="27"/>
      <c r="D237" s="27"/>
      <c r="E237" s="27"/>
      <c r="F237" s="27"/>
    </row>
    <row r="238" spans="1:6" x14ac:dyDescent="0.3">
      <c r="A238" s="27"/>
      <c r="C238" s="27"/>
      <c r="D238" s="27"/>
      <c r="E238" s="27"/>
      <c r="F238" s="27"/>
    </row>
    <row r="239" spans="1:6" x14ac:dyDescent="0.3">
      <c r="A239" s="27"/>
      <c r="C239" s="27"/>
      <c r="D239" s="27"/>
      <c r="E239" s="27"/>
      <c r="F239" s="27"/>
    </row>
    <row r="240" spans="1:6" x14ac:dyDescent="0.3">
      <c r="A240" s="27"/>
      <c r="C240" s="27"/>
      <c r="D240" s="27"/>
      <c r="E240" s="27"/>
      <c r="F240" s="27"/>
    </row>
    <row r="241" spans="1:6" x14ac:dyDescent="0.3">
      <c r="A241" s="27"/>
      <c r="C241" s="27"/>
      <c r="D241" s="27"/>
      <c r="E241" s="27"/>
      <c r="F241" s="27"/>
    </row>
    <row r="242" spans="1:6" x14ac:dyDescent="0.3">
      <c r="A242" s="27"/>
      <c r="C242" s="27"/>
      <c r="D242" s="27"/>
      <c r="E242" s="27"/>
      <c r="F242" s="27"/>
    </row>
    <row r="243" spans="1:6" x14ac:dyDescent="0.3">
      <c r="A243" s="27"/>
      <c r="C243" s="27"/>
      <c r="D243" s="27"/>
      <c r="E243" s="27"/>
      <c r="F243" s="27"/>
    </row>
    <row r="244" spans="1:6" x14ac:dyDescent="0.3">
      <c r="A244" s="27"/>
      <c r="C244" s="27"/>
      <c r="D244" s="27"/>
      <c r="E244" s="27"/>
      <c r="F244" s="27"/>
    </row>
    <row r="245" spans="1:6" x14ac:dyDescent="0.3">
      <c r="A245" s="27"/>
      <c r="C245" s="27"/>
      <c r="D245" s="27"/>
      <c r="E245" s="27"/>
      <c r="F245" s="27"/>
    </row>
    <row r="246" spans="1:6" x14ac:dyDescent="0.3">
      <c r="A246" s="27"/>
      <c r="C246" s="27"/>
      <c r="D246" s="27"/>
      <c r="E246" s="27"/>
      <c r="F246" s="27"/>
    </row>
    <row r="247" spans="1:6" x14ac:dyDescent="0.3">
      <c r="A247" s="27"/>
      <c r="C247" s="27"/>
      <c r="D247" s="27"/>
      <c r="E247" s="27"/>
      <c r="F247" s="27"/>
    </row>
    <row r="248" spans="1:6" x14ac:dyDescent="0.3">
      <c r="A248" s="27"/>
      <c r="C248" s="27"/>
      <c r="D248" s="27"/>
      <c r="E248" s="27"/>
      <c r="F248" s="27"/>
    </row>
    <row r="249" spans="1:6" x14ac:dyDescent="0.3">
      <c r="A249" s="27"/>
      <c r="C249" s="27"/>
      <c r="D249" s="27"/>
      <c r="E249" s="27"/>
      <c r="F249" s="27"/>
    </row>
    <row r="250" spans="1:6" x14ac:dyDescent="0.3">
      <c r="A250" s="27"/>
      <c r="C250" s="27"/>
      <c r="D250" s="27"/>
      <c r="E250" s="27"/>
      <c r="F250" s="27"/>
    </row>
    <row r="251" spans="1:6" x14ac:dyDescent="0.3">
      <c r="A251" s="27"/>
      <c r="C251" s="27"/>
      <c r="D251" s="27"/>
      <c r="E251" s="27"/>
      <c r="F251" s="27"/>
    </row>
    <row r="252" spans="1:6" x14ac:dyDescent="0.3">
      <c r="A252" s="27"/>
      <c r="C252" s="27"/>
      <c r="D252" s="27"/>
      <c r="E252" s="27"/>
      <c r="F252" s="27"/>
    </row>
    <row r="253" spans="1:6" x14ac:dyDescent="0.3">
      <c r="A253" s="27"/>
      <c r="C253" s="27"/>
      <c r="D253" s="27"/>
      <c r="E253" s="27"/>
      <c r="F253" s="27"/>
    </row>
    <row r="254" spans="1:6" x14ac:dyDescent="0.3">
      <c r="A254" s="27"/>
      <c r="C254" s="27"/>
      <c r="D254" s="27"/>
      <c r="E254" s="27"/>
      <c r="F254" s="27"/>
    </row>
    <row r="255" spans="1:6" x14ac:dyDescent="0.3">
      <c r="A255" s="27"/>
      <c r="C255" s="27"/>
      <c r="D255" s="27"/>
      <c r="E255" s="27"/>
      <c r="F255" s="27"/>
    </row>
    <row r="256" spans="1:6" x14ac:dyDescent="0.3">
      <c r="A256" s="27"/>
      <c r="C256" s="27"/>
      <c r="D256" s="27"/>
      <c r="E256" s="27"/>
      <c r="F256" s="27"/>
    </row>
    <row r="257" spans="1:6" x14ac:dyDescent="0.3">
      <c r="A257" s="27"/>
      <c r="C257" s="27"/>
      <c r="D257" s="27"/>
      <c r="E257" s="27"/>
      <c r="F257" s="27"/>
    </row>
    <row r="258" spans="1:6" x14ac:dyDescent="0.3">
      <c r="A258" s="27"/>
      <c r="C258" s="27"/>
      <c r="D258" s="27"/>
      <c r="E258" s="27"/>
      <c r="F258" s="27"/>
    </row>
    <row r="259" spans="1:6" x14ac:dyDescent="0.3">
      <c r="A259" s="27"/>
      <c r="C259" s="27"/>
      <c r="D259" s="27"/>
      <c r="E259" s="27"/>
      <c r="F259" s="27"/>
    </row>
    <row r="260" spans="1:6" x14ac:dyDescent="0.3">
      <c r="A260" s="27"/>
      <c r="C260" s="27"/>
      <c r="D260" s="27"/>
      <c r="E260" s="27"/>
      <c r="F260" s="27"/>
    </row>
    <row r="261" spans="1:6" x14ac:dyDescent="0.3">
      <c r="A261" s="27"/>
      <c r="C261" s="27"/>
      <c r="D261" s="27"/>
      <c r="E261" s="27"/>
      <c r="F261" s="27"/>
    </row>
    <row r="262" spans="1:6" x14ac:dyDescent="0.3">
      <c r="A262" s="27"/>
      <c r="C262" s="27"/>
      <c r="D262" s="27"/>
      <c r="E262" s="27"/>
      <c r="F262" s="27"/>
    </row>
    <row r="263" spans="1:6" x14ac:dyDescent="0.3">
      <c r="A263" s="27"/>
      <c r="C263" s="27"/>
      <c r="D263" s="27"/>
      <c r="E263" s="27"/>
      <c r="F263" s="27"/>
    </row>
    <row r="264" spans="1:6" x14ac:dyDescent="0.3">
      <c r="A264" s="27"/>
      <c r="C264" s="27"/>
      <c r="D264" s="27"/>
      <c r="E264" s="27"/>
      <c r="F264" s="27"/>
    </row>
    <row r="265" spans="1:6" x14ac:dyDescent="0.3">
      <c r="A265" s="27"/>
      <c r="C265" s="27"/>
      <c r="D265" s="27"/>
      <c r="E265" s="27"/>
      <c r="F265" s="27"/>
    </row>
    <row r="266" spans="1:6" x14ac:dyDescent="0.3">
      <c r="A266" s="27"/>
      <c r="C266" s="27"/>
      <c r="D266" s="27"/>
      <c r="E266" s="27"/>
      <c r="F266" s="27"/>
    </row>
    <row r="267" spans="1:6" x14ac:dyDescent="0.3">
      <c r="A267" s="27"/>
      <c r="C267" s="27"/>
      <c r="D267" s="27"/>
      <c r="E267" s="27"/>
      <c r="F267" s="27"/>
    </row>
    <row r="268" spans="1:6" x14ac:dyDescent="0.3">
      <c r="A268" s="27"/>
      <c r="C268" s="27"/>
      <c r="D268" s="27"/>
      <c r="E268" s="27"/>
      <c r="F268" s="27"/>
    </row>
    <row r="269" spans="1:6" x14ac:dyDescent="0.3">
      <c r="A269" s="27"/>
      <c r="C269" s="27"/>
      <c r="D269" s="27"/>
      <c r="E269" s="27"/>
      <c r="F269" s="27"/>
    </row>
    <row r="270" spans="1:6" x14ac:dyDescent="0.3">
      <c r="A270" s="27"/>
      <c r="C270" s="27"/>
      <c r="D270" s="27"/>
      <c r="E270" s="27"/>
      <c r="F270" s="27"/>
    </row>
    <row r="271" spans="1:6" x14ac:dyDescent="0.3">
      <c r="A271" s="27"/>
      <c r="C271" s="27"/>
      <c r="D271" s="27"/>
      <c r="E271" s="27"/>
      <c r="F271" s="27"/>
    </row>
    <row r="272" spans="1:6" x14ac:dyDescent="0.3">
      <c r="A272" s="27"/>
      <c r="C272" s="27"/>
      <c r="D272" s="27"/>
      <c r="E272" s="27"/>
      <c r="F272" s="27"/>
    </row>
    <row r="273" spans="1:6" x14ac:dyDescent="0.3">
      <c r="A273" s="27"/>
      <c r="C273" s="27"/>
      <c r="D273" s="27"/>
      <c r="E273" s="27"/>
      <c r="F273" s="27"/>
    </row>
    <row r="274" spans="1:6" x14ac:dyDescent="0.3">
      <c r="A274" s="27"/>
      <c r="C274" s="27"/>
      <c r="D274" s="27"/>
      <c r="E274" s="27"/>
      <c r="F274" s="27"/>
    </row>
    <row r="275" spans="1:6" x14ac:dyDescent="0.3">
      <c r="A275" s="27"/>
      <c r="C275" s="27"/>
      <c r="D275" s="27"/>
      <c r="E275" s="27"/>
      <c r="F275" s="27"/>
    </row>
    <row r="276" spans="1:6" x14ac:dyDescent="0.3">
      <c r="A276" s="27"/>
      <c r="C276" s="27"/>
      <c r="D276" s="27"/>
      <c r="E276" s="27"/>
      <c r="F276" s="27"/>
    </row>
    <row r="277" spans="1:6" x14ac:dyDescent="0.3">
      <c r="A277" s="27"/>
      <c r="C277" s="27"/>
      <c r="D277" s="27"/>
      <c r="E277" s="27"/>
      <c r="F277" s="27"/>
    </row>
    <row r="278" spans="1:6" x14ac:dyDescent="0.3">
      <c r="A278" s="27"/>
      <c r="C278" s="27"/>
      <c r="D278" s="27"/>
      <c r="E278" s="27"/>
      <c r="F278" s="27"/>
    </row>
    <row r="279" spans="1:6" x14ac:dyDescent="0.3">
      <c r="A279" s="27"/>
      <c r="C279" s="27"/>
      <c r="D279" s="27"/>
      <c r="E279" s="27"/>
      <c r="F279" s="27"/>
    </row>
    <row r="280" spans="1:6" x14ac:dyDescent="0.3">
      <c r="A280" s="27"/>
      <c r="C280" s="27"/>
      <c r="D280" s="27"/>
      <c r="E280" s="27"/>
      <c r="F280" s="27"/>
    </row>
    <row r="281" spans="1:6" x14ac:dyDescent="0.3">
      <c r="A281" s="27"/>
      <c r="C281" s="27"/>
      <c r="D281" s="27"/>
      <c r="E281" s="27"/>
      <c r="F281" s="27"/>
    </row>
    <row r="282" spans="1:6" x14ac:dyDescent="0.3">
      <c r="A282" s="27"/>
      <c r="C282" s="27"/>
      <c r="D282" s="27"/>
      <c r="E282" s="27"/>
      <c r="F282" s="27"/>
    </row>
    <row r="283" spans="1:6" x14ac:dyDescent="0.3">
      <c r="A283" s="27"/>
      <c r="C283" s="27"/>
      <c r="D283" s="27"/>
      <c r="E283" s="27"/>
      <c r="F283" s="27"/>
    </row>
    <row r="284" spans="1:6" x14ac:dyDescent="0.3">
      <c r="A284" s="27"/>
      <c r="C284" s="27"/>
      <c r="D284" s="27"/>
      <c r="E284" s="27"/>
      <c r="F284" s="27"/>
    </row>
    <row r="285" spans="1:6" x14ac:dyDescent="0.3">
      <c r="A285" s="27"/>
      <c r="C285" s="27"/>
      <c r="D285" s="27"/>
      <c r="E285" s="27"/>
      <c r="F285" s="27"/>
    </row>
    <row r="286" spans="1:6" x14ac:dyDescent="0.3">
      <c r="A286" s="27"/>
      <c r="C286" s="27"/>
      <c r="D286" s="27"/>
      <c r="E286" s="27"/>
      <c r="F286" s="27"/>
    </row>
    <row r="287" spans="1:6" x14ac:dyDescent="0.3">
      <c r="A287" s="27"/>
      <c r="C287" s="27"/>
      <c r="D287" s="27"/>
      <c r="E287" s="27"/>
      <c r="F287" s="27"/>
    </row>
    <row r="288" spans="1:6" x14ac:dyDescent="0.3">
      <c r="A288" s="27"/>
      <c r="C288" s="27"/>
      <c r="D288" s="27"/>
      <c r="E288" s="27"/>
      <c r="F288" s="27"/>
    </row>
    <row r="289" spans="1:6" x14ac:dyDescent="0.3">
      <c r="A289" s="27"/>
      <c r="C289" s="27"/>
      <c r="D289" s="27"/>
      <c r="E289" s="27"/>
      <c r="F289" s="27"/>
    </row>
    <row r="290" spans="1:6" x14ac:dyDescent="0.3">
      <c r="A290" s="27"/>
      <c r="C290" s="27"/>
      <c r="D290" s="27"/>
      <c r="E290" s="27"/>
      <c r="F290" s="27"/>
    </row>
    <row r="291" spans="1:6" x14ac:dyDescent="0.3">
      <c r="A291" s="27"/>
      <c r="C291" s="27"/>
      <c r="D291" s="27"/>
      <c r="E291" s="27"/>
      <c r="F291" s="27"/>
    </row>
    <row r="292" spans="1:6" x14ac:dyDescent="0.3">
      <c r="A292" s="27"/>
      <c r="C292" s="27"/>
      <c r="D292" s="27"/>
      <c r="E292" s="27"/>
      <c r="F292" s="27"/>
    </row>
    <row r="293" spans="1:6" x14ac:dyDescent="0.3">
      <c r="A293" s="27"/>
      <c r="C293" s="27"/>
      <c r="D293" s="27"/>
      <c r="E293" s="27"/>
      <c r="F293" s="27"/>
    </row>
    <row r="294" spans="1:6" x14ac:dyDescent="0.3">
      <c r="A294" s="27"/>
      <c r="C294" s="27"/>
      <c r="D294" s="27"/>
      <c r="E294" s="27"/>
      <c r="F294" s="27"/>
    </row>
    <row r="295" spans="1:6" x14ac:dyDescent="0.3">
      <c r="A295" s="27"/>
      <c r="C295" s="27"/>
      <c r="D295" s="27"/>
      <c r="E295" s="27"/>
      <c r="F295" s="27"/>
    </row>
    <row r="296" spans="1:6" x14ac:dyDescent="0.3">
      <c r="A296" s="27"/>
      <c r="C296" s="27"/>
      <c r="D296" s="27"/>
      <c r="E296" s="27"/>
      <c r="F296" s="27"/>
    </row>
    <row r="297" spans="1:6" x14ac:dyDescent="0.3">
      <c r="A297" s="27"/>
      <c r="C297" s="27"/>
      <c r="D297" s="27"/>
      <c r="E297" s="27"/>
      <c r="F297" s="27"/>
    </row>
    <row r="298" spans="1:6" x14ac:dyDescent="0.3">
      <c r="A298" s="27"/>
      <c r="C298" s="27"/>
      <c r="D298" s="27"/>
      <c r="E298" s="27"/>
      <c r="F298" s="27"/>
    </row>
    <row r="299" spans="1:6" x14ac:dyDescent="0.3">
      <c r="A299" s="27"/>
      <c r="C299" s="27"/>
      <c r="D299" s="27"/>
      <c r="E299" s="27"/>
      <c r="F299" s="27"/>
    </row>
    <row r="300" spans="1:6" x14ac:dyDescent="0.3">
      <c r="A300" s="27"/>
      <c r="C300" s="27"/>
      <c r="D300" s="27"/>
      <c r="E300" s="27"/>
      <c r="F300" s="27"/>
    </row>
    <row r="301" spans="1:6" x14ac:dyDescent="0.3">
      <c r="A301" s="27"/>
      <c r="C301" s="27"/>
      <c r="D301" s="27"/>
      <c r="E301" s="27"/>
      <c r="F301" s="27"/>
    </row>
    <row r="302" spans="1:6" x14ac:dyDescent="0.3">
      <c r="A302" s="27"/>
      <c r="C302" s="27"/>
      <c r="D302" s="27"/>
      <c r="E302" s="27"/>
      <c r="F302" s="27"/>
    </row>
    <row r="303" spans="1:6" x14ac:dyDescent="0.3">
      <c r="A303" s="27"/>
      <c r="C303" s="27"/>
      <c r="D303" s="27"/>
      <c r="E303" s="27"/>
      <c r="F303" s="27"/>
    </row>
    <row r="304" spans="1:6" x14ac:dyDescent="0.3">
      <c r="A304" s="27"/>
      <c r="C304" s="27"/>
      <c r="D304" s="27"/>
      <c r="E304" s="27"/>
      <c r="F304" s="27"/>
    </row>
    <row r="305" spans="1:6" x14ac:dyDescent="0.3">
      <c r="A305" s="27"/>
      <c r="C305" s="27"/>
      <c r="D305" s="27"/>
      <c r="E305" s="27"/>
      <c r="F305" s="27"/>
    </row>
    <row r="306" spans="1:6" x14ac:dyDescent="0.3">
      <c r="A306" s="27"/>
      <c r="C306" s="27"/>
      <c r="D306" s="27"/>
      <c r="E306" s="27"/>
      <c r="F306" s="27"/>
    </row>
    <row r="307" spans="1:6" x14ac:dyDescent="0.3">
      <c r="A307" s="27"/>
      <c r="C307" s="27"/>
      <c r="D307" s="27"/>
      <c r="E307" s="27"/>
      <c r="F307" s="27"/>
    </row>
    <row r="308" spans="1:6" x14ac:dyDescent="0.3">
      <c r="A308" s="27"/>
      <c r="C308" s="27"/>
      <c r="D308" s="27"/>
      <c r="E308" s="27"/>
      <c r="F308" s="27"/>
    </row>
    <row r="309" spans="1:6" x14ac:dyDescent="0.3">
      <c r="A309" s="27"/>
      <c r="C309" s="27"/>
      <c r="D309" s="27"/>
      <c r="E309" s="27"/>
      <c r="F309" s="27"/>
    </row>
    <row r="310" spans="1:6" x14ac:dyDescent="0.3">
      <c r="A310" s="27"/>
      <c r="C310" s="27"/>
      <c r="D310" s="27"/>
      <c r="E310" s="27"/>
      <c r="F310" s="27"/>
    </row>
    <row r="311" spans="1:6" x14ac:dyDescent="0.3">
      <c r="A311" s="27"/>
      <c r="C311" s="27"/>
      <c r="D311" s="27"/>
      <c r="E311" s="27"/>
      <c r="F311" s="27"/>
    </row>
    <row r="312" spans="1:6" x14ac:dyDescent="0.3">
      <c r="A312" s="27"/>
      <c r="C312" s="27"/>
      <c r="D312" s="27"/>
      <c r="E312" s="27"/>
      <c r="F312" s="27"/>
    </row>
    <row r="313" spans="1:6" x14ac:dyDescent="0.3">
      <c r="A313" s="27"/>
      <c r="C313" s="27"/>
      <c r="D313" s="27"/>
      <c r="E313" s="27"/>
      <c r="F313" s="27"/>
    </row>
    <row r="314" spans="1:6" x14ac:dyDescent="0.3">
      <c r="A314" s="27"/>
      <c r="C314" s="27"/>
      <c r="D314" s="27"/>
      <c r="E314" s="27"/>
      <c r="F314" s="27"/>
    </row>
    <row r="315" spans="1:6" x14ac:dyDescent="0.3">
      <c r="A315" s="27"/>
      <c r="C315" s="27"/>
      <c r="D315" s="27"/>
      <c r="E315" s="27"/>
      <c r="F315" s="27"/>
    </row>
    <row r="316" spans="1:6" x14ac:dyDescent="0.3">
      <c r="A316" s="27"/>
      <c r="C316" s="27"/>
      <c r="D316" s="27"/>
      <c r="E316" s="27"/>
      <c r="F316" s="27"/>
    </row>
    <row r="317" spans="1:6" x14ac:dyDescent="0.3">
      <c r="A317" s="27"/>
      <c r="C317" s="27"/>
      <c r="D317" s="27"/>
      <c r="E317" s="27"/>
      <c r="F317" s="27"/>
    </row>
    <row r="318" spans="1:6" x14ac:dyDescent="0.3">
      <c r="A318" s="27"/>
      <c r="C318" s="27"/>
      <c r="D318" s="27"/>
      <c r="E318" s="27"/>
      <c r="F318" s="27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QuoteCreatorES</vt:lpstr>
      <vt:lpstr>ES_Additional_Insured</vt:lpstr>
      <vt:lpstr>ES_LegalEntityLocations</vt:lpstr>
      <vt:lpstr>ES_BeneficialOwners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2025-10-14T10:49:09Z</dcterms:modified>
</cp:coreProperties>
</file>
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mokeHO" sheetId="1" r:id="rId1"/>
    <sheet name="HO_AdditionalLocations" sheetId="8" r:id="rId2"/>
    <sheet name="SmokePA" sheetId="2" r:id="rId3"/>
    <sheet name="PA_AdditionalOperators" sheetId="10" r:id="rId4"/>
    <sheet name="PA_DriverIncidents" sheetId="9" r:id="rId5"/>
    <sheet name="PA_AdditionalVehicles" sheetId="11" r:id="rId6"/>
    <sheet name="SmokePW" sheetId="3" r:id="rId7"/>
    <sheet name="SmokeEX" sheetId="4" r:id="rId8"/>
    <sheet name="SmokeCO" sheetId="5" r:id="rId9"/>
    <sheet name="SmokeHS" sheetId="6" r:id="rId10"/>
    <sheet name="SmokeES" sheetId="7" r:id="rId11"/>
    <sheet name="SmokeCC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X3" i="12" l="1"/>
  <c r="B3" i="12"/>
  <c r="AT3" i="7" l="1"/>
  <c r="AF3" i="7"/>
  <c r="AE3" i="7"/>
  <c r="B3" i="7"/>
  <c r="CX3" i="6"/>
  <c r="B3" i="6"/>
  <c r="DO3" i="4"/>
  <c r="B3" i="4"/>
  <c r="CJ3" i="3"/>
  <c r="B3" i="3"/>
  <c r="DL4" i="2"/>
  <c r="B4" i="2"/>
  <c r="DL3" i="2"/>
  <c r="B3" i="2"/>
  <c r="FL4" i="1"/>
  <c r="B4" i="1"/>
  <c r="FL3" i="1"/>
  <c r="B3" i="1"/>
</calcChain>
</file>

<file path=xl/comments1.xml><?xml version="1.0" encoding="utf-8"?>
<comments xmlns="http://schemas.openxmlformats.org/spreadsheetml/2006/main">
  <authors>
    <author>Author</author>
  </authors>
  <commentList>
    <comment ref="AD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DV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HL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  <comment ref="KX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<sst xmlns="http://schemas.openxmlformats.org/spreadsheetml/2006/main" count="3329" uniqueCount="1374">
  <si>
    <t>XXX</t>
  </si>
  <si>
    <t>Initiate Quote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</si>
  <si>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</si>
  <si>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</si>
  <si>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</si>
  <si>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</si>
  <si>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</si>
  <si>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</si>
  <si>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</si>
  <si>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</si>
  <si>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</si>
  <si>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Optional Coverages</t>
  </si>
  <si>
    <t>Endorsement</t>
  </si>
  <si>
    <t>TC_ID</t>
  </si>
  <si>
    <t>Effective_Date</t>
  </si>
  <si>
    <t>Admitted_Or_Surplus</t>
  </si>
  <si>
    <t>Admitted_Line</t>
  </si>
  <si>
    <t>Ex_Wind</t>
  </si>
  <si>
    <t>State</t>
  </si>
  <si>
    <t>Address_Line_1_Txt</t>
  </si>
  <si>
    <t>City_Name_Txt</t>
  </si>
  <si>
    <t>Zip_Code</t>
  </si>
  <si>
    <t>Date_Of_Birth</t>
  </si>
  <si>
    <t>Member_Of_Pure_Marketing_Group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</si>
  <si>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</si>
  <si>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</si>
  <si>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</si>
  <si>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</si>
  <si>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</si>
  <si>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</si>
  <si>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</si>
  <si>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</si>
  <si>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Spouse_Partner</t>
  </si>
  <si>
    <t>Partner_First_Name</t>
  </si>
  <si>
    <t>Partner_Last_Name</t>
  </si>
  <si>
    <t>Residence_Type</t>
  </si>
  <si>
    <t>Replacement_Cost</t>
  </si>
  <si>
    <t>Other_Structures</t>
  </si>
  <si>
    <t>Contents</t>
  </si>
  <si>
    <t>Loss_Of_Use</t>
  </si>
  <si>
    <t>AOP_Ded</t>
  </si>
  <si>
    <t>Hurr_Ded</t>
  </si>
  <si>
    <t>Wind_Or_Hail_Ded</t>
  </si>
  <si>
    <t>Hailstorm_Ded</t>
  </si>
  <si>
    <t>Calendar_Year_Hurricane_Ded</t>
  </si>
  <si>
    <t>Tornado_Or_Hailstorm_Ded</t>
  </si>
  <si>
    <t>Number_Of_Family_Units</t>
  </si>
  <si>
    <t>Deductible</t>
  </si>
  <si>
    <t>Windstorm_Deductible</t>
  </si>
  <si>
    <t>Special_Wind_Ded</t>
  </si>
  <si>
    <t>Hurricane_And_Named_Storm_Ded</t>
  </si>
  <si>
    <t>Hurricane_Deductible</t>
  </si>
  <si>
    <t>Named_Storm_Ded</t>
  </si>
  <si>
    <t>Residence_Have_Basement</t>
  </si>
  <si>
    <t>Personal_Liability_Limit</t>
  </si>
  <si>
    <t>Worker_Total_Full_Time</t>
  </si>
  <si>
    <t>Workers_Compensation</t>
  </si>
  <si>
    <t>Prefill</t>
  </si>
  <si>
    <t>Is_This_A_Primary_Residence</t>
  </si>
  <si>
    <t>Home_Unoccupied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</si>
  <si>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</si>
  <si>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</si>
  <si>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</si>
  <si>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</si>
  <si>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</si>
  <si>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</si>
  <si>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Cost_Of_Planned_Work</t>
  </si>
  <si>
    <t>Is_Residence_Currently_For_Sale</t>
  </si>
  <si>
    <t>Location_Listed_On_National</t>
  </si>
  <si>
    <t>Is_There_Mortgage</t>
  </si>
  <si>
    <t>Year_Built</t>
  </si>
  <si>
    <t>Protection_Class</t>
  </si>
  <si>
    <t>Square_Footage</t>
  </si>
  <si>
    <t>Number_Of_Floors</t>
  </si>
  <si>
    <t>Risk_Located_Floor</t>
  </si>
  <si>
    <t>Construction_Type</t>
  </si>
  <si>
    <t>Exterior_Wall_Covering</t>
  </si>
  <si>
    <t>Is_Home_Supported</t>
  </si>
  <si>
    <t>Is_Home_Retrofitted_For_Earthquake</t>
  </si>
  <si>
    <t>Handcrafted_Home</t>
  </si>
  <si>
    <t>BCEG</t>
  </si>
  <si>
    <t>Certified_Inspection</t>
  </si>
  <si>
    <t>Certified_Inspection_Date</t>
  </si>
  <si>
    <t>Roof_Shape</t>
  </si>
  <si>
    <t>Roof_Covering</t>
  </si>
  <si>
    <t>Roof_Covering_Credit</t>
  </si>
  <si>
    <t>Hurricane_Fortification</t>
  </si>
  <si>
    <t>Wall_Construction_Type</t>
  </si>
  <si>
    <t>Roof_Deck_Attachment</t>
  </si>
  <si>
    <t>Secondary_Water_Resistance</t>
  </si>
  <si>
    <t>Roof_Wall_Connection</t>
  </si>
  <si>
    <t>Roof_Deck</t>
  </si>
  <si>
    <t>What_Type_Of_Opening_Protection</t>
  </si>
  <si>
    <t>Perimeter_Security_Protection</t>
  </si>
  <si>
    <t>Opening_Protection</t>
  </si>
  <si>
    <t>Roof_Covering_Type</t>
  </si>
  <si>
    <t>Fire_Alarm</t>
  </si>
  <si>
    <t>Burglar_Alarm</t>
  </si>
  <si>
    <t>Water_Leak_Detection</t>
  </si>
  <si>
    <t>Automatic_Seismic_Shut_Off_Valve</t>
  </si>
  <si>
    <t>Storm_Shutters</t>
  </si>
  <si>
    <t>Firewise_Community_Credit</t>
  </si>
  <si>
    <t>Flood_Pure_NFIP</t>
  </si>
  <si>
    <t>Purchase_NFIP</t>
  </si>
  <si>
    <t>Flood_Advantage</t>
  </si>
  <si>
    <t>Excess_Flood_Coverage</t>
  </si>
  <si>
    <t>Excess_Flood_Dwelling</t>
  </si>
  <si>
    <t>Excess_Flood_Contents</t>
  </si>
  <si>
    <t>Refer_Rate</t>
  </si>
  <si>
    <t>Home_Flood_Rate</t>
  </si>
  <si>
    <t>Earthquake_Coverage_Option</t>
  </si>
  <si>
    <t>Base_Flood_Elevation</t>
  </si>
  <si>
    <t>Earthquake_Extension</t>
  </si>
  <si>
    <t>Earthquake_Loss_Assessment_Extension</t>
  </si>
  <si>
    <t>Business_Property_Extension</t>
  </si>
  <si>
    <t>Business_Property_Increase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</si>
  <si>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</si>
  <si>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</si>
  <si>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</si>
  <si>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</si>
  <si>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</si>
  <si>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</si>
  <si>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</si>
  <si>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</si>
  <si>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</si>
  <si>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</si>
  <si>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</si>
  <si>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</si>
  <si>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</si>
  <si>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</si>
  <si>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</si>
  <si>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</si>
  <si>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</si>
  <si>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</si>
  <si>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</si>
  <si>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</si>
  <si>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</si>
  <si>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</si>
  <si>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</si>
  <si>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</si>
  <si>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</si>
  <si>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</si>
  <si>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</si>
  <si>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</si>
  <si>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</si>
  <si>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</si>
  <si>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</si>
  <si>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Building_Diagram_Number</t>
  </si>
  <si>
    <t>Top_Of_Bottom_Floor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</si>
  <si>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</si>
  <si>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</si>
  <si>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</si>
  <si>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</si>
  <si>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</si>
  <si>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Wildfire_Override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</si>
  <si>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</si>
  <si>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</si>
  <si>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</si>
  <si>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</si>
  <si>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</si>
  <si>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</si>
  <si>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Appraisal_Contact_Name</t>
  </si>
  <si>
    <t>Appraisal_Contact_Email</t>
  </si>
  <si>
    <t>Appraisal_Contact_Phone</t>
  </si>
  <si>
    <t>InspectionName</t>
  </si>
  <si>
    <t>InspectionDate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</si>
  <si>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</si>
  <si>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</si>
  <si>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</si>
  <si>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</si>
  <si>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</si>
  <si>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</si>
  <si>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</si>
  <si>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</si>
  <si>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</si>
  <si>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</si>
  <si>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</si>
  <si>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Additional_Locations</t>
  </si>
  <si>
    <t>Transaction_Type</t>
  </si>
  <si>
    <t>Endorsement_Type</t>
  </si>
  <si>
    <t>Endorsement_Effective_Date</t>
  </si>
  <si>
    <t>Description</t>
  </si>
  <si>
    <t>Notes</t>
  </si>
  <si>
    <t>Licensed_Producer_DEV</t>
  </si>
  <si>
    <t>Advisor_Servicer_DEV</t>
  </si>
  <si>
    <t>BrokerID_DEV</t>
  </si>
  <si>
    <t>Agency_Name_DEV</t>
  </si>
  <si>
    <t>Licensed_Producer_AWS_DEV</t>
  </si>
  <si>
    <t>Advisor_Servicer_AWS_DEV</t>
  </si>
  <si>
    <t>BrokerID_AWS_DEV</t>
  </si>
  <si>
    <t>Agency_Name_AWS_DEV</t>
  </si>
  <si>
    <t>Licensed_Producer_QA</t>
  </si>
  <si>
    <t>Advisor_Servicer_QA</t>
  </si>
  <si>
    <t>BrokerID_QA</t>
  </si>
  <si>
    <t>Agency_Name_QA</t>
  </si>
  <si>
    <t>Licensed_Producer_AWS_QA</t>
  </si>
  <si>
    <t>Advisor_Servicer_AWS_QA</t>
  </si>
  <si>
    <t>BrokerID_AWS_QA</t>
  </si>
  <si>
    <t>Agency_Name_AWS_QA</t>
  </si>
  <si>
    <t>Licensed_Producer_STG</t>
  </si>
  <si>
    <t>Advisor_Servicer_STG</t>
  </si>
  <si>
    <t>BrokerID_STG</t>
  </si>
  <si>
    <t>Agency_Name_STG</t>
  </si>
  <si>
    <t>Licensed_Producer_AWS_STG</t>
  </si>
  <si>
    <t>Advisor_Servicer_AWS_STG</t>
  </si>
  <si>
    <t>BrokerID_AWS_STG</t>
  </si>
  <si>
    <t>Agency_Name_AWS_STG</t>
  </si>
  <si>
    <t>Licensed_Producer_PROD</t>
  </si>
  <si>
    <t>Advisor_Servicer_PROD</t>
  </si>
  <si>
    <t>CA_001</t>
  </si>
  <si>
    <t>Admitted</t>
  </si>
  <si>
    <t>Homeowner</t>
  </si>
  <si>
    <t>No</t>
  </si>
  <si>
    <t>CA</t>
  </si>
  <si>
    <t>1927 N Glassell St</t>
  </si>
  <si>
    <t>Orange</t>
  </si>
  <si>
    <t>92865</t>
  </si>
  <si>
    <t>07/20/1991</t>
  </si>
  <si>
    <t>Yes</t>
  </si>
  <si>
    <t>Jonny</t>
  </si>
  <si>
    <t>Bravo</t>
  </si>
  <si>
    <t>Occupation</t>
  </si>
  <si>
    <t>Employer</t>
  </si>
  <si>
    <t>11000000</t>
  </si>
  <si>
    <t>2200000</t>
  </si>
  <si>
    <t>5500000</t>
  </si>
  <si>
    <t>Unlimited</t>
  </si>
  <si>
    <t>2500</t>
  </si>
  <si>
    <t>500000</t>
  </si>
  <si>
    <t>Not at all</t>
  </si>
  <si>
    <t>1000</t>
  </si>
  <si>
    <t>1946</t>
  </si>
  <si>
    <t>2</t>
  </si>
  <si>
    <t>7000</t>
  </si>
  <si>
    <t>1</t>
  </si>
  <si>
    <t>Frame</t>
  </si>
  <si>
    <t>Other</t>
  </si>
  <si>
    <t>04/05/2021</t>
  </si>
  <si>
    <t>Class 1</t>
  </si>
  <si>
    <t>Impact Glass</t>
  </si>
  <si>
    <t>None</t>
  </si>
  <si>
    <t>Basic</t>
  </si>
  <si>
    <t>Low</t>
  </si>
  <si>
    <t>Appraisal Comment</t>
  </si>
  <si>
    <t>Name</t>
  </si>
  <si>
    <t>email@email.com</t>
  </si>
  <si>
    <t>1111111111</t>
  </si>
  <si>
    <t>,</t>
  </si>
  <si>
    <t>Edison Judson</t>
  </si>
  <si>
    <t>747290200</t>
  </si>
  <si>
    <t>Underc0de</t>
  </si>
  <si>
    <t>Patty1 Clement</t>
  </si>
  <si>
    <t>14673900</t>
  </si>
  <si>
    <t>System Validation Only LLC</t>
  </si>
  <si>
    <t>automation0 Automation</t>
  </si>
  <si>
    <t>Rodrigo Lucero</t>
  </si>
  <si>
    <t>747290201</t>
  </si>
  <si>
    <t>NY_001</t>
  </si>
  <si>
    <t>NY</t>
  </si>
  <si>
    <t>123 6th St 1B</t>
  </si>
  <si>
    <t>Pelham</t>
  </si>
  <si>
    <t>10803</t>
  </si>
  <si>
    <t>N/A</t>
  </si>
  <si>
    <t>5,000</t>
  </si>
  <si>
    <t>2010</t>
  </si>
  <si>
    <t>Policy Information</t>
  </si>
  <si>
    <t>Insurance Information</t>
  </si>
  <si>
    <t>Driver Details</t>
  </si>
  <si>
    <t>Driver Incidents</t>
  </si>
  <si>
    <t>Additional Operators</t>
  </si>
  <si>
    <t>Additional Vehicles</t>
  </si>
  <si>
    <t>Coverages</t>
  </si>
  <si>
    <t>Policy Information Endorsement</t>
  </si>
  <si>
    <t>Insurance Information Endorsement</t>
  </si>
  <si>
    <t>Driver Details Endorsement</t>
  </si>
  <si>
    <t>Driver Incidents Endorsements</t>
  </si>
  <si>
    <t>Additional Operators Endorsements</t>
  </si>
  <si>
    <t>Additional Vehicles Endorsements</t>
  </si>
  <si>
    <t>Coverages Endorsement</t>
  </si>
  <si>
    <t>Named_Insured_Type</t>
  </si>
  <si>
    <t>Member_Have_Homeowners_Policy</t>
  </si>
  <si>
    <t>Member_Have_Personal_Excess_Policy</t>
  </si>
  <si>
    <t>Member_Have_Collections_Policy</t>
  </si>
  <si>
    <t>Non-CAT_Loss</t>
  </si>
  <si>
    <t>Two_Or_More_Properties_Insured</t>
  </si>
  <si>
    <t>Current_Prior_Carrier</t>
  </si>
  <si>
    <t>Laps_In_Coverage</t>
  </si>
  <si>
    <t>FOR</t>
  </si>
  <si>
    <t>Premium</t>
  </si>
  <si>
    <t>Operator_Driver_Status</t>
  </si>
  <si>
    <t>Driver_NonDriver_Reason</t>
  </si>
  <si>
    <t>Driver_Gender</t>
  </si>
  <si>
    <t>Driver_Marital_Status</t>
  </si>
  <si>
    <t>Driver_License_Status</t>
  </si>
  <si>
    <t>Driver_How_Long_Licensed_In_US</t>
  </si>
  <si>
    <t>3_Or_More_Months_Out_Of_State</t>
  </si>
  <si>
    <t>Driver_Accident_Prevention_Course</t>
  </si>
  <si>
    <t>Driver_Assigned_To_Another_Vehicle</t>
  </si>
  <si>
    <t>Driver_Highest_Level_Education_Completed</t>
  </si>
  <si>
    <t>Driver_SR-22</t>
  </si>
  <si>
    <t>First_Year_Licensed</t>
  </si>
  <si>
    <t>Has_License_Been_Suspended</t>
  </si>
  <si>
    <t>Has_License_Elapsed</t>
  </si>
  <si>
    <t>Military_Personnel</t>
  </si>
  <si>
    <t>Defensive_Driving_Course</t>
  </si>
  <si>
    <t>Driver_Training_Course_Completed</t>
  </si>
  <si>
    <t>Driver_Licensed_In_Another_State</t>
  </si>
  <si>
    <t>Driver_Prior_Licensed_State</t>
  </si>
  <si>
    <t>Driver_Prior_Licensed_Number</t>
  </si>
  <si>
    <t>Drivers_License_State</t>
  </si>
  <si>
    <t>Drivers_License_Number</t>
  </si>
  <si>
    <t>Drivers_Occupation</t>
  </si>
  <si>
    <t>Highway_Traffic_Safety</t>
  </si>
  <si>
    <t>Is_Home_Located_In_RI</t>
  </si>
  <si>
    <t>Relationship_To_Insured</t>
  </si>
  <si>
    <t>Driver_Incidents</t>
  </si>
  <si>
    <t>Additional_Operators</t>
  </si>
  <si>
    <t>Additional_Vehicles</t>
  </si>
  <si>
    <t>Combined_Or_Split_Limits</t>
  </si>
  <si>
    <t>UM_UIM_Limit</t>
  </si>
  <si>
    <t>Med_Pay_Limits</t>
  </si>
  <si>
    <t>Golf_Cart_MedPay_Limit</t>
  </si>
  <si>
    <t>BI_Limits</t>
  </si>
  <si>
    <t>PIP</t>
  </si>
  <si>
    <t>UMBI</t>
  </si>
  <si>
    <t>UIMBI</t>
  </si>
  <si>
    <t>UMBI_Limit</t>
  </si>
  <si>
    <t>CSL_Limits</t>
  </si>
  <si>
    <t>UMBI_CSL_Limit</t>
  </si>
  <si>
    <t>UIMBI_CSL_Limits</t>
  </si>
  <si>
    <t>UIM_CSL_Limits</t>
  </si>
  <si>
    <t>UIMBI_Limit</t>
  </si>
  <si>
    <t>PIP_Limits_Medical_Work_Funeral</t>
  </si>
  <si>
    <t>UIMBI_CLS_Limits</t>
  </si>
  <si>
    <t>UM/UIM_CSL_Limit</t>
  </si>
  <si>
    <t>APIP_Medical_Rehab_Funeral_Work_Service_Limit</t>
  </si>
  <si>
    <t>ATV_Med_Pay_Limit</t>
  </si>
  <si>
    <t>Tort</t>
  </si>
  <si>
    <t>APIP_Total_Additional_Limits</t>
  </si>
  <si>
    <t>Coordination_Of_Benefits</t>
  </si>
  <si>
    <t>Basic_PIP_Options</t>
  </si>
  <si>
    <t>UMBI/UIMBI_CSL_Limit</t>
  </si>
  <si>
    <t>UMBI_UIMBI_Options</t>
  </si>
  <si>
    <t>APIP_Options</t>
  </si>
  <si>
    <t>PIP_Deductible</t>
  </si>
  <si>
    <t>Additional_PIP_Limits</t>
  </si>
  <si>
    <t>Motor_Medical_Payments</t>
  </si>
  <si>
    <t>Motorcycle_Med_Pay_Limit</t>
  </si>
  <si>
    <t>Snowmobile_Med_Pay_Limit</t>
  </si>
  <si>
    <t>Personal_Injury_Protection_Medical_Coverage</t>
  </si>
  <si>
    <t>APIP_Total_Workloss_Replacement_Funeral</t>
  </si>
  <si>
    <t>Limited_Or_Full_Tort</t>
  </si>
  <si>
    <t>PIP_Deductible_Applicable_To</t>
  </si>
  <si>
    <t>Basic_First_Party_Benefits_Coverage</t>
  </si>
  <si>
    <t>Added_First_Party_Benefits_Coverage</t>
  </si>
  <si>
    <t>Medical_Expense</t>
  </si>
  <si>
    <t>Combination_First_Party_Benefits_Coverage</t>
  </si>
  <si>
    <t>Extraordinary_Medical_Benefits_Coverage</t>
  </si>
  <si>
    <t>Work_Loss</t>
  </si>
  <si>
    <t>Funeral_Expense</t>
  </si>
  <si>
    <t>Auto_Death_Benefits_And_Disability_Coverages</t>
  </si>
  <si>
    <t>Automobile_Death_Indemnity_And_Total_Disability_Coverage</t>
  </si>
  <si>
    <t>APIP_Limits</t>
  </si>
  <si>
    <t>Income_Loss</t>
  </si>
  <si>
    <t>PIP_Aggregate_Funeral_Income_Loss</t>
  </si>
  <si>
    <t>UMPD_Collector_Vehicle</t>
  </si>
  <si>
    <t>Optional_Benefits_Coverage</t>
  </si>
  <si>
    <t>Named_Insured_Type_END</t>
  </si>
  <si>
    <t>Member_Have_Homeowners_Policy_END</t>
  </si>
  <si>
    <t>Member_Have_Personal_Excess_Policy_END</t>
  </si>
  <si>
    <t>Member_Have_Collections_Policy_END</t>
  </si>
  <si>
    <t>Non-CAT_Loss_END</t>
  </si>
  <si>
    <t>Two_Or_More_Properties_Insured_END</t>
  </si>
  <si>
    <t>Current_Prior_Carrier_END</t>
  </si>
  <si>
    <t>Laps_In_Coverage_END</t>
  </si>
  <si>
    <t>FOR_END</t>
  </si>
  <si>
    <t>Premium_END</t>
  </si>
  <si>
    <t>Operator_Driver_Status_END</t>
  </si>
  <si>
    <t>First_Name_END</t>
  </si>
  <si>
    <t>Last_Name_END</t>
  </si>
  <si>
    <t>Driver_NonDriver_Reason_END</t>
  </si>
  <si>
    <t>Driver_Gender_END</t>
  </si>
  <si>
    <t>Driver_Marital_Status_END</t>
  </si>
  <si>
    <t>Driver_License_Status_END</t>
  </si>
  <si>
    <t>Driver_How_Long_Licensed_In_US_END</t>
  </si>
  <si>
    <t>3_Or_More_Months_Out_Of_State_END</t>
  </si>
  <si>
    <t>Driver_Accident_Prevention_Course_END</t>
  </si>
  <si>
    <t>Driver_Assigned_To_Another_Vehicle_END</t>
  </si>
  <si>
    <t>Driver_Highest_Level_Education_Completed_END</t>
  </si>
  <si>
    <t>Driver_SR-22_END</t>
  </si>
  <si>
    <t>First_Year_Licensed_END</t>
  </si>
  <si>
    <t>Has_License_Been_Suspended_END</t>
  </si>
  <si>
    <t>Has_License_Elapsed_END</t>
  </si>
  <si>
    <t>Military_Personnel_END</t>
  </si>
  <si>
    <t>Defensive_Driving_Course_END</t>
  </si>
  <si>
    <t>Driver_Training_Course_Completed_END</t>
  </si>
  <si>
    <t>Driver_Licensed_In_Another_State_END</t>
  </si>
  <si>
    <t>_ENDDriver_Prior_Licensed_State</t>
  </si>
  <si>
    <t>Driver_Prior_Licensed_Number_END</t>
  </si>
  <si>
    <t>Drivers_License_State_END</t>
  </si>
  <si>
    <t>Drivers_License_Number_END</t>
  </si>
  <si>
    <t>Drivers_Occupation_END</t>
  </si>
  <si>
    <t>Highway_Traffic_Safety_END</t>
  </si>
  <si>
    <t>Is_Home_Located_In_RI_END</t>
  </si>
  <si>
    <t>Driver_Incidents_END</t>
  </si>
  <si>
    <t>Additional_Operators_END</t>
  </si>
  <si>
    <t>Additional_Vehicles_END</t>
  </si>
  <si>
    <t>Combined_Or_Split_Limits_END</t>
  </si>
  <si>
    <t>UM_UIM_Limit_END</t>
  </si>
  <si>
    <t>Med_Pay_Limits_END</t>
  </si>
  <si>
    <t>BI_Limits_END</t>
  </si>
  <si>
    <t>PIP_END</t>
  </si>
  <si>
    <t>UMBI_END</t>
  </si>
  <si>
    <t>UIMBI_END</t>
  </si>
  <si>
    <t>UMBI_Limit_END</t>
  </si>
  <si>
    <t>CSL_Limits_END</t>
  </si>
  <si>
    <t>UIMBI_CSL_Limits_END</t>
  </si>
  <si>
    <t>UIM_CSL_Limits_END</t>
  </si>
  <si>
    <t>UIMBI_Limit_END</t>
  </si>
  <si>
    <t>PIP_Limits_Medical_Work_Funeral_END</t>
  </si>
  <si>
    <t>PIP_Rejection</t>
  </si>
  <si>
    <t>UIMBI_CLS_Limits_END</t>
  </si>
  <si>
    <t>_ENDUM/UIM_CSL_Limit</t>
  </si>
  <si>
    <t>APIP_Medical_Rehab_Funeral_Work_Service_Limit_END</t>
  </si>
  <si>
    <t>Tort_END</t>
  </si>
  <si>
    <t>APIP_Total_Additional_Limits_END</t>
  </si>
  <si>
    <t>Coordination_Of_Benefits_END</t>
  </si>
  <si>
    <t>Basic_PIP_Options_END</t>
  </si>
  <si>
    <t>UMBI/UIMBI_CSL_Limit_END</t>
  </si>
  <si>
    <t>UMBI_UIMBI_Options_END</t>
  </si>
  <si>
    <t>APIP_Options_END</t>
  </si>
  <si>
    <t>Existing_Agency_Client_END</t>
  </si>
  <si>
    <t>Any_Company_Refused_Or_Cancelled_END</t>
  </si>
  <si>
    <t>Non_Renewed_Or_Declined_Coverage_END</t>
  </si>
  <si>
    <t>PIP_Deductible_END</t>
  </si>
  <si>
    <t>Additional_PIP_Limits_END</t>
  </si>
  <si>
    <t>Personal_Injury_Protection_Medical_Coverage_END</t>
  </si>
  <si>
    <t>APIP_Total_Workloss_Replacement_Funeral_END</t>
  </si>
  <si>
    <t>Limited_Or_Full_Tort_END</t>
  </si>
  <si>
    <t>PIP_Deductible_Applicable_To_END</t>
  </si>
  <si>
    <t>Basic_First_Party_Benefits_Coverage_END</t>
  </si>
  <si>
    <t>Added_First_Party_Benefits_Coverage_END</t>
  </si>
  <si>
    <t>Medical_Expense_END</t>
  </si>
  <si>
    <t>Combination_First_Party_Benefits_Coverage_END</t>
  </si>
  <si>
    <t>Extraordinary_Medical_Benefits_Coverage_END</t>
  </si>
  <si>
    <t>Work_Loss_END</t>
  </si>
  <si>
    <t>Funeral_Expense_END</t>
  </si>
  <si>
    <t>Auto_Death_Benefits_And_Disability_Coverages_END</t>
  </si>
  <si>
    <t>Automobile_Death_Indemnity_And_Total_Disability_Coverage_END</t>
  </si>
  <si>
    <t>APIP_Limits_END</t>
  </si>
  <si>
    <t>Income_Loss_END</t>
  </si>
  <si>
    <t>PIP_Aggregate_Funeral_Income_Loss_END</t>
  </si>
  <si>
    <t>Personal Auto</t>
  </si>
  <si>
    <t>Individual</t>
  </si>
  <si>
    <t>No Current Lapse</t>
  </si>
  <si>
    <t>/</t>
  </si>
  <si>
    <t>Active</t>
  </si>
  <si>
    <t>Male</t>
  </si>
  <si>
    <t>Married</t>
  </si>
  <si>
    <t>Active License in U.S.</t>
  </si>
  <si>
    <t>3 or More Yrs</t>
  </si>
  <si>
    <t>Bachelors</t>
  </si>
  <si>
    <t>2006</t>
  </si>
  <si>
    <t>AK</t>
  </si>
  <si>
    <t>123123</t>
  </si>
  <si>
    <t>Test</t>
  </si>
  <si>
    <t>Named Insured</t>
  </si>
  <si>
    <t>CA_001_Vehicle_001,</t>
  </si>
  <si>
    <t>No Coverage</t>
  </si>
  <si>
    <t>25,000/65,000</t>
  </si>
  <si>
    <t>10,000</t>
  </si>
  <si>
    <t>300,000</t>
  </si>
  <si>
    <t>10,000/20,000</t>
  </si>
  <si>
    <t>0</t>
  </si>
  <si>
    <t>Option 1: Unlimited coverage</t>
  </si>
  <si>
    <t>Limited Tort</t>
  </si>
  <si>
    <t>$100 - Each Named Insured only</t>
  </si>
  <si>
    <t xml:space="preserve">50,000 Total Benefit | 2,500 Funeral Benefit | 10,000 Accidental Death </t>
  </si>
  <si>
    <t>100,000</t>
  </si>
  <si>
    <t>$10,000/$60 | Gainfully Employed | $13</t>
  </si>
  <si>
    <t>$5,000 per person/ $60 per Week</t>
  </si>
  <si>
    <t>$10,000 per person/ $350 per person per week</t>
  </si>
  <si>
    <t>$100 per week</t>
  </si>
  <si>
    <t>Basic PIP - $10,000 /$2,000 /$10,000 (max $200 per week) /$5,000 ($40 per day, max $200 week)</t>
  </si>
  <si>
    <t>NY_001_Vehicle_001,</t>
  </si>
  <si>
    <t>Watercraft Policy Page</t>
  </si>
  <si>
    <t>NADA</t>
  </si>
  <si>
    <t xml:space="preserve">Vehicle_GTE_27_Feet </t>
  </si>
  <si>
    <t xml:space="preserve">Policy_Type </t>
  </si>
  <si>
    <t>Hull_And_Machinery_Limit</t>
  </si>
  <si>
    <t>Year</t>
  </si>
  <si>
    <t>Manufacturer</t>
  </si>
  <si>
    <t>Model</t>
  </si>
  <si>
    <t>Length</t>
  </si>
  <si>
    <t>Hull_And_Machinery_Limit_Agreed_Value</t>
  </si>
  <si>
    <t>Type</t>
  </si>
  <si>
    <t>Fuel_Type</t>
  </si>
  <si>
    <t>Total_HP</t>
  </si>
  <si>
    <t>Vessel_Registered_State</t>
  </si>
  <si>
    <t>Number_Of_Engines</t>
  </si>
  <si>
    <t>Gender</t>
  </si>
  <si>
    <t>Marital_Status</t>
  </si>
  <si>
    <t>License_Status</t>
  </si>
  <si>
    <t>How_Long_Licensed_In_US</t>
  </si>
  <si>
    <t>Number_Of_Years_Boating_Experience</t>
  </si>
  <si>
    <t>How_Many_Years_Owned_A_Boat</t>
  </si>
  <si>
    <t>Prior_Auto_Watercraft_Violation</t>
  </si>
  <si>
    <t>Berthing</t>
  </si>
  <si>
    <t>Marina_Building</t>
  </si>
  <si>
    <t>Vessel_In_The_Name_Of</t>
  </si>
  <si>
    <t>Ownership</t>
  </si>
  <si>
    <t>AOP_Deductible</t>
  </si>
  <si>
    <t>Personal_Effects</t>
  </si>
  <si>
    <t>Operator_Has3Yrs_Exp</t>
  </si>
  <si>
    <t>Vessel_Charted_To_Others</t>
  </si>
  <si>
    <t>Vessel_Used_For_Racing</t>
  </si>
  <si>
    <t>Vessel_Salvage_Or_Damaged</t>
  </si>
  <si>
    <t>Full_Time_Part_Time_Crew</t>
  </si>
  <si>
    <t>Vessel_Used_For_Waterskiing</t>
  </si>
  <si>
    <t>Vessel_Employ_Captain_Or_Crew</t>
  </si>
  <si>
    <t>Vessel_Existing_Damage</t>
  </si>
  <si>
    <t>Prior_Watercraft_Losses</t>
  </si>
  <si>
    <t>Operator_Prior_Incidents</t>
  </si>
  <si>
    <t>Watercraft_Prior_Losses_For_Not_Listed_Vessels</t>
  </si>
  <si>
    <t>Severe_Weather_Plan_Entail</t>
  </si>
  <si>
    <t>Review_Date</t>
  </si>
  <si>
    <t>Hull_Identification</t>
  </si>
  <si>
    <t>Year_Purchased</t>
  </si>
  <si>
    <t>What_Is_The_Vessel_Registered_State</t>
  </si>
  <si>
    <t>Hull_Material</t>
  </si>
  <si>
    <t>Hull_Design</t>
  </si>
  <si>
    <t>Engine_Type</t>
  </si>
  <si>
    <t>Max_Design_Speed</t>
  </si>
  <si>
    <t>Max_Design_Speed_GT27</t>
  </si>
  <si>
    <t>Vessel_Currently_For_Sale</t>
  </si>
  <si>
    <t>Vessel_Used_Commercially</t>
  </si>
  <si>
    <t>Operator_Type</t>
  </si>
  <si>
    <t>Driver_License_Number</t>
  </si>
  <si>
    <t>Driver_License_State</t>
  </si>
  <si>
    <t>Driver_Occupation</t>
  </si>
  <si>
    <t>Driver_Employer</t>
  </si>
  <si>
    <t>Engine_Manufacturer</t>
  </si>
  <si>
    <t>NADA_Year</t>
  </si>
  <si>
    <t>NADA_Manufacturer</t>
  </si>
  <si>
    <t>NADA_Model</t>
  </si>
  <si>
    <t>NADA_Engine</t>
  </si>
  <si>
    <t>Personal Watercraft</t>
  </si>
  <si>
    <t>Hull and Liability</t>
  </si>
  <si>
    <t>2020</t>
  </si>
  <si>
    <t>Triton</t>
  </si>
  <si>
    <t>t100</t>
  </si>
  <si>
    <t>26</t>
  </si>
  <si>
    <t>10000</t>
  </si>
  <si>
    <t>Power</t>
  </si>
  <si>
    <t>Diesel</t>
  </si>
  <si>
    <t>200</t>
  </si>
  <si>
    <t>Single</t>
  </si>
  <si>
    <t>1 - 2 Yrs.</t>
  </si>
  <si>
    <t>0-1</t>
  </si>
  <si>
    <t>Primary</t>
  </si>
  <si>
    <t>n/a</t>
  </si>
  <si>
    <t>Jonny Bravo</t>
  </si>
  <si>
    <t>Owned</t>
  </si>
  <si>
    <t>2,500</t>
  </si>
  <si>
    <t>No Hurricane Specific</t>
  </si>
  <si>
    <t>Full Time Captain - move to safe water</t>
  </si>
  <si>
    <t>3/16/2022</t>
  </si>
  <si>
    <t>Aluminium</t>
  </si>
  <si>
    <t>Monohull</t>
  </si>
  <si>
    <t>Inboard</t>
  </si>
  <si>
    <t xml:space="preserve">Less than 20 mph </t>
  </si>
  <si>
    <t>Less than 45 mph</t>
  </si>
  <si>
    <t>Primary Operator</t>
  </si>
  <si>
    <t>123</t>
  </si>
  <si>
    <t>Triton Boats</t>
  </si>
  <si>
    <t>18 C TX(**)</t>
  </si>
  <si>
    <t>4 - 7 HP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</si>
  <si>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</si>
  <si>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</si>
  <si>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</si>
  <si>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</si>
  <si>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</si>
  <si>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</si>
  <si>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</si>
  <si>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</si>
  <si>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</si>
  <si>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</si>
  <si>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</si>
  <si>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</si>
  <si>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</si>
  <si>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</si>
  <si>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</si>
  <si>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</si>
  <si>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</si>
  <si>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</si>
  <si>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</si>
  <si>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</si>
  <si>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</si>
  <si>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</si>
  <si>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</si>
  <si>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</si>
  <si>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</si>
  <si>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</si>
  <si>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</si>
  <si>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</si>
  <si>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</si>
  <si>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</si>
  <si>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</si>
  <si>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</si>
  <si>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</si>
  <si>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</si>
  <si>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</si>
  <si>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</si>
  <si>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</si>
  <si>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</si>
  <si>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Prefix</t>
  </si>
  <si>
    <t>MI</t>
  </si>
  <si>
    <t>Suffix</t>
  </si>
  <si>
    <t>High_Value_Homeowners</t>
  </si>
  <si>
    <t>Private_Fleet_Auto</t>
  </si>
  <si>
    <t>Declined_Canceled_NonRenewed</t>
  </si>
  <si>
    <t>Involved_In_Litigation</t>
  </si>
  <si>
    <t>Domestic_Employees</t>
  </si>
  <si>
    <t>Domestic_Employees_Num</t>
  </si>
  <si>
    <t>Had_An_Allegation</t>
  </si>
  <si>
    <t>How_Many_Vehicles_Owned</t>
  </si>
  <si>
    <t>License_State</t>
  </si>
  <si>
    <t>License_Number</t>
  </si>
  <si>
    <t>Additional_Operators_Num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</si>
  <si>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</si>
  <si>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</si>
  <si>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</si>
  <si>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</si>
  <si>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</si>
  <si>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</si>
  <si>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</si>
  <si>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</si>
  <si>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</si>
  <si>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</si>
  <si>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Incidents_Num</t>
  </si>
  <si>
    <t>Source</t>
  </si>
  <si>
    <t>Incident_Driver</t>
  </si>
  <si>
    <t>Accident_Or_Violation</t>
  </si>
  <si>
    <t>Accident_Or_Conviction_Date</t>
  </si>
  <si>
    <t>Additional_Insured_Num</t>
  </si>
  <si>
    <t>Additional_Insured_Type</t>
  </si>
  <si>
    <t>Additional_Insured_Name</t>
  </si>
  <si>
    <t>Additional_Insured_Street_Address</t>
  </si>
  <si>
    <t>Additional_Insured_City</t>
  </si>
  <si>
    <t>Additional_Insured_State</t>
  </si>
  <si>
    <t>Additional_Insured_Zip</t>
  </si>
  <si>
    <t>Swimming_Pool</t>
  </si>
  <si>
    <t>Dwelling_Type</t>
  </si>
  <si>
    <t>Additional_Properties_Num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</si>
  <si>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</si>
  <si>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</si>
  <si>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</si>
  <si>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</si>
  <si>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</si>
  <si>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</si>
  <si>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</si>
  <si>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Watercraft_Num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</si>
  <si>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</si>
  <si>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</si>
  <si>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</si>
  <si>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</si>
  <si>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</si>
  <si>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</si>
  <si>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Excess_Liability_Limit</t>
  </si>
  <si>
    <t>UIM_Limit</t>
  </si>
  <si>
    <t>Reject_UIM_Coverage</t>
  </si>
  <si>
    <t>Employment_Practices_Liability_Limit</t>
  </si>
  <si>
    <t>Directors_And_Officers_Liability_Limit</t>
  </si>
  <si>
    <t>Underinsured_Liability_Limit</t>
  </si>
  <si>
    <t>How_Many_Employees</t>
  </si>
  <si>
    <t>Libel_Slander_Exclusion</t>
  </si>
  <si>
    <t>Political_Activity_Exclusion</t>
  </si>
  <si>
    <t>Premises_Liability_Limitation</t>
  </si>
  <si>
    <t>Higher_Underlying_Limit</t>
  </si>
  <si>
    <t>UL_Homeowners</t>
  </si>
  <si>
    <t>UL_Auto</t>
  </si>
  <si>
    <t>UL_UIM</t>
  </si>
  <si>
    <t>UL_Watercraft</t>
  </si>
  <si>
    <t>UL_Recreational_Vehicles</t>
  </si>
  <si>
    <t>UL_Homeowners_Limit</t>
  </si>
  <si>
    <t>UL_Auto_Limit</t>
  </si>
  <si>
    <t>UL_UIM_Limit</t>
  </si>
  <si>
    <t>UL_Watercraft_Limit</t>
  </si>
  <si>
    <t>UL_Recreational_Vehicles_Limit</t>
  </si>
  <si>
    <t>Profile_Level</t>
  </si>
  <si>
    <t>Excess_Policies_As_Primary_Coverage</t>
  </si>
  <si>
    <t>Excess_Liability_Coverages_Num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</si>
  <si>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</si>
  <si>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</si>
  <si>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</si>
  <si>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</si>
  <si>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</si>
  <si>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</si>
  <si>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</si>
  <si>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</si>
  <si>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</si>
  <si>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</si>
  <si>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</si>
  <si>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</si>
  <si>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</si>
  <si>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</si>
  <si>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</si>
  <si>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High_Value_Homeowners_END</t>
  </si>
  <si>
    <t>Private_Fleet_Auto_END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</si>
  <si>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</si>
  <si>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</si>
  <si>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</si>
  <si>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</si>
  <si>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</si>
  <si>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</si>
  <si>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</si>
  <si>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</si>
  <si>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</si>
  <si>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</si>
  <si>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</si>
  <si>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</si>
  <si>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</si>
  <si>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</si>
  <si>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</si>
  <si>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</si>
  <si>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</si>
  <si>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</si>
  <si>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Incidents_Num_END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</si>
  <si>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</si>
  <si>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</si>
  <si>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</si>
  <si>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</si>
  <si>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</si>
  <si>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</si>
  <si>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</si>
  <si>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</si>
  <si>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</si>
  <si>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</si>
  <si>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</si>
  <si>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Swimming_Pool_END</t>
  </si>
  <si>
    <t>Usage_END</t>
  </si>
  <si>
    <t>Dwelling_Type_END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</si>
  <si>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</si>
  <si>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</si>
  <si>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</si>
  <si>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</si>
  <si>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</si>
  <si>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</si>
  <si>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</si>
  <si>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</si>
  <si>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</si>
  <si>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</si>
  <si>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</si>
  <si>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</si>
  <si>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</si>
  <si>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</si>
  <si>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</si>
  <si>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</si>
  <si>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</si>
  <si>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</si>
  <si>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</si>
  <si>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</si>
  <si>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</si>
  <si>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</si>
  <si>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</si>
  <si>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</si>
  <si>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</si>
  <si>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</si>
  <si>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</si>
  <si>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</si>
  <si>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</si>
  <si>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</si>
  <si>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</si>
  <si>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</si>
  <si>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</si>
  <si>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</si>
  <si>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</si>
  <si>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</si>
  <si>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</si>
  <si>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</si>
  <si>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</si>
  <si>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</si>
  <si>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</si>
  <si>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</si>
  <si>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</si>
  <si>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</si>
  <si>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</si>
  <si>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</si>
  <si>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</si>
  <si>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</si>
  <si>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</si>
  <si>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</si>
  <si>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</si>
  <si>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</si>
  <si>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</si>
  <si>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Transaction_Type_OOS</t>
  </si>
  <si>
    <t>Endorsement_Type_OOS</t>
  </si>
  <si>
    <t>Endorsement_Effective_Date_OOS</t>
  </si>
  <si>
    <t>Description_OOS</t>
  </si>
  <si>
    <t>Notes_OOS</t>
  </si>
  <si>
    <t>High_Value_Homeowners_OOS_END</t>
  </si>
  <si>
    <t>Private_Fleet_Auto_OOS_END</t>
  </si>
  <si>
    <t>Named_Insured_Type_OOS_END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</si>
  <si>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</si>
  <si>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</si>
  <si>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</si>
  <si>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</si>
  <si>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</si>
  <si>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</si>
  <si>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</si>
  <si>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</si>
  <si>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</si>
  <si>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</si>
  <si>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</si>
  <si>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</si>
  <si>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</si>
  <si>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</si>
  <si>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</si>
  <si>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</si>
  <si>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</si>
  <si>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</si>
  <si>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Incidents_Num_OOS_END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</si>
  <si>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</si>
  <si>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</si>
  <si>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</si>
  <si>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</si>
  <si>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</si>
  <si>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</si>
  <si>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</si>
  <si>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</si>
  <si>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</si>
  <si>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</si>
  <si>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</si>
  <si>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Swimming_Pool_OOS_END</t>
  </si>
  <si>
    <t>Usage_OOS_END</t>
  </si>
  <si>
    <t>Dwelling_Type_OOS_END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</si>
  <si>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</si>
  <si>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</si>
  <si>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</si>
  <si>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</si>
  <si>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</si>
  <si>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</si>
  <si>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</si>
  <si>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</si>
  <si>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</si>
  <si>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</si>
  <si>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</si>
  <si>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</si>
  <si>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</si>
  <si>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</si>
  <si>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</si>
  <si>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</si>
  <si>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</si>
  <si>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</si>
  <si>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</si>
  <si>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</si>
  <si>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</si>
  <si>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</si>
  <si>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</si>
  <si>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</si>
  <si>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</si>
  <si>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</si>
  <si>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</si>
  <si>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</si>
  <si>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</si>
  <si>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</si>
  <si>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</si>
  <si>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</si>
  <si>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</si>
  <si>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</si>
  <si>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</si>
  <si>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</si>
  <si>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</si>
  <si>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</si>
  <si>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</si>
  <si>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</si>
  <si>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</si>
  <si>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</si>
  <si>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</si>
  <si>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</si>
  <si>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</si>
  <si>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</si>
  <si>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</si>
  <si>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</si>
  <si>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</si>
  <si>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</si>
  <si>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</si>
  <si>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</si>
  <si>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</si>
  <si>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Renewal_After_Endorsement</t>
  </si>
  <si>
    <t>High_Value_Homeowners_RNW</t>
  </si>
  <si>
    <t>Private_Fleet_Auto_RNW</t>
  </si>
  <si>
    <t>Named_Insured_Type_RNW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</si>
  <si>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</si>
  <si>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</si>
  <si>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</si>
  <si>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</si>
  <si>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</si>
  <si>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</si>
  <si>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</si>
  <si>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</si>
  <si>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</si>
  <si>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</si>
  <si>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</si>
  <si>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</si>
  <si>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</si>
  <si>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</si>
  <si>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</si>
  <si>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</si>
  <si>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</si>
  <si>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</si>
  <si>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Incidents_Num_RNW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</si>
  <si>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</si>
  <si>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</si>
  <si>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</si>
  <si>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</si>
  <si>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</si>
  <si>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</si>
  <si>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</si>
  <si>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</si>
  <si>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</si>
  <si>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</si>
  <si>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</si>
  <si>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Swimming_Pool_RNW</t>
  </si>
  <si>
    <t>Usage_RNW</t>
  </si>
  <si>
    <t>Dwelling_Type_RNW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</si>
  <si>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</si>
  <si>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</si>
  <si>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</si>
  <si>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</si>
  <si>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</si>
  <si>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</si>
  <si>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</si>
  <si>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</si>
  <si>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</si>
  <si>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</si>
  <si>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</si>
  <si>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</si>
  <si>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</si>
  <si>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</si>
  <si>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</si>
  <si>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</si>
  <si>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</si>
  <si>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</si>
  <si>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</si>
  <si>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</si>
  <si>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</si>
  <si>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</si>
  <si>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</si>
  <si>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</si>
  <si>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</si>
  <si>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</si>
  <si>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</si>
  <si>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</si>
  <si>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</si>
  <si>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</si>
  <si>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</si>
  <si>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</si>
  <si>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</si>
  <si>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</si>
  <si>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</si>
  <si>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</si>
  <si>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</si>
  <si>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</si>
  <si>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</si>
  <si>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</si>
  <si>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</si>
  <si>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</si>
  <si>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</si>
  <si>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</si>
  <si>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</si>
  <si>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</si>
  <si>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</si>
  <si>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</si>
  <si>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</si>
  <si>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</si>
  <si>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</si>
  <si>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</si>
  <si>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</si>
  <si>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FL_001</t>
  </si>
  <si>
    <t>Excess Liability</t>
  </si>
  <si>
    <t>FL</t>
  </si>
  <si>
    <t>671 QUIETWATER CV</t>
  </si>
  <si>
    <t>ALTAMONTE SPRINGS</t>
  </si>
  <si>
    <t>32701</t>
  </si>
  <si>
    <t>04/04/1973</t>
  </si>
  <si>
    <t>HARRIS</t>
  </si>
  <si>
    <t>STEVE</t>
  </si>
  <si>
    <t>D308992768778</t>
  </si>
  <si>
    <t xml:space="preserve">PURE,PURE,PURE,PURE, </t>
  </si>
  <si>
    <t>Taylor Houck,Taylor Houck,Taylor Houck,Taylor Houck,</t>
  </si>
  <si>
    <t>Defective Equipment,Failure to yield,Following too close,Minor moving violation,</t>
  </si>
  <si>
    <t>01/02/2018,05/05/2019,07/26/2019,12/14/2020</t>
  </si>
  <si>
    <t>Single Family</t>
  </si>
  <si>
    <t>Single Family,</t>
  </si>
  <si>
    <t>Azimuth,</t>
  </si>
  <si>
    <t>VDX 558,</t>
  </si>
  <si>
    <t>1000000,</t>
  </si>
  <si>
    <t>20,</t>
  </si>
  <si>
    <t>280,</t>
  </si>
  <si>
    <t>&lt; 65 mph,</t>
  </si>
  <si>
    <t>1,000,000</t>
  </si>
  <si>
    <t>6 through 10</t>
  </si>
  <si>
    <t>PURE,</t>
  </si>
  <si>
    <t>Vehicular homicide,</t>
  </si>
  <si>
    <t>09/08/2018,</t>
  </si>
  <si>
    <t>Azimuth, Kavasaky</t>
  </si>
  <si>
    <t>VDX 558, 887-XXX</t>
  </si>
  <si>
    <t>1000000, 500000</t>
  </si>
  <si>
    <t>20, 30</t>
  </si>
  <si>
    <t>280, 420</t>
  </si>
  <si>
    <t>&lt; 65 mph, &lt; 65 mph</t>
  </si>
  <si>
    <t>500,000</t>
  </si>
  <si>
    <t>16 plus</t>
  </si>
  <si>
    <t>08/09/2021</t>
  </si>
  <si>
    <t>DC</t>
  </si>
  <si>
    <t>123456</t>
  </si>
  <si>
    <t>887 Just for Me AVe,</t>
  </si>
  <si>
    <t>Sacramento,</t>
  </si>
  <si>
    <t>CA,</t>
  </si>
  <si>
    <t>95833,</t>
  </si>
  <si>
    <t>No,</t>
  </si>
  <si>
    <t>Secondary,</t>
  </si>
  <si>
    <t>Collections / Policy Information</t>
  </si>
  <si>
    <t>Collections / Name Insured</t>
  </si>
  <si>
    <t>Collections / Insurance Information</t>
  </si>
  <si>
    <t>Collections / Risk Location Characteristic</t>
  </si>
  <si>
    <t>Coverage By Class / worldwide jewlery</t>
  </si>
  <si>
    <t>Coverage By Class / bank vaulted jewlery</t>
  </si>
  <si>
    <t>Coverage By Class / fine arts_collectibles</t>
  </si>
  <si>
    <t>Coverage By Class / collectibles</t>
  </si>
  <si>
    <t>Coverage By Class / Coins, Silver, Stamps, Furs</t>
  </si>
  <si>
    <t>Coverage By Class / wine</t>
  </si>
  <si>
    <t>Coverage By Class / Misc Valuable Items</t>
  </si>
  <si>
    <t>Coverage Schedule / worldwide jewelry</t>
  </si>
  <si>
    <t>Coverage Schedule / bank vaulted jewelry</t>
  </si>
  <si>
    <t>Coverage Schedule / fine arts/collectibles</t>
  </si>
  <si>
    <t>Coverage Schedule / collectibles</t>
  </si>
  <si>
    <t>Coverage Schedule / coins, silver, stamps, furs</t>
  </si>
  <si>
    <t>Coverage Schedule / wine</t>
  </si>
  <si>
    <t>Coverage Schedule / Miscellaneous Valuable Items</t>
  </si>
  <si>
    <t>Previous Claims/Loss history</t>
  </si>
  <si>
    <t>Reports / Wildfire Threat</t>
  </si>
  <si>
    <t>Additional Binding Information</t>
  </si>
  <si>
    <t>NI_Count</t>
  </si>
  <si>
    <t>NI_Name_Insured</t>
  </si>
  <si>
    <t>NI_First_Name</t>
  </si>
  <si>
    <t>NI_Last_Name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</si>
  <si>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</si>
  <si>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</si>
  <si>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</si>
  <si>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</si>
  <si>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</si>
  <si>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</si>
  <si>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</si>
  <si>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</si>
  <si>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</si>
  <si>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</si>
  <si>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No_Floors_Risk_Location</t>
  </si>
  <si>
    <t>Located_On_Grade_That_Is_20</t>
  </si>
  <si>
    <t>Supported_By_Stilts_Posts</t>
  </si>
  <si>
    <t>Automatic_Seismic_Shut_Off</t>
  </si>
  <si>
    <t>Total_Scheduled_Jewelry</t>
  </si>
  <si>
    <t>Total_Blanket_Jewelry</t>
  </si>
  <si>
    <t>Worldwide_Blanket_Single_Article_Limit_Amt</t>
  </si>
  <si>
    <t>SJC_HVI_Value</t>
  </si>
  <si>
    <t>SJC_Item_Description</t>
  </si>
  <si>
    <t>SJC_Has_Appraised_2_Years</t>
  </si>
  <si>
    <t>SJC_Keep_Jewelry_Home_Safe</t>
  </si>
  <si>
    <t>SJC_Make_of_Vault_Safe</t>
  </si>
  <si>
    <t>SJC_Vault_Safe_Bolted_Ground</t>
  </si>
  <si>
    <t>SJC_Would_Like_Add_Credit</t>
  </si>
  <si>
    <t>SJC_Amount_Jewelry_Out_Of_Home</t>
  </si>
  <si>
    <t>SJC_Model_of_Vault_Safe</t>
  </si>
  <si>
    <t>Total_Scheduled_Jewelry_BVC</t>
  </si>
  <si>
    <t>SJBVC_HVI_Value</t>
  </si>
  <si>
    <t>SJBVC_Item_Description</t>
  </si>
  <si>
    <t>SJBVC_Has_Appraised_2_Years</t>
  </si>
  <si>
    <t>SJBVC_Insuring_Entire_JC_Curr_Val</t>
  </si>
  <si>
    <t>Total_Scheduled_FACC</t>
  </si>
  <si>
    <t>Total_Blanket_FACC</t>
  </si>
  <si>
    <t>Fine_Art_Blanket_Single_Article_Limit_Amt</t>
  </si>
  <si>
    <t>FACC_HVI_Value</t>
  </si>
  <si>
    <t>FACC_Item_Description</t>
  </si>
  <si>
    <t>FACC_Has_Appraised_2_Years</t>
  </si>
  <si>
    <t>FACC_Member_Insuring_Entire_Fine_Arts</t>
  </si>
  <si>
    <t>Fine_Arts_Earthquake</t>
  </si>
  <si>
    <t>FA_EQ_Deductible_Override</t>
  </si>
  <si>
    <t>Total_Scheduled_CC</t>
  </si>
  <si>
    <t>Total_Blanket_CC</t>
  </si>
  <si>
    <t>CC_HVI_Value</t>
  </si>
  <si>
    <t>CC_Item_Description</t>
  </si>
  <si>
    <t>CC_Has_Appraised_2_Years</t>
  </si>
  <si>
    <t>CC_Member_Insuring_Entire_Fine_Arts</t>
  </si>
  <si>
    <t>Total_Scheduled_CSSF</t>
  </si>
  <si>
    <t>Total_Blanket_CSSF</t>
  </si>
  <si>
    <t>Coins_Stamps_Blanket_Single_Article_Limit_Amt</t>
  </si>
  <si>
    <t>CSSF_HVI_Value</t>
  </si>
  <si>
    <t>CSSF_Item_Description</t>
  </si>
  <si>
    <t>CSSF_Has_Appraised_2_Years</t>
  </si>
  <si>
    <t>CSSF_Member_Insuring_Coins_Silver_S_F</t>
  </si>
  <si>
    <t>Total_Scheduled_Wine</t>
  </si>
  <si>
    <t>Total_Blanket_Wine</t>
  </si>
  <si>
    <t>Wine_Blanket_Single_Article_Limit_Amt</t>
  </si>
  <si>
    <t>Wine_HVI_Value</t>
  </si>
  <si>
    <t>Wine_Item_Description</t>
  </si>
  <si>
    <t>Wine_Have_Temperature_Alarm</t>
  </si>
  <si>
    <t>Wine_Has_Appraised_2_Years</t>
  </si>
  <si>
    <t>Wine_Insurance_Amount_Represent_Curr_Value</t>
  </si>
  <si>
    <t>Total_Scheduled_Misc_Val_Items</t>
  </si>
  <si>
    <t>WWJ_Count</t>
  </si>
  <si>
    <t>WWJ_Desc_Of_Item</t>
  </si>
  <si>
    <t>WWJ_Limit_Of_Item</t>
  </si>
  <si>
    <t>WWJ_Agreed_Value</t>
  </si>
  <si>
    <t>WWJ_Appraisal_Date</t>
  </si>
  <si>
    <t>BVJ_Count</t>
  </si>
  <si>
    <t>BVJ_Desc_Of_Item</t>
  </si>
  <si>
    <t>BVJ_Limit_Of_Item</t>
  </si>
  <si>
    <t>BVJ_Agreed_Value</t>
  </si>
  <si>
    <t>BVJ_Appraisal_Date</t>
  </si>
  <si>
    <t>FAC_Count</t>
  </si>
  <si>
    <t>FAC_Desc_Of_Item</t>
  </si>
  <si>
    <t>FAC_Limit_Of_Item</t>
  </si>
  <si>
    <t>FAC_Agreed_Value</t>
  </si>
  <si>
    <t>FAC_Appraisal_Date</t>
  </si>
  <si>
    <t>CC_Count</t>
  </si>
  <si>
    <t>CC_Desc_Of_Item</t>
  </si>
  <si>
    <t>CC_Limit_Of_Item</t>
  </si>
  <si>
    <t>CC_Agreed_Value</t>
  </si>
  <si>
    <t>CC_Appraisal_Date</t>
  </si>
  <si>
    <t>CSSF_Count</t>
  </si>
  <si>
    <t>CSSF_Desc_Of_Item</t>
  </si>
  <si>
    <t>CSSF_Limit_Of_Item</t>
  </si>
  <si>
    <t>CSSF_Agreed_Value</t>
  </si>
  <si>
    <t>CSSF_Appraisal_Date</t>
  </si>
  <si>
    <t>Wine_Count</t>
  </si>
  <si>
    <t>Wine_Desc_Of_Item</t>
  </si>
  <si>
    <t>Wine_Limit_Of_Item</t>
  </si>
  <si>
    <t>Wine_Agreed_Value</t>
  </si>
  <si>
    <t>Wine_Appraisal_Date</t>
  </si>
  <si>
    <t>MVI_Count</t>
  </si>
  <si>
    <t>MVI_Desc_Of_Item</t>
  </si>
  <si>
    <t>MVI_Limit_Of_Item</t>
  </si>
  <si>
    <t>MVI_Agreed_Value</t>
  </si>
  <si>
    <t>MVI_Appraisal_Date</t>
  </si>
  <si>
    <t>TX_001</t>
  </si>
  <si>
    <t>04/10/2023</t>
  </si>
  <si>
    <t>Collection</t>
  </si>
  <si>
    <t>TX</t>
  </si>
  <si>
    <t>4501 S IH 35 Frontage Rd</t>
  </si>
  <si>
    <t>Austin</t>
  </si>
  <si>
    <t>78744</t>
  </si>
  <si>
    <t>Automation</t>
  </si>
  <si>
    <t>CO Row 32</t>
  </si>
  <si>
    <t>,New Person, Jonny Bravo,  New Person</t>
  </si>
  <si>
    <t>,Andrija,,Maco</t>
  </si>
  <si>
    <t>,Otasevic,,Polo</t>
  </si>
  <si>
    <t>AIG</t>
  </si>
  <si>
    <t>100000</t>
  </si>
  <si>
    <t>70000</t>
  </si>
  <si>
    <t>Chain</t>
  </si>
  <si>
    <t>Lock</t>
  </si>
  <si>
    <t>m01</t>
  </si>
  <si>
    <t>Jewels</t>
  </si>
  <si>
    <t>Test Description</t>
  </si>
  <si>
    <t>5000</t>
  </si>
  <si>
    <t>Wine Test Description</t>
  </si>
  <si>
    <t>Description 1,Description 2</t>
  </si>
  <si>
    <t>70000,30000</t>
  </si>
  <si>
    <t>Yes,Yes</t>
  </si>
  <si>
    <t>10/10/2021,09/10/2021</t>
  </si>
  <si>
    <t>Description 1</t>
  </si>
  <si>
    <t>10/13/2021</t>
  </si>
  <si>
    <t>Description MVI</t>
  </si>
  <si>
    <t>04/11/2023</t>
  </si>
  <si>
    <t>Initiate Quote HS</t>
  </si>
  <si>
    <t>HS / Policy Information</t>
  </si>
  <si>
    <t>HS / Insurance Information</t>
  </si>
  <si>
    <t>HS / Risk Addresses</t>
  </si>
  <si>
    <t>HS / Liability Coverages</t>
  </si>
  <si>
    <t>HS / Usage</t>
  </si>
  <si>
    <t>HS / Construction Details</t>
  </si>
  <si>
    <t>HS / Wind Mitigation</t>
  </si>
  <si>
    <t>HS / Protection</t>
  </si>
  <si>
    <t>HS / Flood</t>
  </si>
  <si>
    <t>Optional Coverages / Excess Flood</t>
  </si>
  <si>
    <t>Previous Claim/Losses / loss/claim history</t>
  </si>
  <si>
    <t>Member Information / Member Information</t>
  </si>
  <si>
    <t>Member Information / Appraisal Information</t>
  </si>
  <si>
    <t>Collections Coverage / Collections</t>
  </si>
  <si>
    <t>Collections Coverage / Worldwide Jewelry</t>
  </si>
  <si>
    <t>Collections Schedule / Worldwide Jewelry</t>
  </si>
  <si>
    <t>Collections Coverage / Bank Vaulted Jewelry</t>
  </si>
  <si>
    <t>Earthquake / Earthquake Coverage Options</t>
  </si>
  <si>
    <t>Underwriter</t>
  </si>
  <si>
    <t>Quote_Name</t>
  </si>
  <si>
    <t>Current_HO_Insurance_Company</t>
  </si>
  <si>
    <t>Roof_Shape_RS</t>
  </si>
  <si>
    <t>Roof_Covering_RS</t>
  </si>
  <si>
    <t>Flood_Zone</t>
  </si>
  <si>
    <t>Include_Excess_Flood</t>
  </si>
  <si>
    <t>Flood_Dec_Page_Received</t>
  </si>
  <si>
    <t>Member_Of_Your_Household_Media</t>
  </si>
  <si>
    <t>Add_CO_To_Home_Policy</t>
  </si>
  <si>
    <t>Co_Hurricane_Deductible</t>
  </si>
  <si>
    <t>Worldwide_Jewelry</t>
  </si>
  <si>
    <t>Bank_Vaulted_Jewelry</t>
  </si>
  <si>
    <t>Fine_Arts</t>
  </si>
  <si>
    <t>Collectibles</t>
  </si>
  <si>
    <t>CSSFMI</t>
  </si>
  <si>
    <t>Wine</t>
  </si>
  <si>
    <t>Miscellaneous_Valuable_Items</t>
  </si>
  <si>
    <t>WWJ_Description</t>
  </si>
  <si>
    <t>WWJ_Limit_Of_Items</t>
  </si>
  <si>
    <t>Surplus</t>
  </si>
  <si>
    <t>Home Surplus Lines</t>
  </si>
  <si>
    <t>1815 E West Pkwy</t>
  </si>
  <si>
    <t>Fleming Island</t>
  </si>
  <si>
    <t>32003</t>
  </si>
  <si>
    <t>Karie Roth</t>
  </si>
  <si>
    <t>HS Row 13</t>
  </si>
  <si>
    <t>Automation HS Row 12</t>
  </si>
  <si>
    <t>50000</t>
  </si>
  <si>
    <t>5%</t>
  </si>
  <si>
    <t>300000</t>
  </si>
  <si>
    <t>30 days or less</t>
  </si>
  <si>
    <t>4</t>
  </si>
  <si>
    <t>500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</si>
  <si>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</si>
  <si>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</si>
  <si>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</si>
  <si>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</si>
  <si>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</si>
  <si>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</si>
  <si>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</si>
  <si>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AOT</t>
  </si>
  <si>
    <t>aot@aot.com</t>
  </si>
  <si>
    <t>1231231231</t>
  </si>
  <si>
    <t>10%</t>
  </si>
  <si>
    <t>Item Description</t>
  </si>
  <si>
    <t>WWJ Description</t>
  </si>
  <si>
    <t>Initiate Quote ES</t>
  </si>
  <si>
    <t>ES / Policy Information</t>
  </si>
  <si>
    <t>ES / Insurance Information</t>
  </si>
  <si>
    <t>ES / Operator Information / Additional Operators</t>
  </si>
  <si>
    <t>ES / Operator Information / auto CLUE reports</t>
  </si>
  <si>
    <t>ES / Property Information / Property Information</t>
  </si>
  <si>
    <t>ES / Member Information / Member Information</t>
  </si>
  <si>
    <t>ES / Select Coverages / Liability Limits</t>
  </si>
  <si>
    <t>Current_ES_Insurance_Company</t>
  </si>
  <si>
    <t>Household_Members</t>
  </si>
  <si>
    <t>Household_Locations</t>
  </si>
  <si>
    <t>Is_Residence_Rented</t>
  </si>
  <si>
    <t>Household_Involved_Litigation</t>
  </si>
  <si>
    <t>Household_Allegation</t>
  </si>
  <si>
    <t>Expanded_Defense</t>
  </si>
  <si>
    <t>145 E 39th St</t>
  </si>
  <si>
    <t>New York</t>
  </si>
  <si>
    <t>10016</t>
  </si>
  <si>
    <t>ES Row 1</t>
  </si>
  <si>
    <t>Automation ES Row 1</t>
  </si>
  <si>
    <t>999999</t>
  </si>
  <si>
    <t>50,000</t>
  </si>
  <si>
    <t>Additional_Location_ID</t>
  </si>
  <si>
    <t>Additional Operator</t>
  </si>
  <si>
    <t>Additional_Operator_DriverStatus</t>
  </si>
  <si>
    <t>Additional_Operator_NonDriverReason</t>
  </si>
  <si>
    <t>Additional_Operator_Gender</t>
  </si>
  <si>
    <t>Additional_Operator_Marital_Status</t>
  </si>
  <si>
    <t>Additional_Operator_License_Status</t>
  </si>
  <si>
    <t>Additional_Operator_How_Long_Licensed_In_US</t>
  </si>
  <si>
    <t>Additional_Operators_Highest_Level_Education_Complete</t>
  </si>
  <si>
    <t>Additional_Operator_SR-22</t>
  </si>
  <si>
    <t>Additional_Operator_Licensed_In_Another_State</t>
  </si>
  <si>
    <t>Additional_Operator_Prior_Licensed_State</t>
  </si>
  <si>
    <t>Additional_Operator_Prior_Licensed_Number</t>
  </si>
  <si>
    <t>Additional_Operator_Occupation</t>
  </si>
  <si>
    <t>Additional_Operator_3_Or_More_Months_Out_Of_State</t>
  </si>
  <si>
    <t>Additional_Operator_First_Year_Licensed</t>
  </si>
  <si>
    <t>Additional_Operator_Has_License_Been_Suspended</t>
  </si>
  <si>
    <t>Additional_Operator_Has_License_Elapsed</t>
  </si>
  <si>
    <t>Additional_Operator_Driver_How_Long_Licensed_In_US</t>
  </si>
  <si>
    <t>Additional_Operator_Accident_Prevention_Course</t>
  </si>
  <si>
    <t>Additional_Operator_Defensive_Driving_Course</t>
  </si>
  <si>
    <t>Additional_Operator_Defensive_Driving_Course_Date</t>
  </si>
  <si>
    <t>Additional_Operator_Military_Personnel</t>
  </si>
  <si>
    <t>Additional_Operator_Assigned_To_Another_Vehicle</t>
  </si>
  <si>
    <t>Additional_Operator_Is_Home_Located_In_RI</t>
  </si>
  <si>
    <t>Additional_Operator_Highway_Traffic_Safety</t>
  </si>
  <si>
    <t>Additional_Operator_Training_Course_Completed</t>
  </si>
  <si>
    <t>Additional_Operator_Training_Course_Completed_Date</t>
  </si>
  <si>
    <t>Additional_Operator_Current_Grade_Average_B_Or_Better</t>
  </si>
  <si>
    <t>Additional_Operator_Incidents</t>
  </si>
  <si>
    <t>Additional_Operator_Incidents_END</t>
  </si>
  <si>
    <t>Incident_ID</t>
  </si>
  <si>
    <t>Driver_Incident_Source</t>
  </si>
  <si>
    <t>Driver_Accident_Or_Violation</t>
  </si>
  <si>
    <t>Driver_Accident_Or_Conviction_Date</t>
  </si>
  <si>
    <t>Additional Vehicle</t>
  </si>
  <si>
    <t>Vehicle_ID</t>
  </si>
  <si>
    <t>Vehicle_Type</t>
  </si>
  <si>
    <t>Vehicle_Year</t>
  </si>
  <si>
    <t>Vehicle_Make</t>
  </si>
  <si>
    <t>Vehicle_Model</t>
  </si>
  <si>
    <t>Vehicle_ShortVIN</t>
  </si>
  <si>
    <t>Vehicle_VIN</t>
  </si>
  <si>
    <t>Vehicle_TrimLevel</t>
  </si>
  <si>
    <t>Vehicle_VINOverride</t>
  </si>
  <si>
    <t>Custom_Additional_Equipment_To_Be_Insured</t>
  </si>
  <si>
    <t>Custom_Additional_Equipment_Coverage</t>
  </si>
  <si>
    <t>Vehicle_Kept_In_Garage</t>
  </si>
  <si>
    <t>Vehicle_Registered_In</t>
  </si>
  <si>
    <t>Vacation_Use</t>
  </si>
  <si>
    <t>Vehicle_Use</t>
  </si>
  <si>
    <t>Pure_Direct_Repair_Program</t>
  </si>
  <si>
    <t>Premium_Town_Code</t>
  </si>
  <si>
    <t>Snowbird_Vehicle</t>
  </si>
  <si>
    <t>Another_Vehicle_Insured_By_PURE</t>
  </si>
  <si>
    <t>Estimated_Annual_Mileage</t>
  </si>
  <si>
    <t>Annual_Mileage</t>
  </si>
  <si>
    <t>Mileage_Band_Year</t>
  </si>
  <si>
    <t>ABS</t>
  </si>
  <si>
    <t>Airbag</t>
  </si>
  <si>
    <t>VIN_Etching</t>
  </si>
  <si>
    <t>Vehicle_Recovery</t>
  </si>
  <si>
    <t>Disabling_Device</t>
  </si>
  <si>
    <t>Disabling_Device_Status</t>
  </si>
  <si>
    <t>Current_Term_Override</t>
  </si>
  <si>
    <t>Current_Term_Override_Value</t>
  </si>
  <si>
    <t>Motorcycle_Accident_Prevention</t>
  </si>
  <si>
    <t>Motorcycle_Training_Course</t>
  </si>
  <si>
    <t>Motorcycle_Training_Course_Completed_Date</t>
  </si>
  <si>
    <t>Year_First_Licensed_To_Operate_Motorcycle</t>
  </si>
  <si>
    <t>Stated_Amount</t>
  </si>
  <si>
    <t>Auxiliary_Lighting_Discount</t>
  </si>
  <si>
    <t>Driven_By</t>
  </si>
  <si>
    <t>Cost_New</t>
  </si>
  <si>
    <t>Engine_Size</t>
  </si>
  <si>
    <t>Agreed_Value_Of_Vehicle</t>
  </si>
  <si>
    <t>Vehicle_Purchased_New</t>
  </si>
  <si>
    <t>Vehicle_Titled_In_The_Name</t>
  </si>
  <si>
    <t>Additional_Name_On_The_ID</t>
  </si>
  <si>
    <t>Liability_Symbol</t>
  </si>
  <si>
    <t>MP_Symbol</t>
  </si>
  <si>
    <t>COLL_Symbol</t>
  </si>
  <si>
    <t>COMP_Symbol</t>
  </si>
  <si>
    <t>COMP_Deductible</t>
  </si>
  <si>
    <t>COLL_Deductible</t>
  </si>
  <si>
    <t>COLL_Option</t>
  </si>
  <si>
    <t>OTC_Deductible</t>
  </si>
  <si>
    <t>Medical_Payment</t>
  </si>
  <si>
    <t>Waiver_Of_COLL_Ded</t>
  </si>
  <si>
    <t>UMPD_Deductible</t>
  </si>
  <si>
    <t>Towing_Labor_Limit</t>
  </si>
  <si>
    <t>Additional_Operator_ID</t>
  </si>
  <si>
    <t>CA_001_Vehicle_001</t>
  </si>
  <si>
    <t>Private Passenger</t>
  </si>
  <si>
    <t>2019</t>
  </si>
  <si>
    <t>Acura</t>
  </si>
  <si>
    <t>RDX</t>
  </si>
  <si>
    <t>5J8TC2H37KL011921</t>
  </si>
  <si>
    <t>Pleasure</t>
  </si>
  <si>
    <t>ACTON - 630</t>
  </si>
  <si>
    <t>0 - 3,000</t>
  </si>
  <si>
    <t>Passive</t>
  </si>
  <si>
    <t>20000</t>
  </si>
  <si>
    <t>1,000</t>
  </si>
  <si>
    <t>Standard</t>
  </si>
  <si>
    <t>$500 w/Full Glass</t>
  </si>
  <si>
    <t>350</t>
  </si>
  <si>
    <t>NY_001_Vehicle_001</t>
  </si>
  <si>
    <t>Home Course of Construction</t>
  </si>
  <si>
    <t>Initiate Quote CC</t>
  </si>
  <si>
    <t>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</si>
</sst>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0">
    <xf numFmtId="0" fontId="0" fillId="0" borderId="0" xfId="0"/>
    <xf numFmtId="49" fontId="2" fillId="2" borderId="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49" fontId="3" fillId="2" borderId="3" xfId="0" applyNumberFormat="1" applyFont="1" applyFill="1" applyBorder="1" applyAlignment="1">
      <alignment horizontal="left" vertical="top"/>
    </xf>
    <xf numFmtId="49" fontId="3" fillId="2" borderId="2" xfId="0" applyNumberFormat="1" applyFont="1" applyFill="1" applyBorder="1" applyAlignment="1">
      <alignment horizontal="left" vertical="top"/>
    </xf>
    <xf numFmtId="49" fontId="2" fillId="2" borderId="4" xfId="0" applyNumberFormat="1" applyFont="1" applyFill="1" applyBorder="1" applyAlignment="1">
      <alignment horizontal="left" vertical="top"/>
    </xf>
    <xf numFmtId="49" fontId="4" fillId="4" borderId="5" xfId="0" applyNumberFormat="1" applyFont="1" applyFill="1" applyBorder="1" applyAlignment="1">
      <alignment horizontal="left" vertical="top"/>
    </xf>
    <xf numFmtId="49" fontId="4" fillId="4" borderId="6" xfId="0" applyNumberFormat="1" applyFont="1" applyFill="1" applyBorder="1" applyAlignment="1">
      <alignment horizontal="left" vertical="top"/>
    </xf>
    <xf numFmtId="49" fontId="4" fillId="4" borderId="7" xfId="0" applyNumberFormat="1" applyFont="1" applyFill="1" applyBorder="1" applyAlignment="1">
      <alignment horizontal="left" vertical="top"/>
    </xf>
    <xf numFmtId="49" fontId="6" fillId="4" borderId="6" xfId="2" applyNumberFormat="1" applyFont="1" applyFill="1" applyBorder="1" applyAlignment="1">
      <alignment horizontal="left" vertical="top"/>
    </xf>
    <xf numFmtId="0" fontId="4" fillId="4" borderId="6" xfId="0" applyNumberFormat="1" applyFont="1" applyFill="1" applyBorder="1" applyAlignment="1">
      <alignment horizontal="left" vertical="top"/>
    </xf>
    <xf numFmtId="49" fontId="4" fillId="5" borderId="5" xfId="0" applyNumberFormat="1" applyFont="1" applyFill="1" applyBorder="1" applyAlignment="1">
      <alignment horizontal="left" vertical="top"/>
    </xf>
    <xf numFmtId="49" fontId="4" fillId="5" borderId="6" xfId="0" applyNumberFormat="1" applyFont="1" applyFill="1" applyBorder="1" applyAlignment="1">
      <alignment horizontal="left" vertical="top"/>
    </xf>
    <xf numFmtId="49" fontId="6" fillId="5" borderId="6" xfId="2" applyNumberFormat="1" applyFont="1" applyFill="1" applyBorder="1" applyAlignment="1">
      <alignment horizontal="left" vertical="top"/>
    </xf>
    <xf numFmtId="0" fontId="4" fillId="5" borderId="6" xfId="0" applyNumberFormat="1" applyFont="1" applyFill="1" applyBorder="1" applyAlignment="1">
      <alignment horizontal="left" vertical="top"/>
    </xf>
    <xf numFmtId="14" fontId="4" fillId="5" borderId="6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14" fontId="4" fillId="4" borderId="6" xfId="0" applyNumberFormat="1" applyFont="1" applyFill="1" applyBorder="1" applyAlignment="1">
      <alignment horizontal="left" vertical="top"/>
    </xf>
    <xf numFmtId="43" fontId="3" fillId="2" borderId="2" xfId="1" applyFont="1" applyFill="1" applyBorder="1" applyAlignment="1">
      <alignment horizontal="left" vertical="top"/>
    </xf>
    <xf numFmtId="49" fontId="4" fillId="5" borderId="6" xfId="0" quotePrefix="1" applyNumberFormat="1" applyFont="1" applyFill="1" applyBorder="1" applyAlignment="1">
      <alignment horizontal="left" vertical="top"/>
    </xf>
    <xf numFmtId="43" fontId="4" fillId="5" borderId="6" xfId="1" applyFont="1" applyFill="1" applyBorder="1" applyAlignment="1">
      <alignment horizontal="left" vertical="top"/>
    </xf>
    <xf numFmtId="164" fontId="3" fillId="2" borderId="3" xfId="0" applyNumberFormat="1" applyFont="1" applyFill="1" applyBorder="1" applyAlignment="1">
      <alignment horizontal="left" vertical="top"/>
    </xf>
    <xf numFmtId="49" fontId="2" fillId="2" borderId="8" xfId="0" applyNumberFormat="1" applyFont="1" applyFill="1" applyBorder="1" applyAlignment="1">
      <alignment horizontal="left" vertical="top"/>
    </xf>
    <xf numFmtId="49" fontId="4" fillId="5" borderId="9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 vertical="top"/>
    </xf>
    <xf numFmtId="0" fontId="4" fillId="5" borderId="7" xfId="0" applyNumberFormat="1" applyFont="1" applyFill="1" applyBorder="1" applyAlignment="1">
      <alignment horizontal="left" vertical="top"/>
    </xf>
    <xf numFmtId="49" fontId="6" fillId="5" borderId="7" xfId="2" applyNumberFormat="1" applyFont="1" applyFill="1" applyBorder="1" applyAlignment="1">
      <alignment horizontal="left" vertical="top"/>
    </xf>
    <xf numFmtId="49" fontId="4" fillId="6" borderId="5" xfId="0" applyNumberFormat="1" applyFont="1" applyFill="1" applyBorder="1" applyAlignment="1">
      <alignment horizontal="left" vertical="top"/>
    </xf>
    <xf numFmtId="49" fontId="4" fillId="6" borderId="6" xfId="0" applyNumberFormat="1" applyFont="1" applyFill="1" applyBorder="1" applyAlignment="1">
      <alignment horizontal="left" vertical="top"/>
    </xf>
    <xf numFmtId="49" fontId="2" fillId="6" borderId="4" xfId="0" applyNumberFormat="1" applyFont="1" applyFill="1" applyBorder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/>
    </xf>
    <xf numFmtId="49" fontId="2" fillId="7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49" fontId="4" fillId="5" borderId="9" xfId="0" applyNumberFormat="1" applyFont="1" applyFill="1" applyBorder="1" applyAlignment="1">
      <alignment horizontal="center" vertical="top"/>
    </xf>
    <xf numFmtId="49" fontId="4" fillId="5" borderId="7" xfId="0" applyNumberFormat="1" applyFont="1" applyFill="1" applyBorder="1" applyAlignment="1">
      <alignment horizontal="center" vertical="top"/>
    </xf>
    <xf numFmtId="0" fontId="4" fillId="5" borderId="7" xfId="0" applyFont="1" applyFill="1" applyBorder="1" applyAlignment="1">
      <alignment vertical="top"/>
    </xf>
    <xf numFmtId="49" fontId="4" fillId="4" borderId="9" xfId="0" applyNumberFormat="1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  <xf numFmtId="0" fontId="4" fillId="6" borderId="7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49" fontId="4" fillId="4" borderId="9" xfId="0" applyNumberFormat="1" applyFont="1" applyFill="1" applyBorder="1" applyAlignment="1">
      <alignment horizontal="left"/>
    </xf>
    <xf numFmtId="49" fontId="4" fillId="4" borderId="7" xfId="0" applyNumberFormat="1" applyFont="1" applyFill="1" applyBorder="1" applyAlignment="1">
      <alignment horizontal="left"/>
    </xf>
    <xf numFmtId="49" fontId="4" fillId="4" borderId="7" xfId="0" quotePrefix="1" applyNumberFormat="1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 vertical="top"/>
    </xf>
    <xf numFmtId="49" fontId="9" fillId="3" borderId="2" xfId="0" applyNumberFormat="1" applyFont="1" applyFill="1" applyBorder="1" applyAlignment="1">
      <alignment horizontal="left" vertical="top"/>
    </xf>
  </cellXfs>
  <cellStyles count="3">
    <cellStyle name="Comma" xfId="1" builtinId="3"/>
    <cellStyle name="Hyperlink" xfId="2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N4"/>
  <sheetViews>
    <sheetView tabSelected="1" workbookViewId="0">
      <selection activeCell="C14" sqref="C14"/>
    </sheetView>
  </sheetViews>
  <sheetFormatPr defaultRowHeight="15" x14ac:dyDescent="0.25"/>
  <cols>
    <col min="1" max="1" width="8.28515625" bestFit="1" customWidth="1"/>
    <col min="2" max="2" width="15.28515625" bestFit="1" customWidth="1"/>
    <col min="3" max="3" width="22.7109375" bestFit="1" customWidth="1"/>
    <col min="4" max="4" width="15.5703125" bestFit="1" customWidth="1"/>
    <col min="5" max="5" width="9.5703125" bestFit="1" customWidth="1"/>
    <col min="6" max="6" width="6.140625" bestFit="1" customWidth="1"/>
    <col min="7" max="7" width="20.5703125" bestFit="1" customWidth="1"/>
    <col min="8" max="8" width="15.85546875" bestFit="1" customWidth="1"/>
    <col min="9" max="9" width="10" bestFit="1" customWidth="1"/>
    <col min="10" max="10" width="15.140625" bestFit="1" customWidth="1"/>
    <col min="11" max="11" width="38" bestFit="1" customWidth="1"/>
    <col min="12" max="12" width="25.28515625" bestFit="1" customWidth="1"/>
    <col min="13" max="13" width="20.85546875" bestFit="1" customWidth="1"/>
    <col min="14" max="14" width="21.140625" bestFit="1" customWidth="1"/>
    <col min="15" max="15" width="17.85546875" bestFit="1" customWidth="1"/>
    <col min="16" max="16" width="12" bestFit="1" customWidth="1"/>
    <col min="17" max="17" width="11.7109375" bestFit="1" customWidth="1"/>
    <col min="18" max="18" width="22.140625" bestFit="1" customWidth="1"/>
    <col min="19" max="19" width="20" bestFit="1" customWidth="1"/>
    <col min="20" max="20" width="16.7109375" bestFit="1" customWidth="1"/>
    <col min="21" max="21" width="20.85546875" bestFit="1" customWidth="1"/>
    <col min="22" max="22" width="20.5703125" bestFit="1" customWidth="1"/>
    <col min="23" max="23" width="16.7109375" bestFit="1" customWidth="1"/>
    <col min="24" max="24" width="19.28515625" bestFit="1" customWidth="1"/>
    <col min="25" max="25" width="18.28515625" bestFit="1" customWidth="1"/>
    <col min="26" max="26" width="9.7109375" bestFit="1" customWidth="1"/>
    <col min="27" max="27" width="13.140625" bestFit="1" customWidth="1"/>
    <col min="28" max="28" width="10.28515625" bestFit="1" customWidth="1"/>
    <col min="29" max="29" width="10.42578125" bestFit="1" customWidth="1"/>
    <col min="30" max="30" width="20" bestFit="1" customWidth="1"/>
    <col min="31" max="31" width="15.5703125" bestFit="1" customWidth="1"/>
    <col min="32" max="32" width="31.42578125" bestFit="1" customWidth="1"/>
    <col min="33" max="33" width="29" bestFit="1" customWidth="1"/>
    <col min="34" max="34" width="26.5703125" bestFit="1" customWidth="1"/>
    <col min="35" max="35" width="11.5703125" bestFit="1" customWidth="1"/>
    <col min="36" max="36" width="24.140625" bestFit="1" customWidth="1"/>
    <col min="37" max="37" width="19.5703125" bestFit="1" customWidth="1"/>
    <col min="38" max="38" width="36.85546875" bestFit="1" customWidth="1"/>
    <col min="39" max="39" width="22.7109375" bestFit="1" customWidth="1"/>
    <col min="40" max="40" width="20.42578125" bestFit="1" customWidth="1"/>
    <col min="41" max="41" width="28" bestFit="1" customWidth="1"/>
    <col min="42" max="42" width="24.7109375" bestFit="1" customWidth="1"/>
    <col min="43" max="43" width="25.5703125" bestFit="1" customWidth="1"/>
    <col min="44" max="44" width="24.85546875" bestFit="1" customWidth="1"/>
    <col min="45" max="45" width="6.7109375" bestFit="1" customWidth="1"/>
    <col min="46" max="46" width="30.42578125" bestFit="1" customWidth="1"/>
    <col min="47" max="47" width="19.7109375" bestFit="1" customWidth="1"/>
    <col min="48" max="48" width="42.7109375" bestFit="1" customWidth="1"/>
    <col min="49" max="49" width="35.140625" bestFit="1" customWidth="1"/>
    <col min="50" max="50" width="33" bestFit="1" customWidth="1"/>
    <col min="51" max="51" width="26.42578125" bestFit="1" customWidth="1"/>
    <col min="52" max="52" width="44.85546875" bestFit="1" customWidth="1"/>
    <col min="53" max="53" width="39.85546875" bestFit="1" customWidth="1"/>
    <col min="54" max="54" width="24.7109375" bestFit="1" customWidth="1"/>
    <col min="55" max="55" width="33.85546875" bestFit="1" customWidth="1"/>
    <col min="56" max="56" width="30.5703125" bestFit="1" customWidth="1"/>
    <col min="57" max="57" width="20.140625" bestFit="1" customWidth="1"/>
    <col min="58" max="58" width="11" bestFit="1" customWidth="1"/>
    <col min="59" max="59" width="17.42578125" bestFit="1" customWidth="1"/>
    <col min="60" max="60" width="17" bestFit="1" customWidth="1"/>
    <col min="61" max="61" width="19.7109375" bestFit="1" customWidth="1"/>
    <col min="62" max="62" width="20.140625" bestFit="1" customWidth="1"/>
    <col min="63" max="63" width="19.7109375" bestFit="1" customWidth="1"/>
    <col min="64" max="64" width="24.42578125" bestFit="1" customWidth="1"/>
    <col min="65" max="65" width="21.140625" bestFit="1" customWidth="1"/>
    <col min="66" max="66" width="39" bestFit="1" customWidth="1"/>
    <col min="67" max="67" width="20.28515625" bestFit="1" customWidth="1"/>
    <col min="68" max="68" width="6" bestFit="1" customWidth="1"/>
    <col min="69" max="69" width="20.85546875" bestFit="1" customWidth="1"/>
    <col min="70" max="70" width="26.85546875" bestFit="1" customWidth="1"/>
    <col min="71" max="71" width="12.7109375" bestFit="1" customWidth="1"/>
    <col min="72" max="72" width="15.42578125" bestFit="1" customWidth="1"/>
    <col min="73" max="73" width="22.7109375" bestFit="1" customWidth="1"/>
    <col min="74" max="74" width="24.140625" bestFit="1" customWidth="1"/>
    <col min="75" max="75" width="25.5703125" bestFit="1" customWidth="1"/>
    <col min="76" max="76" width="24.7109375" bestFit="1" customWidth="1"/>
    <col min="77" max="77" width="30.5703125" bestFit="1" customWidth="1"/>
    <col min="78" max="78" width="23.85546875" bestFit="1" customWidth="1"/>
    <col min="79" max="79" width="11.42578125" bestFit="1" customWidth="1"/>
    <col min="80" max="80" width="37.5703125" bestFit="1" customWidth="1"/>
    <col min="81" max="81" width="32.140625" bestFit="1" customWidth="1"/>
    <col min="82" max="82" width="21.140625" bestFit="1" customWidth="1"/>
    <col min="83" max="83" width="21.5703125" bestFit="1" customWidth="1"/>
    <col min="84" max="84" width="11.5703125" bestFit="1" customWidth="1"/>
    <col min="85" max="85" width="15.28515625" bestFit="1" customWidth="1"/>
    <col min="86" max="86" width="23.85546875" bestFit="1" customWidth="1"/>
    <col min="87" max="87" width="36.7109375" bestFit="1" customWidth="1"/>
    <col min="88" max="88" width="16.5703125" bestFit="1" customWidth="1"/>
    <col min="89" max="89" width="28.85546875" bestFit="1" customWidth="1"/>
    <col min="90" max="90" width="18" bestFit="1" customWidth="1"/>
    <col min="91" max="91" width="15.5703125" bestFit="1" customWidth="1"/>
    <col min="92" max="92" width="18.42578125" bestFit="1" customWidth="1"/>
    <col min="93" max="93" width="24.140625" bestFit="1" customWidth="1"/>
    <col min="94" max="94" width="23.5703125" bestFit="1" customWidth="1"/>
    <col min="95" max="95" width="23.85546875" bestFit="1" customWidth="1"/>
    <col min="96" max="96" width="11.7109375" bestFit="1" customWidth="1"/>
    <col min="97" max="97" width="19.140625" bestFit="1" customWidth="1"/>
    <col min="98" max="98" width="31.140625" bestFit="1" customWidth="1"/>
    <col min="99" max="99" width="22.7109375" bestFit="1" customWidth="1"/>
    <col min="100" max="100" width="23.28515625" bestFit="1" customWidth="1"/>
    <col min="101" max="101" width="41.28515625" bestFit="1" customWidth="1"/>
    <col min="102" max="102" width="30.28515625" bestFit="1" customWidth="1"/>
    <col min="103" max="103" width="28.7109375" bestFit="1" customWidth="1"/>
    <col min="104" max="104" width="24.5703125" bestFit="1" customWidth="1"/>
    <col min="105" max="105" width="35.85546875" bestFit="1" customWidth="1"/>
    <col min="106" max="106" width="31" bestFit="1" customWidth="1"/>
    <col min="107" max="107" width="27" bestFit="1" customWidth="1"/>
    <col min="108" max="108" width="41" bestFit="1" customWidth="1"/>
    <col min="109" max="109" width="19.5703125" bestFit="1" customWidth="1"/>
    <col min="110" max="110" width="32.42578125" bestFit="1" customWidth="1"/>
    <col min="111" max="111" width="27.85546875" bestFit="1" customWidth="1"/>
    <col min="112" max="112" width="47.85546875" bestFit="1" customWidth="1"/>
    <col min="113" max="113" width="43.5703125" bestFit="1" customWidth="1"/>
    <col min="114" max="114" width="22.42578125" bestFit="1" customWidth="1"/>
    <col min="115" max="115" width="42.28515625" bestFit="1" customWidth="1"/>
    <col min="116" max="116" width="32.140625" bestFit="1" customWidth="1"/>
    <col min="117" max="117" width="42.42578125" bestFit="1" customWidth="1"/>
    <col min="118" max="118" width="28.85546875" bestFit="1" customWidth="1"/>
    <col min="119" max="119" width="20.42578125" bestFit="1" customWidth="1"/>
    <col min="120" max="120" width="29.85546875" bestFit="1" customWidth="1"/>
    <col min="121" max="121" width="17.28515625" bestFit="1" customWidth="1"/>
    <col min="122" max="122" width="27.7109375" bestFit="1" customWidth="1"/>
    <col min="123" max="123" width="41.5703125" bestFit="1" customWidth="1"/>
    <col min="124" max="124" width="49.28515625" bestFit="1" customWidth="1"/>
    <col min="125" max="125" width="31.140625" bestFit="1" customWidth="1"/>
    <col min="126" max="126" width="21.42578125" bestFit="1" customWidth="1"/>
    <col min="127" max="127" width="16.85546875" bestFit="1" customWidth="1"/>
    <col min="128" max="128" width="27.5703125" bestFit="1" customWidth="1"/>
    <col min="129" max="129" width="19.7109375" bestFit="1" customWidth="1"/>
    <col min="130" max="130" width="38.42578125" bestFit="1" customWidth="1"/>
    <col min="131" max="131" width="19.5703125" bestFit="1" customWidth="1"/>
    <col min="132" max="133" width="20" bestFit="1" customWidth="1"/>
    <col min="134" max="134" width="31.28515625" bestFit="1" customWidth="1"/>
    <col min="135" max="135" width="28" bestFit="1" customWidth="1"/>
    <col min="136" max="136" width="23.28515625" bestFit="1" customWidth="1"/>
    <col min="137" max="137" width="20.28515625" bestFit="1" customWidth="1"/>
    <col min="138" max="138" width="35.5703125" bestFit="1" customWidth="1"/>
    <col min="139" max="139" width="47.7109375" bestFit="1" customWidth="1"/>
    <col min="140" max="140" width="29.28515625" bestFit="1" customWidth="1"/>
    <col min="141" max="141" width="42.28515625" bestFit="1" customWidth="1"/>
    <col min="142" max="142" width="18.85546875" bestFit="1" customWidth="1"/>
    <col min="143" max="143" width="24.28515625" bestFit="1" customWidth="1"/>
    <col min="144" max="144" width="23.85546875" bestFit="1" customWidth="1"/>
    <col min="145" max="145" width="39" bestFit="1" customWidth="1"/>
    <col min="146" max="146" width="39.5703125" bestFit="1" customWidth="1"/>
    <col min="147" max="147" width="17.5703125" bestFit="1" customWidth="1"/>
    <col min="148" max="148" width="21" bestFit="1" customWidth="1"/>
    <col min="149" max="149" width="26.28515625" bestFit="1" customWidth="1"/>
    <col min="150" max="150" width="25.85546875" bestFit="1" customWidth="1"/>
    <col min="151" max="151" width="26.85546875" bestFit="1" customWidth="1"/>
    <col min="152" max="152" width="17" bestFit="1" customWidth="1"/>
    <col min="153" max="153" width="15.85546875" bestFit="1" customWidth="1"/>
    <col min="154" max="154" width="33.5703125" bestFit="1" customWidth="1"/>
    <col min="155" max="155" width="25.85546875" bestFit="1" customWidth="1"/>
    <col min="156" max="156" width="17.42578125" bestFit="1" customWidth="1"/>
    <col min="157" max="157" width="45.28515625" bestFit="1" customWidth="1"/>
    <col min="158" max="158" width="40.85546875" bestFit="1" customWidth="1"/>
    <col min="159" max="159" width="32.7109375" bestFit="1" customWidth="1"/>
    <col min="160" max="160" width="35.5703125" bestFit="1" customWidth="1"/>
    <col min="161" max="161" width="13.5703125" bestFit="1" customWidth="1"/>
    <col min="162" max="162" width="25" bestFit="1" customWidth="1"/>
    <col min="163" max="163" width="24.140625" bestFit="1" customWidth="1"/>
    <col min="164" max="164" width="34.140625" bestFit="1" customWidth="1"/>
    <col min="165" max="165" width="22.140625" bestFit="1" customWidth="1"/>
    <col min="166" max="166" width="18.5703125" bestFit="1" customWidth="1"/>
    <col min="167" max="167" width="20.140625" bestFit="1" customWidth="1"/>
    <col min="168" max="168" width="30" bestFit="1" customWidth="1"/>
    <col min="169" max="169" width="13.28515625" bestFit="1" customWidth="1"/>
    <col min="170" max="170" width="6.7109375" bestFit="1" customWidth="1"/>
    <col min="171" max="171" width="24.85546875" bestFit="1" customWidth="1"/>
    <col min="172" max="172" width="22.85546875" bestFit="1" customWidth="1"/>
    <col min="173" max="173" width="14.7109375" bestFit="1" customWidth="1"/>
    <col min="174" max="174" width="20.28515625" bestFit="1" customWidth="1"/>
    <col min="175" max="175" width="31" bestFit="1" customWidth="1"/>
    <col min="176" max="176" width="28.85546875" bestFit="1" customWidth="1"/>
    <col min="177" max="177" width="20.7109375" bestFit="1" customWidth="1"/>
    <col min="178" max="178" width="26.85546875" bestFit="1" customWidth="1"/>
    <col min="179" max="179" width="24" bestFit="1" customWidth="1"/>
    <col min="180" max="180" width="22" bestFit="1" customWidth="1"/>
    <col min="181" max="181" width="13.85546875" bestFit="1" customWidth="1"/>
    <col min="182" max="182" width="19.42578125" bestFit="1" customWidth="1"/>
    <col min="183" max="183" width="30.140625" bestFit="1" customWidth="1"/>
    <col min="184" max="184" width="28" bestFit="1" customWidth="1"/>
    <col min="185" max="185" width="19.85546875" bestFit="1" customWidth="1"/>
    <col min="186" max="186" width="26.85546875" bestFit="1" customWidth="1"/>
    <col min="187" max="187" width="24.7109375" bestFit="1" customWidth="1"/>
    <col min="188" max="188" width="22.7109375" bestFit="1" customWidth="1"/>
    <col min="189" max="189" width="14.5703125" bestFit="1" customWidth="1"/>
    <col min="190" max="190" width="20.140625" bestFit="1" customWidth="1"/>
    <col min="191" max="191" width="30.85546875" bestFit="1" customWidth="1"/>
    <col min="192" max="192" width="28.7109375" bestFit="1" customWidth="1"/>
    <col min="193" max="193" width="20.5703125" bestFit="1" customWidth="1"/>
    <col min="194" max="194" width="26.85546875" bestFit="1" customWidth="1"/>
    <col min="195" max="195" width="26.7109375" bestFit="1" customWidth="1"/>
    <col min="196" max="196" width="24.5703125" bestFit="1" customWidth="1"/>
  </cols>
  <sheetData>
    <row r="1" spans="1:196" s="2" customFormat="1" ht="16.5" thickBot="1" x14ac:dyDescent="0.3">
      <c r="A1" s="1" t="s">
        <v>1373</v>
      </c>
      <c r="B1" s="54" t="s">
        <v>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 t="s">
        <v>2</v>
      </c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P1" s="2" t="s">
        <v>3</v>
      </c>
      <c r="AQ1" s="54" t="s">
        <v>4</v>
      </c>
      <c r="AR1" s="54"/>
      <c r="AT1" s="54" t="s">
        <v>5</v>
      </c>
      <c r="AU1" s="54"/>
      <c r="AV1" s="54"/>
      <c r="AW1" s="54"/>
      <c r="AX1" s="54"/>
      <c r="AY1" s="54"/>
      <c r="AZ1" s="54"/>
      <c r="BA1" s="54"/>
      <c r="BB1" s="54"/>
      <c r="BC1" s="54"/>
      <c r="BE1" s="2" t="s">
        <v>6</v>
      </c>
      <c r="BF1" s="54" t="s">
        <v>7</v>
      </c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 t="s">
        <v>8</v>
      </c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F1" s="54" t="s">
        <v>9</v>
      </c>
      <c r="CG1" s="54"/>
      <c r="CH1" s="54"/>
      <c r="CI1" s="54"/>
      <c r="CJ1" s="54"/>
      <c r="CK1" s="54"/>
      <c r="CL1" s="54" t="s">
        <v>10</v>
      </c>
      <c r="CM1" s="54"/>
      <c r="CN1" s="54" t="s">
        <v>11</v>
      </c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FJ1" s="54" t="s">
        <v>12</v>
      </c>
      <c r="FK1" s="54"/>
      <c r="FL1" s="54"/>
      <c r="FM1" s="54"/>
      <c r="FN1" s="54"/>
    </row>
    <row r="2" spans="1:196" s="5" customFormat="1" ht="16.5" thickBot="1" x14ac:dyDescent="0.3">
      <c r="A2" s="3" t="s">
        <v>13</v>
      </c>
      <c r="B2" s="4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  <c r="R2" s="5" t="s">
        <v>30</v>
      </c>
      <c r="S2" s="5" t="s">
        <v>31</v>
      </c>
      <c r="T2" s="5" t="s">
        <v>32</v>
      </c>
      <c r="U2" s="5" t="s">
        <v>33</v>
      </c>
      <c r="V2" s="5" t="s">
        <v>34</v>
      </c>
      <c r="W2" s="5" t="s">
        <v>35</v>
      </c>
      <c r="X2" s="5" t="s">
        <v>36</v>
      </c>
      <c r="Y2" s="5" t="s">
        <v>37</v>
      </c>
      <c r="Z2" s="5" t="s">
        <v>38</v>
      </c>
      <c r="AA2" s="5" t="s">
        <v>39</v>
      </c>
      <c r="AB2" s="5" t="s">
        <v>40</v>
      </c>
      <c r="AC2" s="5" t="s">
        <v>41</v>
      </c>
      <c r="AD2" s="5" t="s">
        <v>42</v>
      </c>
      <c r="AE2" s="5" t="s">
        <v>43</v>
      </c>
      <c r="AF2" s="5" t="s">
        <v>44</v>
      </c>
      <c r="AG2" s="5" t="s">
        <v>45</v>
      </c>
      <c r="AH2" s="5" t="s">
        <v>46</v>
      </c>
      <c r="AI2" s="5" t="s">
        <v>47</v>
      </c>
      <c r="AJ2" s="5" t="s">
        <v>48</v>
      </c>
      <c r="AK2" s="5" t="s">
        <v>49</v>
      </c>
      <c r="AL2" s="5" t="s">
        <v>50</v>
      </c>
      <c r="AM2" s="5" t="s">
        <v>51</v>
      </c>
      <c r="AN2" s="5" t="s">
        <v>52</v>
      </c>
      <c r="AO2" s="5" t="s">
        <v>53</v>
      </c>
      <c r="AP2" s="5" t="s">
        <v>54</v>
      </c>
      <c r="AQ2" s="5" t="s">
        <v>55</v>
      </c>
      <c r="AR2" s="5" t="s">
        <v>56</v>
      </c>
      <c r="AS2" s="5" t="s">
        <v>57</v>
      </c>
      <c r="AT2" s="5" t="s">
        <v>58</v>
      </c>
      <c r="AU2" s="5" t="s">
        <v>59</v>
      </c>
      <c r="AV2" s="5" t="s">
        <v>60</v>
      </c>
      <c r="AW2" s="5" t="s">
        <v>61</v>
      </c>
      <c r="AX2" s="5" t="s">
        <v>62</v>
      </c>
      <c r="AY2" s="5" t="s">
        <v>63</v>
      </c>
      <c r="AZ2" s="5" t="s">
        <v>64</v>
      </c>
      <c r="BA2" s="5" t="s">
        <v>65</v>
      </c>
      <c r="BB2" s="5" t="s">
        <v>66</v>
      </c>
      <c r="BC2" s="5" t="s">
        <v>67</v>
      </c>
      <c r="BD2" s="5" t="s">
        <v>68</v>
      </c>
      <c r="BE2" s="5" t="s">
        <v>69</v>
      </c>
      <c r="BF2" s="5" t="s">
        <v>70</v>
      </c>
      <c r="BG2" s="5" t="s">
        <v>71</v>
      </c>
      <c r="BH2" s="5" t="s">
        <v>72</v>
      </c>
      <c r="BI2" s="5" t="s">
        <v>73</v>
      </c>
      <c r="BJ2" s="5" t="s">
        <v>74</v>
      </c>
      <c r="BK2" s="5" t="s">
        <v>75</v>
      </c>
      <c r="BL2" s="5" t="s">
        <v>76</v>
      </c>
      <c r="BM2" s="5" t="s">
        <v>77</v>
      </c>
      <c r="BN2" s="5" t="s">
        <v>78</v>
      </c>
      <c r="BO2" s="5" t="s">
        <v>79</v>
      </c>
      <c r="BP2" s="5" t="s">
        <v>80</v>
      </c>
      <c r="BQ2" s="5" t="s">
        <v>81</v>
      </c>
      <c r="BR2" s="5" t="s">
        <v>82</v>
      </c>
      <c r="BS2" s="5" t="s">
        <v>83</v>
      </c>
      <c r="BT2" s="5" t="s">
        <v>84</v>
      </c>
      <c r="BU2" s="5" t="s">
        <v>85</v>
      </c>
      <c r="BV2" s="5" t="s">
        <v>86</v>
      </c>
      <c r="BW2" s="5" t="s">
        <v>87</v>
      </c>
      <c r="BX2" s="5" t="s">
        <v>88</v>
      </c>
      <c r="BY2" s="5" t="s">
        <v>89</v>
      </c>
      <c r="BZ2" s="5" t="s">
        <v>90</v>
      </c>
      <c r="CA2" s="5" t="s">
        <v>91</v>
      </c>
      <c r="CB2" s="5" t="s">
        <v>92</v>
      </c>
      <c r="CC2" s="5" t="s">
        <v>93</v>
      </c>
      <c r="CD2" s="5" t="s">
        <v>94</v>
      </c>
      <c r="CE2" s="5" t="s">
        <v>95</v>
      </c>
      <c r="CF2" s="5" t="s">
        <v>96</v>
      </c>
      <c r="CG2" s="5" t="s">
        <v>97</v>
      </c>
      <c r="CH2" s="5" t="s">
        <v>98</v>
      </c>
      <c r="CI2" s="5" t="s">
        <v>99</v>
      </c>
      <c r="CJ2" s="5" t="s">
        <v>100</v>
      </c>
      <c r="CK2" s="5" t="s">
        <v>101</v>
      </c>
      <c r="CL2" s="5" t="s">
        <v>102</v>
      </c>
      <c r="CM2" s="5" t="s">
        <v>103</v>
      </c>
      <c r="CN2" s="5" t="s">
        <v>104</v>
      </c>
      <c r="CO2" s="5" t="s">
        <v>105</v>
      </c>
      <c r="CP2" s="5" t="s">
        <v>106</v>
      </c>
      <c r="CQ2" s="5" t="s">
        <v>107</v>
      </c>
      <c r="CR2" s="5" t="s">
        <v>108</v>
      </c>
      <c r="CS2" s="5" t="s">
        <v>109</v>
      </c>
      <c r="CT2" s="5" t="s">
        <v>110</v>
      </c>
      <c r="CU2" s="5" t="s">
        <v>111</v>
      </c>
      <c r="CV2" s="5" t="s">
        <v>112</v>
      </c>
      <c r="CW2" s="5" t="s">
        <v>113</v>
      </c>
      <c r="CX2" s="5" t="s">
        <v>114</v>
      </c>
      <c r="CY2" s="5" t="s">
        <v>115</v>
      </c>
      <c r="CZ2" s="5" t="s">
        <v>116</v>
      </c>
      <c r="DA2" s="5" t="s">
        <v>117</v>
      </c>
      <c r="DB2" s="5" t="s">
        <v>118</v>
      </c>
      <c r="DC2" s="5" t="s">
        <v>119</v>
      </c>
      <c r="DD2" s="5" t="s">
        <v>120</v>
      </c>
      <c r="DE2" s="5" t="s">
        <v>121</v>
      </c>
      <c r="DF2" s="5" t="s">
        <v>122</v>
      </c>
      <c r="DG2" s="5" t="s">
        <v>123</v>
      </c>
      <c r="DH2" s="5" t="s">
        <v>124</v>
      </c>
      <c r="DI2" s="5" t="s">
        <v>125</v>
      </c>
      <c r="DJ2" s="5" t="s">
        <v>126</v>
      </c>
      <c r="DK2" s="5" t="s">
        <v>127</v>
      </c>
      <c r="DL2" s="5" t="s">
        <v>128</v>
      </c>
      <c r="DM2" s="5" t="s">
        <v>129</v>
      </c>
      <c r="DN2" s="5" t="s">
        <v>130</v>
      </c>
      <c r="DO2" s="5" t="s">
        <v>131</v>
      </c>
      <c r="DP2" s="5" t="s">
        <v>132</v>
      </c>
      <c r="DQ2" s="5" t="s">
        <v>133</v>
      </c>
      <c r="DR2" s="5" t="s">
        <v>134</v>
      </c>
      <c r="DS2" s="5" t="s">
        <v>135</v>
      </c>
      <c r="DT2" s="5" t="s">
        <v>136</v>
      </c>
      <c r="DU2" s="5" t="s">
        <v>137</v>
      </c>
      <c r="DV2" s="5" t="s">
        <v>138</v>
      </c>
      <c r="DW2" s="5" t="s">
        <v>139</v>
      </c>
      <c r="DX2" s="5" t="s">
        <v>140</v>
      </c>
      <c r="DY2" s="5" t="s">
        <v>141</v>
      </c>
      <c r="DZ2" s="5" t="s">
        <v>142</v>
      </c>
      <c r="EA2" s="5" t="s">
        <v>143</v>
      </c>
      <c r="EB2" s="5" t="s">
        <v>144</v>
      </c>
      <c r="EC2" s="5" t="s">
        <v>145</v>
      </c>
      <c r="ED2" s="5" t="s">
        <v>146</v>
      </c>
      <c r="EE2" s="5" t="s">
        <v>147</v>
      </c>
      <c r="EF2" s="5" t="s">
        <v>148</v>
      </c>
      <c r="EG2" s="5" t="s">
        <v>149</v>
      </c>
      <c r="EH2" s="5" t="s">
        <v>150</v>
      </c>
      <c r="EI2" s="5" t="s">
        <v>151</v>
      </c>
      <c r="EJ2" s="5" t="s">
        <v>152</v>
      </c>
      <c r="EK2" s="5" t="s">
        <v>153</v>
      </c>
      <c r="EL2" s="5" t="s">
        <v>154</v>
      </c>
      <c r="EM2" s="5" t="s">
        <v>155</v>
      </c>
      <c r="EN2" s="5" t="s">
        <v>156</v>
      </c>
      <c r="EO2" s="5" t="s">
        <v>157</v>
      </c>
      <c r="EP2" s="5" t="s">
        <v>158</v>
      </c>
      <c r="EQ2" s="5" t="s">
        <v>159</v>
      </c>
      <c r="ER2" s="5" t="s">
        <v>160</v>
      </c>
      <c r="ES2" s="5" t="s">
        <v>161</v>
      </c>
      <c r="ET2" s="5" t="s">
        <v>162</v>
      </c>
      <c r="EU2" s="5" t="s">
        <v>163</v>
      </c>
      <c r="EV2" s="5" t="s">
        <v>164</v>
      </c>
      <c r="EW2" s="5" t="s">
        <v>165</v>
      </c>
      <c r="EX2" s="5" t="s">
        <v>166</v>
      </c>
      <c r="EY2" s="5" t="s">
        <v>167</v>
      </c>
      <c r="EZ2" s="5" t="s">
        <v>168</v>
      </c>
      <c r="FA2" s="5" t="s">
        <v>169</v>
      </c>
      <c r="FB2" s="5" t="s">
        <v>170</v>
      </c>
      <c r="FC2" s="5" t="s">
        <v>171</v>
      </c>
      <c r="FD2" s="5" t="s">
        <v>172</v>
      </c>
      <c r="FE2" s="5" t="s">
        <v>173</v>
      </c>
      <c r="FF2" s="5" t="s">
        <v>174</v>
      </c>
      <c r="FG2" s="5" t="s">
        <v>175</v>
      </c>
      <c r="FH2" s="5" t="s">
        <v>176</v>
      </c>
      <c r="FI2" s="5" t="s">
        <v>177</v>
      </c>
      <c r="FJ2" s="5" t="s">
        <v>178</v>
      </c>
      <c r="FK2" s="5" t="s">
        <v>179</v>
      </c>
      <c r="FL2" s="5" t="s">
        <v>180</v>
      </c>
      <c r="FM2" s="5" t="s">
        <v>181</v>
      </c>
      <c r="FN2" s="5" t="s">
        <v>182</v>
      </c>
      <c r="FO2" s="5" t="s">
        <v>183</v>
      </c>
      <c r="FP2" s="5" t="s">
        <v>184</v>
      </c>
      <c r="FQ2" s="5" t="s">
        <v>185</v>
      </c>
      <c r="FR2" s="5" t="s">
        <v>186</v>
      </c>
      <c r="FS2" s="5" t="s">
        <v>187</v>
      </c>
      <c r="FT2" s="5" t="s">
        <v>188</v>
      </c>
      <c r="FU2" s="5" t="s">
        <v>189</v>
      </c>
      <c r="FV2" s="5" t="s">
        <v>190</v>
      </c>
      <c r="FW2" s="5" t="s">
        <v>191</v>
      </c>
      <c r="FX2" s="5" t="s">
        <v>192</v>
      </c>
      <c r="FY2" s="5" t="s">
        <v>193</v>
      </c>
      <c r="FZ2" s="5" t="s">
        <v>194</v>
      </c>
      <c r="GA2" s="5" t="s">
        <v>195</v>
      </c>
      <c r="GB2" s="5" t="s">
        <v>196</v>
      </c>
      <c r="GC2" s="5" t="s">
        <v>197</v>
      </c>
      <c r="GD2" s="5" t="s">
        <v>198</v>
      </c>
      <c r="GE2" s="5" t="s">
        <v>199</v>
      </c>
      <c r="GF2" s="5" t="s">
        <v>200</v>
      </c>
      <c r="GG2" s="5" t="s">
        <v>201</v>
      </c>
      <c r="GH2" s="5" t="s">
        <v>202</v>
      </c>
      <c r="GI2" s="5" t="s">
        <v>203</v>
      </c>
      <c r="GJ2" s="5" t="s">
        <v>204</v>
      </c>
      <c r="GK2" s="5" t="s">
        <v>205</v>
      </c>
      <c r="GL2" s="5" t="s">
        <v>206</v>
      </c>
      <c r="GM2" s="5" t="s">
        <v>207</v>
      </c>
      <c r="GN2" s="5" t="s">
        <v>208</v>
      </c>
    </row>
    <row r="3" spans="1:196" s="8" customFormat="1" ht="15.75" x14ac:dyDescent="0.25">
      <c r="A3" s="6" t="s">
        <v>209</v>
      </c>
      <c r="B3" s="7" t="str">
        <f t="shared" ref="B3:B4" ca="1" si="0">TEXT(TODAY(), "mm/dd/yyyy")</f>
        <v>05/08/2023</v>
      </c>
      <c r="C3" s="8" t="s">
        <v>210</v>
      </c>
      <c r="D3" s="8" t="s">
        <v>211</v>
      </c>
      <c r="E3" s="8" t="s">
        <v>212</v>
      </c>
      <c r="F3" s="8" t="s">
        <v>213</v>
      </c>
      <c r="G3" s="8" t="s">
        <v>214</v>
      </c>
      <c r="H3" s="8" t="s">
        <v>215</v>
      </c>
      <c r="I3" s="8" t="s">
        <v>216</v>
      </c>
      <c r="J3" s="8" t="s">
        <v>217</v>
      </c>
      <c r="L3" s="8" t="s">
        <v>218</v>
      </c>
      <c r="M3" s="8" t="s">
        <v>212</v>
      </c>
      <c r="N3" s="8" t="s">
        <v>212</v>
      </c>
      <c r="O3" s="8" t="s">
        <v>218</v>
      </c>
      <c r="P3" s="8" t="s">
        <v>219</v>
      </c>
      <c r="Q3" s="8" t="s">
        <v>220</v>
      </c>
      <c r="R3" s="8" t="s">
        <v>221</v>
      </c>
      <c r="S3" s="8" t="s">
        <v>222</v>
      </c>
      <c r="T3" s="8" t="s">
        <v>212</v>
      </c>
      <c r="W3" s="8" t="s">
        <v>211</v>
      </c>
      <c r="X3" s="8" t="s">
        <v>223</v>
      </c>
      <c r="Y3" s="8" t="s">
        <v>224</v>
      </c>
      <c r="Z3" s="8" t="s">
        <v>225</v>
      </c>
      <c r="AA3" s="8" t="s">
        <v>226</v>
      </c>
      <c r="AI3" s="8" t="s">
        <v>227</v>
      </c>
      <c r="AO3" s="9" t="s">
        <v>212</v>
      </c>
      <c r="AP3" s="8" t="s">
        <v>228</v>
      </c>
      <c r="AS3" s="8" t="s">
        <v>212</v>
      </c>
      <c r="AT3" s="8" t="s">
        <v>218</v>
      </c>
      <c r="AV3" s="8" t="s">
        <v>212</v>
      </c>
      <c r="AX3" s="8" t="s">
        <v>212</v>
      </c>
      <c r="AY3" s="8" t="s">
        <v>212</v>
      </c>
      <c r="AZ3" s="8" t="s">
        <v>212</v>
      </c>
      <c r="BA3" s="8" t="s">
        <v>229</v>
      </c>
      <c r="BB3" s="8" t="s">
        <v>230</v>
      </c>
      <c r="BC3" s="8" t="s">
        <v>212</v>
      </c>
      <c r="BD3" s="8" t="s">
        <v>212</v>
      </c>
      <c r="BE3" s="8" t="s">
        <v>212</v>
      </c>
      <c r="BF3" s="8" t="s">
        <v>231</v>
      </c>
      <c r="BG3" s="8" t="s">
        <v>232</v>
      </c>
      <c r="BH3" s="8" t="s">
        <v>233</v>
      </c>
      <c r="BI3" s="8" t="s">
        <v>234</v>
      </c>
      <c r="BJ3" s="8" t="s">
        <v>234</v>
      </c>
      <c r="BK3" s="8" t="s">
        <v>235</v>
      </c>
      <c r="BL3" s="8" t="s">
        <v>236</v>
      </c>
      <c r="BM3" s="8" t="s">
        <v>212</v>
      </c>
      <c r="BN3" s="8" t="s">
        <v>212</v>
      </c>
      <c r="BQ3" s="8" t="s">
        <v>218</v>
      </c>
      <c r="BR3" s="8" t="s">
        <v>237</v>
      </c>
      <c r="BS3" s="8" t="s">
        <v>236</v>
      </c>
      <c r="BT3" s="8" t="s">
        <v>236</v>
      </c>
      <c r="BU3" s="8" t="s">
        <v>238</v>
      </c>
      <c r="CD3" s="8" t="s">
        <v>239</v>
      </c>
      <c r="CF3" s="8" t="s">
        <v>218</v>
      </c>
      <c r="CG3" s="8" t="s">
        <v>218</v>
      </c>
      <c r="CH3" s="8" t="s">
        <v>240</v>
      </c>
      <c r="CI3" s="8" t="s">
        <v>218</v>
      </c>
      <c r="CL3" s="8" t="s">
        <v>212</v>
      </c>
      <c r="CM3" s="8" t="s">
        <v>212</v>
      </c>
      <c r="CN3" s="8" t="s">
        <v>212</v>
      </c>
      <c r="CO3" s="8" t="s">
        <v>212</v>
      </c>
      <c r="CT3" s="8" t="s">
        <v>241</v>
      </c>
      <c r="CV3" s="8" t="s">
        <v>212</v>
      </c>
      <c r="CW3" s="8" t="s">
        <v>212</v>
      </c>
      <c r="CX3" s="8" t="s">
        <v>212</v>
      </c>
      <c r="CY3" s="8" t="s">
        <v>212</v>
      </c>
      <c r="CZ3" s="8" t="s">
        <v>212</v>
      </c>
      <c r="DA3" s="8" t="s">
        <v>212</v>
      </c>
      <c r="DB3" s="8" t="s">
        <v>212</v>
      </c>
      <c r="DC3" s="8" t="s">
        <v>212</v>
      </c>
      <c r="DD3" s="8" t="s">
        <v>212</v>
      </c>
      <c r="DE3" s="8" t="s">
        <v>212</v>
      </c>
      <c r="DF3" s="8" t="s">
        <v>212</v>
      </c>
      <c r="DG3" s="8" t="s">
        <v>212</v>
      </c>
      <c r="DH3" s="8" t="s">
        <v>212</v>
      </c>
      <c r="DI3" s="8" t="s">
        <v>212</v>
      </c>
      <c r="DJ3" s="8" t="s">
        <v>212</v>
      </c>
      <c r="DK3" s="8" t="s">
        <v>212</v>
      </c>
      <c r="DL3" s="8" t="s">
        <v>212</v>
      </c>
      <c r="DM3" s="8" t="s">
        <v>212</v>
      </c>
      <c r="DN3" s="8" t="s">
        <v>212</v>
      </c>
      <c r="DO3" s="8" t="s">
        <v>212</v>
      </c>
      <c r="DP3" s="8" t="s">
        <v>212</v>
      </c>
      <c r="DQ3" s="8" t="s">
        <v>212</v>
      </c>
      <c r="DR3" s="8" t="s">
        <v>212</v>
      </c>
      <c r="DS3" s="8" t="s">
        <v>212</v>
      </c>
      <c r="DT3" s="8" t="s">
        <v>212</v>
      </c>
      <c r="DU3" s="8" t="s">
        <v>212</v>
      </c>
      <c r="DV3" s="8" t="s">
        <v>212</v>
      </c>
      <c r="DW3" s="8" t="s">
        <v>212</v>
      </c>
      <c r="DX3" s="8" t="s">
        <v>212</v>
      </c>
      <c r="DY3" s="8" t="s">
        <v>212</v>
      </c>
      <c r="DZ3" s="8" t="s">
        <v>212</v>
      </c>
      <c r="EA3" s="8" t="s">
        <v>212</v>
      </c>
      <c r="EB3" s="8" t="s">
        <v>212</v>
      </c>
      <c r="EC3" s="8" t="s">
        <v>212</v>
      </c>
      <c r="ED3" s="8" t="s">
        <v>212</v>
      </c>
      <c r="EL3" s="8" t="s">
        <v>242</v>
      </c>
      <c r="EM3" s="8" t="s">
        <v>212</v>
      </c>
      <c r="EN3" s="8" t="s">
        <v>212</v>
      </c>
      <c r="EO3" s="8" t="s">
        <v>212</v>
      </c>
      <c r="EP3" s="8" t="s">
        <v>212</v>
      </c>
      <c r="EQ3" s="8" t="s">
        <v>212</v>
      </c>
      <c r="ER3" s="8" t="s">
        <v>243</v>
      </c>
      <c r="ES3" s="8" t="s">
        <v>244</v>
      </c>
      <c r="ET3" s="10" t="s">
        <v>245</v>
      </c>
      <c r="EU3" s="8" t="s">
        <v>246</v>
      </c>
      <c r="FI3" s="8" t="s">
        <v>247</v>
      </c>
      <c r="FJ3" s="8" t="s">
        <v>12</v>
      </c>
      <c r="FK3" s="8" t="s">
        <v>236</v>
      </c>
      <c r="FL3" s="11" t="str">
        <f t="shared" ref="FL3:FL4" ca="1" si="1">TEXT((TODAY()+1), "mm/dd/yyyy")</f>
        <v>05/09/2023</v>
      </c>
      <c r="FM3" s="8" t="s">
        <v>12</v>
      </c>
      <c r="FN3" s="8" t="s">
        <v>182</v>
      </c>
      <c r="FO3" s="8" t="s">
        <v>248</v>
      </c>
      <c r="FP3" s="8" t="s">
        <v>248</v>
      </c>
      <c r="FQ3" s="8" t="s">
        <v>249</v>
      </c>
      <c r="FR3" s="8" t="s">
        <v>250</v>
      </c>
      <c r="FS3" s="8" t="s">
        <v>251</v>
      </c>
      <c r="FT3" s="8" t="s">
        <v>251</v>
      </c>
      <c r="FU3" s="8" t="s">
        <v>252</v>
      </c>
      <c r="FV3" s="8" t="s">
        <v>253</v>
      </c>
      <c r="FW3" s="8" t="s">
        <v>248</v>
      </c>
      <c r="FX3" s="8" t="s">
        <v>248</v>
      </c>
      <c r="FY3" s="8" t="s">
        <v>249</v>
      </c>
      <c r="FZ3" s="8" t="s">
        <v>250</v>
      </c>
      <c r="GA3" s="8" t="s">
        <v>251</v>
      </c>
      <c r="GB3" s="8" t="s">
        <v>251</v>
      </c>
      <c r="GC3" s="8" t="s">
        <v>252</v>
      </c>
      <c r="GD3" s="8" t="s">
        <v>253</v>
      </c>
      <c r="GE3" s="8" t="s">
        <v>254</v>
      </c>
      <c r="GF3" s="8" t="s">
        <v>255</v>
      </c>
      <c r="GG3" s="8" t="s">
        <v>256</v>
      </c>
      <c r="GH3" s="8" t="s">
        <v>250</v>
      </c>
      <c r="GI3" s="8" t="s">
        <v>251</v>
      </c>
      <c r="GJ3" s="8" t="s">
        <v>251</v>
      </c>
      <c r="GK3" s="8" t="s">
        <v>252</v>
      </c>
      <c r="GL3" s="8" t="s">
        <v>253</v>
      </c>
      <c r="GM3" s="8" t="s">
        <v>251</v>
      </c>
      <c r="GN3" s="8" t="s">
        <v>251</v>
      </c>
    </row>
    <row r="4" spans="1:196" s="13" customFormat="1" ht="15.75" x14ac:dyDescent="0.25">
      <c r="A4" s="6" t="s">
        <v>257</v>
      </c>
      <c r="B4" s="12" t="str">
        <f t="shared" ca="1" si="0"/>
        <v>05/08/2023</v>
      </c>
      <c r="C4" s="13" t="s">
        <v>210</v>
      </c>
      <c r="D4" s="13" t="s">
        <v>211</v>
      </c>
      <c r="E4" s="13" t="s">
        <v>212</v>
      </c>
      <c r="F4" s="13" t="s">
        <v>258</v>
      </c>
      <c r="G4" s="13" t="s">
        <v>259</v>
      </c>
      <c r="H4" s="13" t="s">
        <v>260</v>
      </c>
      <c r="I4" s="13" t="s">
        <v>261</v>
      </c>
      <c r="J4" s="13" t="s">
        <v>217</v>
      </c>
      <c r="K4" s="13" t="s">
        <v>262</v>
      </c>
      <c r="L4" s="13" t="s">
        <v>218</v>
      </c>
      <c r="M4" s="13" t="s">
        <v>212</v>
      </c>
      <c r="N4" s="13" t="s">
        <v>212</v>
      </c>
      <c r="O4" s="13" t="s">
        <v>218</v>
      </c>
      <c r="P4" s="13" t="s">
        <v>219</v>
      </c>
      <c r="Q4" s="13" t="s">
        <v>220</v>
      </c>
      <c r="R4" s="13" t="s">
        <v>221</v>
      </c>
      <c r="S4" s="13" t="s">
        <v>222</v>
      </c>
      <c r="T4" s="13" t="s">
        <v>212</v>
      </c>
      <c r="W4" s="13" t="s">
        <v>211</v>
      </c>
      <c r="X4" s="13" t="s">
        <v>223</v>
      </c>
      <c r="Y4" s="13" t="s">
        <v>224</v>
      </c>
      <c r="Z4" s="13" t="s">
        <v>225</v>
      </c>
      <c r="AA4" s="13" t="s">
        <v>226</v>
      </c>
      <c r="AB4" s="13" t="s">
        <v>263</v>
      </c>
      <c r="AC4" s="13" t="s">
        <v>263</v>
      </c>
      <c r="AO4" s="13" t="s">
        <v>212</v>
      </c>
      <c r="AP4" s="13" t="s">
        <v>228</v>
      </c>
      <c r="AS4" s="13" t="s">
        <v>212</v>
      </c>
      <c r="AT4" s="13" t="s">
        <v>218</v>
      </c>
      <c r="AV4" s="13" t="s">
        <v>212</v>
      </c>
      <c r="AX4" s="13" t="s">
        <v>212</v>
      </c>
      <c r="AY4" s="13" t="s">
        <v>212</v>
      </c>
      <c r="AZ4" s="13" t="s">
        <v>212</v>
      </c>
      <c r="BA4" s="13" t="s">
        <v>229</v>
      </c>
      <c r="BB4" s="13" t="s">
        <v>230</v>
      </c>
      <c r="BC4" s="13" t="s">
        <v>212</v>
      </c>
      <c r="BD4" s="13" t="s">
        <v>212</v>
      </c>
      <c r="BE4" s="13" t="s">
        <v>212</v>
      </c>
      <c r="BF4" s="13" t="s">
        <v>264</v>
      </c>
      <c r="BG4" s="13" t="s">
        <v>234</v>
      </c>
      <c r="BH4" s="13" t="s">
        <v>233</v>
      </c>
      <c r="BI4" s="13" t="s">
        <v>234</v>
      </c>
      <c r="BJ4" s="13" t="s">
        <v>234</v>
      </c>
      <c r="BK4" s="13" t="s">
        <v>235</v>
      </c>
      <c r="BQ4" s="13" t="s">
        <v>218</v>
      </c>
      <c r="BR4" s="13" t="s">
        <v>237</v>
      </c>
      <c r="BS4" s="13" t="s">
        <v>236</v>
      </c>
      <c r="BT4" s="13" t="s">
        <v>236</v>
      </c>
      <c r="BU4" s="13" t="s">
        <v>238</v>
      </c>
      <c r="CD4" s="13" t="s">
        <v>239</v>
      </c>
      <c r="CF4" s="13" t="s">
        <v>218</v>
      </c>
      <c r="CG4" s="13" t="s">
        <v>218</v>
      </c>
      <c r="CH4" s="13" t="s">
        <v>240</v>
      </c>
      <c r="CL4" s="13" t="s">
        <v>212</v>
      </c>
      <c r="CM4" s="13" t="s">
        <v>212</v>
      </c>
      <c r="CN4" s="13" t="s">
        <v>212</v>
      </c>
      <c r="CO4" s="13" t="s">
        <v>212</v>
      </c>
      <c r="CV4" s="13" t="s">
        <v>212</v>
      </c>
      <c r="CW4" s="13" t="s">
        <v>212</v>
      </c>
      <c r="CX4" s="13" t="s">
        <v>212</v>
      </c>
      <c r="CY4" s="13" t="s">
        <v>212</v>
      </c>
      <c r="CZ4" s="13" t="s">
        <v>212</v>
      </c>
      <c r="DA4" s="13" t="s">
        <v>212</v>
      </c>
      <c r="DB4" s="13" t="s">
        <v>212</v>
      </c>
      <c r="DC4" s="13" t="s">
        <v>212</v>
      </c>
      <c r="DD4" s="13" t="s">
        <v>212</v>
      </c>
      <c r="DE4" s="13" t="s">
        <v>212</v>
      </c>
      <c r="DF4" s="13" t="s">
        <v>212</v>
      </c>
      <c r="DG4" s="13" t="s">
        <v>212</v>
      </c>
      <c r="DH4" s="13" t="s">
        <v>212</v>
      </c>
      <c r="DI4" s="13" t="s">
        <v>212</v>
      </c>
      <c r="DJ4" s="13" t="s">
        <v>212</v>
      </c>
      <c r="DK4" s="13" t="s">
        <v>212</v>
      </c>
      <c r="DL4" s="13" t="s">
        <v>212</v>
      </c>
      <c r="DM4" s="13" t="s">
        <v>212</v>
      </c>
      <c r="DN4" s="13" t="s">
        <v>212</v>
      </c>
      <c r="DO4" s="13" t="s">
        <v>212</v>
      </c>
      <c r="DP4" s="13" t="s">
        <v>212</v>
      </c>
      <c r="DQ4" s="13" t="s">
        <v>212</v>
      </c>
      <c r="DR4" s="13" t="s">
        <v>212</v>
      </c>
      <c r="DS4" s="13" t="s">
        <v>212</v>
      </c>
      <c r="DT4" s="13" t="s">
        <v>212</v>
      </c>
      <c r="DU4" s="13" t="s">
        <v>212</v>
      </c>
      <c r="DV4" s="13" t="s">
        <v>212</v>
      </c>
      <c r="DW4" s="13" t="s">
        <v>212</v>
      </c>
      <c r="DX4" s="13" t="s">
        <v>212</v>
      </c>
      <c r="DY4" s="13" t="s">
        <v>212</v>
      </c>
      <c r="DZ4" s="13" t="s">
        <v>212</v>
      </c>
      <c r="EA4" s="13" t="s">
        <v>212</v>
      </c>
      <c r="EB4" s="13" t="s">
        <v>212</v>
      </c>
      <c r="EC4" s="13" t="s">
        <v>212</v>
      </c>
      <c r="ED4" s="13" t="s">
        <v>212</v>
      </c>
      <c r="EM4" s="13" t="s">
        <v>212</v>
      </c>
      <c r="EN4" s="13" t="s">
        <v>212</v>
      </c>
      <c r="EO4" s="13" t="s">
        <v>212</v>
      </c>
      <c r="EP4" s="13" t="s">
        <v>212</v>
      </c>
      <c r="EQ4" s="13" t="s">
        <v>212</v>
      </c>
      <c r="ER4" s="13" t="s">
        <v>243</v>
      </c>
      <c r="ES4" s="13" t="s">
        <v>244</v>
      </c>
      <c r="ET4" s="14" t="s">
        <v>245</v>
      </c>
      <c r="EU4" s="13" t="s">
        <v>246</v>
      </c>
      <c r="FI4" s="13" t="s">
        <v>247</v>
      </c>
      <c r="FJ4" s="13" t="s">
        <v>12</v>
      </c>
      <c r="FK4" s="13" t="s">
        <v>236</v>
      </c>
      <c r="FL4" s="15" t="str">
        <f t="shared" ca="1" si="1"/>
        <v>05/09/2023</v>
      </c>
      <c r="FM4" s="13" t="s">
        <v>12</v>
      </c>
      <c r="FN4" s="13" t="s">
        <v>182</v>
      </c>
      <c r="FO4" s="13" t="s">
        <v>248</v>
      </c>
      <c r="FP4" s="13" t="s">
        <v>248</v>
      </c>
      <c r="FQ4" s="13" t="s">
        <v>249</v>
      </c>
      <c r="FR4" s="13" t="s">
        <v>250</v>
      </c>
      <c r="FS4" s="13" t="s">
        <v>251</v>
      </c>
      <c r="FT4" s="13" t="s">
        <v>251</v>
      </c>
      <c r="FU4" s="13" t="s">
        <v>252</v>
      </c>
      <c r="FV4" s="13" t="s">
        <v>253</v>
      </c>
      <c r="FW4" s="13" t="s">
        <v>248</v>
      </c>
      <c r="FX4" s="13" t="s">
        <v>248</v>
      </c>
      <c r="FY4" s="13" t="s">
        <v>249</v>
      </c>
      <c r="FZ4" s="13" t="s">
        <v>250</v>
      </c>
      <c r="GA4" s="13" t="s">
        <v>251</v>
      </c>
      <c r="GB4" s="13" t="s">
        <v>251</v>
      </c>
      <c r="GC4" s="13" t="s">
        <v>252</v>
      </c>
      <c r="GD4" s="13" t="s">
        <v>253</v>
      </c>
      <c r="GE4" s="13" t="s">
        <v>254</v>
      </c>
      <c r="GF4" s="13" t="s">
        <v>248</v>
      </c>
      <c r="GG4" s="13" t="s">
        <v>256</v>
      </c>
      <c r="GH4" s="13" t="s">
        <v>250</v>
      </c>
      <c r="GI4" s="13" t="s">
        <v>251</v>
      </c>
      <c r="GJ4" s="13" t="s">
        <v>251</v>
      </c>
      <c r="GK4" s="13" t="s">
        <v>252</v>
      </c>
      <c r="GL4" s="13" t="s">
        <v>253</v>
      </c>
      <c r="GM4" s="13" t="s">
        <v>251</v>
      </c>
      <c r="GN4" s="13" t="s">
        <v>251</v>
      </c>
    </row>
  </sheetData>
  <mergeCells count="10">
    <mergeCell ref="CF1:CK1"/>
    <mergeCell ref="CL1:CM1"/>
    <mergeCell ref="CN1:DG1"/>
    <mergeCell ref="FJ1:FN1"/>
    <mergeCell ref="B1:V1"/>
    <mergeCell ref="W1:AN1"/>
    <mergeCell ref="AQ1:AR1"/>
    <mergeCell ref="AT1:BC1"/>
    <mergeCell ref="BF1:BR1"/>
    <mergeCell ref="BS1:CD1"/>
  </mergeCells>
  <hyperlinks>
    <hyperlink ref="ET3" r:id="rId1"/>
    <hyperlink ref="ET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K2"/>
  <sheetViews>
    <sheetView workbookViewId="0">
      <selection activeCell="H27" sqref="H27"/>
    </sheetView>
  </sheetViews>
  <sheetFormatPr defaultColWidth="24.28515625" defaultRowHeight="15.75" x14ac:dyDescent="0.25"/>
  <cols>
    <col min="1" max="1" width="24.42578125" style="31" bestFit="1" customWidth="1"/>
    <col min="2" max="2" width="6.140625" style="29" bestFit="1" customWidth="1"/>
    <col min="3" max="3" width="20.5703125" style="30" bestFit="1" customWidth="1"/>
    <col min="4" max="4" width="15.85546875" style="30" bestFit="1" customWidth="1"/>
    <col min="5" max="5" width="10" style="30" bestFit="1" customWidth="1"/>
    <col min="6" max="6" width="16.7109375" style="30" bestFit="1" customWidth="1"/>
    <col min="7" max="7" width="19.28515625" style="30" bestFit="1" customWidth="1"/>
    <col min="8" max="8" width="18.28515625" style="30" bestFit="1" customWidth="1"/>
    <col min="9" max="9" width="9.7109375" style="30" bestFit="1" customWidth="1"/>
    <col min="10" max="10" width="13.140625" style="30" bestFit="1" customWidth="1"/>
    <col min="11" max="11" width="10.28515625" style="30" bestFit="1" customWidth="1"/>
    <col min="12" max="12" width="10.42578125" style="30" bestFit="1" customWidth="1"/>
    <col min="13" max="13" width="20" style="30" bestFit="1" customWidth="1"/>
    <col min="14" max="14" width="15.5703125" style="30" bestFit="1" customWidth="1"/>
    <col min="15" max="15" width="31.42578125" style="30" bestFit="1" customWidth="1"/>
    <col min="16" max="16" width="29" style="30" bestFit="1" customWidth="1"/>
    <col min="17" max="17" width="26.5703125" style="30" bestFit="1" customWidth="1"/>
    <col min="18" max="18" width="11.5703125" style="30" bestFit="1" customWidth="1"/>
    <col min="19" max="19" width="24.140625" style="30" bestFit="1" customWidth="1"/>
    <col min="20" max="20" width="19.5703125" style="30" bestFit="1" customWidth="1"/>
    <col min="21" max="21" width="36.85546875" style="30" bestFit="1" customWidth="1"/>
    <col min="22" max="22" width="22.7109375" style="30" bestFit="1" customWidth="1"/>
    <col min="23" max="23" width="20.42578125" style="30" bestFit="1" customWidth="1"/>
    <col min="24" max="24" width="30.42578125" style="30" bestFit="1" customWidth="1"/>
    <col min="25" max="25" width="19.7109375" style="30" bestFit="1" customWidth="1"/>
    <col min="26" max="26" width="42.7109375" style="30" bestFit="1" customWidth="1"/>
    <col min="27" max="27" width="35.140625" style="30" bestFit="1" customWidth="1"/>
    <col min="28" max="28" width="33" style="30" bestFit="1" customWidth="1"/>
    <col min="29" max="29" width="26.42578125" style="30" bestFit="1" customWidth="1"/>
    <col min="30" max="30" width="44.85546875" style="30" bestFit="1" customWidth="1"/>
    <col min="31" max="31" width="39.85546875" style="30" bestFit="1" customWidth="1"/>
    <col min="32" max="32" width="24.7109375" style="30" bestFit="1" customWidth="1"/>
    <col min="33" max="33" width="33.85546875" style="30" bestFit="1" customWidth="1"/>
    <col min="34" max="34" width="20.140625" style="30" bestFit="1" customWidth="1"/>
    <col min="35" max="35" width="11" style="30" bestFit="1" customWidth="1"/>
    <col min="36" max="36" width="17.42578125" style="30" bestFit="1" customWidth="1"/>
    <col min="37" max="37" width="17" style="30" bestFit="1" customWidth="1"/>
    <col min="38" max="38" width="19.7109375" style="30" bestFit="1" customWidth="1"/>
    <col min="39" max="39" width="20.140625" style="30" bestFit="1" customWidth="1"/>
    <col min="40" max="40" width="19.7109375" style="30" bestFit="1" customWidth="1"/>
    <col min="41" max="41" width="24.42578125" style="30" bestFit="1" customWidth="1"/>
    <col min="42" max="42" width="21.140625" style="30" bestFit="1" customWidth="1"/>
    <col min="43" max="43" width="39" style="30" bestFit="1" customWidth="1"/>
    <col min="44" max="44" width="20.28515625" style="30" bestFit="1" customWidth="1"/>
    <col min="45" max="45" width="6" style="30" bestFit="1" customWidth="1"/>
    <col min="46" max="46" width="20.85546875" style="30" bestFit="1" customWidth="1"/>
    <col min="47" max="47" width="26.85546875" style="30" bestFit="1" customWidth="1"/>
    <col min="48" max="48" width="12.7109375" style="30" bestFit="1" customWidth="1"/>
    <col min="49" max="49" width="15.42578125" style="30" bestFit="1" customWidth="1"/>
    <col min="50" max="50" width="22.7109375" style="30" bestFit="1" customWidth="1"/>
    <col min="51" max="51" width="24.140625" style="30" bestFit="1" customWidth="1"/>
    <col min="52" max="52" width="25.5703125" style="30" bestFit="1" customWidth="1"/>
    <col min="53" max="53" width="24.7109375" style="30" bestFit="1" customWidth="1"/>
    <col min="54" max="54" width="30.5703125" style="30" bestFit="1" customWidth="1"/>
    <col min="55" max="55" width="23.85546875" style="30" bestFit="1" customWidth="1"/>
    <col min="56" max="56" width="11.42578125" style="30" bestFit="1" customWidth="1"/>
    <col min="57" max="57" width="37.5703125" style="30" bestFit="1" customWidth="1"/>
    <col min="58" max="58" width="32.140625" style="30" bestFit="1" customWidth="1"/>
    <col min="59" max="59" width="21.140625" style="30" bestFit="1" customWidth="1"/>
    <col min="60" max="60" width="21.5703125" style="30" bestFit="1" customWidth="1"/>
    <col min="61" max="61" width="11.5703125" style="30" bestFit="1" customWidth="1"/>
    <col min="62" max="62" width="15.28515625" style="30" bestFit="1" customWidth="1"/>
    <col min="63" max="63" width="23.85546875" style="30" bestFit="1" customWidth="1"/>
    <col min="64" max="64" width="36.7109375" style="30" bestFit="1" customWidth="1"/>
    <col min="65" max="65" width="16.5703125" style="30" bestFit="1" customWidth="1"/>
    <col min="66" max="66" width="28.85546875" style="30" bestFit="1" customWidth="1"/>
    <col min="67" max="67" width="18" style="30" bestFit="1" customWidth="1"/>
    <col min="68" max="68" width="15.5703125" style="30" bestFit="1" customWidth="1"/>
    <col min="69" max="69" width="18.42578125" style="30" bestFit="1" customWidth="1"/>
    <col min="70" max="70" width="24.140625" style="30" bestFit="1" customWidth="1"/>
    <col min="71" max="71" width="23.5703125" style="30" bestFit="1" customWidth="1"/>
    <col min="72" max="72" width="23.85546875" style="30" bestFit="1" customWidth="1"/>
    <col min="73" max="73" width="11.7109375" style="30" bestFit="1" customWidth="1"/>
    <col min="74" max="74" width="19.140625" style="30" bestFit="1" customWidth="1"/>
    <col min="75" max="75" width="31.140625" style="30" bestFit="1" customWidth="1"/>
    <col min="76" max="76" width="22.7109375" style="30" bestFit="1" customWidth="1"/>
    <col min="77" max="77" width="23.28515625" style="30" bestFit="1" customWidth="1"/>
    <col min="78" max="78" width="41.28515625" style="30" bestFit="1" customWidth="1"/>
    <col min="79" max="79" width="30.28515625" style="30" bestFit="1" customWidth="1"/>
    <col min="80" max="80" width="28.7109375" style="30" bestFit="1" customWidth="1"/>
    <col min="81" max="81" width="24.5703125" style="30" bestFit="1" customWidth="1"/>
    <col min="82" max="82" width="35.85546875" style="30" bestFit="1" customWidth="1"/>
    <col min="83" max="83" width="31" style="30" bestFit="1" customWidth="1"/>
    <col min="84" max="84" width="27" style="30" bestFit="1" customWidth="1"/>
    <col min="85" max="85" width="41" style="30" bestFit="1" customWidth="1"/>
    <col min="86" max="86" width="19.5703125" style="30" bestFit="1" customWidth="1"/>
    <col min="87" max="87" width="32.42578125" style="30" bestFit="1" customWidth="1"/>
    <col min="88" max="88" width="27.85546875" style="30" bestFit="1" customWidth="1"/>
    <col min="89" max="89" width="47.85546875" style="30" bestFit="1" customWidth="1"/>
    <col min="90" max="90" width="43.5703125" style="30" bestFit="1" customWidth="1"/>
    <col min="91" max="91" width="22.42578125" style="30" bestFit="1" customWidth="1"/>
    <col min="92" max="92" width="42.28515625" style="30" bestFit="1" customWidth="1"/>
    <col min="93" max="93" width="32.140625" style="30" bestFit="1" customWidth="1"/>
    <col min="94" max="94" width="42.42578125" style="30" bestFit="1" customWidth="1"/>
    <col min="95" max="95" width="28.85546875" style="30" bestFit="1" customWidth="1"/>
    <col min="96" max="96" width="20.42578125" style="30" bestFit="1" customWidth="1"/>
    <col min="97" max="97" width="29.85546875" style="30" bestFit="1" customWidth="1"/>
    <col min="98" max="98" width="17.28515625" style="30" bestFit="1" customWidth="1"/>
    <col min="99" max="99" width="27.7109375" style="30" bestFit="1" customWidth="1"/>
    <col min="100" max="100" width="41.5703125" style="30" bestFit="1" customWidth="1"/>
    <col min="101" max="101" width="49.28515625" style="30" bestFit="1" customWidth="1"/>
    <col min="102" max="102" width="31.140625" style="30" bestFit="1" customWidth="1"/>
    <col min="103" max="103" width="21.42578125" style="30" bestFit="1" customWidth="1"/>
    <col min="104" max="104" width="16.85546875" style="30" bestFit="1" customWidth="1"/>
    <col min="105" max="105" width="27.5703125" style="30" bestFit="1" customWidth="1"/>
    <col min="106" max="106" width="19.7109375" style="30" bestFit="1" customWidth="1"/>
    <col min="107" max="107" width="38.42578125" style="30" bestFit="1" customWidth="1"/>
    <col min="108" max="108" width="19.5703125" style="30" bestFit="1" customWidth="1"/>
    <col min="109" max="110" width="20" style="30" bestFit="1" customWidth="1"/>
    <col min="111" max="111" width="31.28515625" style="30" bestFit="1" customWidth="1"/>
    <col min="112" max="112" width="28" style="30" bestFit="1" customWidth="1"/>
    <col min="113" max="113" width="23.28515625" style="30" bestFit="1" customWidth="1"/>
    <col min="114" max="114" width="20.28515625" style="30" bestFit="1" customWidth="1"/>
    <col min="115" max="115" width="35.5703125" style="30" bestFit="1" customWidth="1"/>
    <col min="116" max="116" width="47.7109375" style="30" bestFit="1" customWidth="1"/>
    <col min="117" max="117" width="29.28515625" style="30" bestFit="1" customWidth="1"/>
    <col min="118" max="118" width="42.28515625" style="30" bestFit="1" customWidth="1"/>
    <col min="119" max="119" width="18.85546875" style="30" bestFit="1" customWidth="1"/>
    <col min="120" max="120" width="24.28515625" style="30"/>
    <col min="121" max="121" width="23.85546875" style="30" bestFit="1" customWidth="1"/>
    <col min="122" max="122" width="39" style="30" bestFit="1" customWidth="1"/>
    <col min="123" max="123" width="39.5703125" style="30" bestFit="1" customWidth="1"/>
    <col min="124" max="124" width="17.5703125" style="30" bestFit="1" customWidth="1"/>
    <col min="125" max="125" width="21" style="30" bestFit="1" customWidth="1"/>
    <col min="126" max="126" width="26.28515625" style="30" bestFit="1" customWidth="1"/>
    <col min="127" max="127" width="25.85546875" style="30" bestFit="1" customWidth="1"/>
    <col min="128" max="128" width="26.85546875" style="30" bestFit="1" customWidth="1"/>
    <col min="129" max="129" width="17" style="30" bestFit="1" customWidth="1"/>
    <col min="130" max="130" width="15.85546875" style="30" bestFit="1" customWidth="1"/>
    <col min="131" max="131" width="33.5703125" style="30" bestFit="1" customWidth="1"/>
    <col min="132" max="132" width="25.85546875" style="30" bestFit="1" customWidth="1"/>
    <col min="133" max="133" width="17.42578125" style="30" bestFit="1" customWidth="1"/>
    <col min="134" max="134" width="45.28515625" style="30" bestFit="1" customWidth="1"/>
    <col min="135" max="135" width="40.85546875" style="30" bestFit="1" customWidth="1"/>
    <col min="136" max="136" width="32.7109375" style="30" bestFit="1" customWidth="1"/>
    <col min="137" max="137" width="35.5703125" style="30" bestFit="1" customWidth="1"/>
    <col min="138" max="138" width="13.5703125" style="30" bestFit="1" customWidth="1"/>
    <col min="139" max="139" width="25" style="30" bestFit="1" customWidth="1"/>
    <col min="140" max="140" width="24.140625" style="30" bestFit="1" customWidth="1"/>
    <col min="141" max="141" width="34.140625" style="30" bestFit="1" customWidth="1"/>
    <col min="142" max="16384" width="24.28515625" style="30"/>
  </cols>
  <sheetData>
    <row r="1" spans="1:141" s="2" customFormat="1" ht="16.5" thickBot="1" x14ac:dyDescent="0.3">
      <c r="A1" s="33" t="s">
        <v>0</v>
      </c>
      <c r="B1" s="54"/>
      <c r="C1" s="54"/>
      <c r="D1" s="54"/>
      <c r="E1" s="54"/>
      <c r="F1" s="54" t="s">
        <v>2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 t="s">
        <v>5</v>
      </c>
      <c r="Y1" s="54"/>
      <c r="Z1" s="54"/>
      <c r="AA1" s="54"/>
      <c r="AB1" s="54"/>
      <c r="AC1" s="54"/>
      <c r="AD1" s="54"/>
      <c r="AE1" s="54"/>
      <c r="AF1" s="54"/>
      <c r="AG1" s="54"/>
      <c r="AH1" s="2" t="s">
        <v>6</v>
      </c>
      <c r="AI1" s="54" t="s">
        <v>7</v>
      </c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 t="s">
        <v>8</v>
      </c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I1" s="54" t="s">
        <v>9</v>
      </c>
      <c r="BJ1" s="54"/>
      <c r="BK1" s="54"/>
      <c r="BL1" s="54"/>
      <c r="BM1" s="54"/>
      <c r="BN1" s="54"/>
      <c r="BO1" s="54" t="s">
        <v>10</v>
      </c>
      <c r="BP1" s="54"/>
      <c r="BQ1" s="54" t="s">
        <v>11</v>
      </c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</row>
    <row r="2" spans="1:141" s="5" customFormat="1" ht="16.5" thickBot="1" x14ac:dyDescent="0.3">
      <c r="A2" s="32" t="s">
        <v>1263</v>
      </c>
      <c r="B2" s="4" t="s">
        <v>18</v>
      </c>
      <c r="C2" s="5" t="s">
        <v>19</v>
      </c>
      <c r="D2" s="5" t="s">
        <v>20</v>
      </c>
      <c r="E2" s="5" t="s">
        <v>21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5" t="s">
        <v>49</v>
      </c>
      <c r="U2" s="5" t="s">
        <v>50</v>
      </c>
      <c r="V2" s="5" t="s">
        <v>51</v>
      </c>
      <c r="W2" s="5" t="s">
        <v>52</v>
      </c>
      <c r="X2" s="5" t="s">
        <v>58</v>
      </c>
      <c r="Y2" s="5" t="s">
        <v>59</v>
      </c>
      <c r="Z2" s="5" t="s">
        <v>60</v>
      </c>
      <c r="AA2" s="5" t="s">
        <v>61</v>
      </c>
      <c r="AB2" s="5" t="s">
        <v>62</v>
      </c>
      <c r="AC2" s="5" t="s">
        <v>63</v>
      </c>
      <c r="AD2" s="5" t="s">
        <v>64</v>
      </c>
      <c r="AE2" s="5" t="s">
        <v>65</v>
      </c>
      <c r="AF2" s="5" t="s">
        <v>66</v>
      </c>
      <c r="AG2" s="5" t="s">
        <v>67</v>
      </c>
      <c r="AH2" s="5" t="s">
        <v>69</v>
      </c>
      <c r="AI2" s="5" t="s">
        <v>70</v>
      </c>
      <c r="AJ2" s="5" t="s">
        <v>71</v>
      </c>
      <c r="AK2" s="5" t="s">
        <v>72</v>
      </c>
      <c r="AL2" s="5" t="s">
        <v>73</v>
      </c>
      <c r="AM2" s="5" t="s">
        <v>74</v>
      </c>
      <c r="AN2" s="5" t="s">
        <v>75</v>
      </c>
      <c r="AO2" s="5" t="s">
        <v>76</v>
      </c>
      <c r="AP2" s="5" t="s">
        <v>77</v>
      </c>
      <c r="AQ2" s="5" t="s">
        <v>78</v>
      </c>
      <c r="AR2" s="5" t="s">
        <v>79</v>
      </c>
      <c r="AS2" s="5" t="s">
        <v>80</v>
      </c>
      <c r="AT2" s="5" t="s">
        <v>81</v>
      </c>
      <c r="AU2" s="5" t="s">
        <v>82</v>
      </c>
      <c r="AV2" s="5" t="s">
        <v>83</v>
      </c>
      <c r="AW2" s="5" t="s">
        <v>84</v>
      </c>
      <c r="AX2" s="5" t="s">
        <v>85</v>
      </c>
      <c r="AY2" s="5" t="s">
        <v>86</v>
      </c>
      <c r="AZ2" s="5" t="s">
        <v>87</v>
      </c>
      <c r="BA2" s="5" t="s">
        <v>88</v>
      </c>
      <c r="BB2" s="5" t="s">
        <v>89</v>
      </c>
      <c r="BC2" s="5" t="s">
        <v>90</v>
      </c>
      <c r="BD2" s="5" t="s">
        <v>91</v>
      </c>
      <c r="BE2" s="5" t="s">
        <v>92</v>
      </c>
      <c r="BF2" s="5" t="s">
        <v>93</v>
      </c>
      <c r="BG2" s="5" t="s">
        <v>94</v>
      </c>
      <c r="BH2" s="5" t="s">
        <v>95</v>
      </c>
      <c r="BI2" s="5" t="s">
        <v>96</v>
      </c>
      <c r="BJ2" s="5" t="s">
        <v>97</v>
      </c>
      <c r="BK2" s="5" t="s">
        <v>98</v>
      </c>
      <c r="BL2" s="5" t="s">
        <v>99</v>
      </c>
      <c r="BM2" s="5" t="s">
        <v>100</v>
      </c>
      <c r="BN2" s="5" t="s">
        <v>101</v>
      </c>
      <c r="BO2" s="5" t="s">
        <v>102</v>
      </c>
      <c r="BP2" s="5" t="s">
        <v>103</v>
      </c>
      <c r="BQ2" s="5" t="s">
        <v>104</v>
      </c>
      <c r="BR2" s="5" t="s">
        <v>105</v>
      </c>
      <c r="BS2" s="5" t="s">
        <v>106</v>
      </c>
      <c r="BT2" s="5" t="s">
        <v>107</v>
      </c>
      <c r="BU2" s="5" t="s">
        <v>108</v>
      </c>
      <c r="BV2" s="5" t="s">
        <v>109</v>
      </c>
      <c r="BW2" s="5" t="s">
        <v>110</v>
      </c>
      <c r="BX2" s="5" t="s">
        <v>111</v>
      </c>
      <c r="BY2" s="5" t="s">
        <v>112</v>
      </c>
      <c r="BZ2" s="5" t="s">
        <v>113</v>
      </c>
      <c r="CA2" s="5" t="s">
        <v>114</v>
      </c>
      <c r="CB2" s="5" t="s">
        <v>115</v>
      </c>
      <c r="CC2" s="5" t="s">
        <v>116</v>
      </c>
      <c r="CD2" s="5" t="s">
        <v>117</v>
      </c>
      <c r="CE2" s="5" t="s">
        <v>118</v>
      </c>
      <c r="CF2" s="5" t="s">
        <v>119</v>
      </c>
      <c r="CG2" s="5" t="s">
        <v>120</v>
      </c>
      <c r="CH2" s="5" t="s">
        <v>121</v>
      </c>
      <c r="CI2" s="5" t="s">
        <v>122</v>
      </c>
      <c r="CJ2" s="5" t="s">
        <v>123</v>
      </c>
      <c r="CK2" s="5" t="s">
        <v>124</v>
      </c>
      <c r="CL2" s="5" t="s">
        <v>125</v>
      </c>
      <c r="CM2" s="5" t="s">
        <v>126</v>
      </c>
      <c r="CN2" s="5" t="s">
        <v>127</v>
      </c>
      <c r="CO2" s="5" t="s">
        <v>128</v>
      </c>
      <c r="CP2" s="5" t="s">
        <v>129</v>
      </c>
      <c r="CQ2" s="5" t="s">
        <v>130</v>
      </c>
      <c r="CR2" s="5" t="s">
        <v>131</v>
      </c>
      <c r="CS2" s="5" t="s">
        <v>132</v>
      </c>
      <c r="CT2" s="5" t="s">
        <v>133</v>
      </c>
      <c r="CU2" s="5" t="s">
        <v>134</v>
      </c>
      <c r="CV2" s="5" t="s">
        <v>135</v>
      </c>
      <c r="CW2" s="5" t="s">
        <v>136</v>
      </c>
      <c r="CX2" s="5" t="s">
        <v>137</v>
      </c>
      <c r="CY2" s="5" t="s">
        <v>138</v>
      </c>
      <c r="CZ2" s="5" t="s">
        <v>139</v>
      </c>
      <c r="DA2" s="5" t="s">
        <v>140</v>
      </c>
      <c r="DB2" s="5" t="s">
        <v>141</v>
      </c>
      <c r="DC2" s="5" t="s">
        <v>142</v>
      </c>
      <c r="DD2" s="5" t="s">
        <v>143</v>
      </c>
      <c r="DE2" s="5" t="s">
        <v>144</v>
      </c>
      <c r="DF2" s="5" t="s">
        <v>145</v>
      </c>
      <c r="DG2" s="5" t="s">
        <v>146</v>
      </c>
      <c r="DH2" s="5" t="s">
        <v>147</v>
      </c>
      <c r="DI2" s="5" t="s">
        <v>148</v>
      </c>
      <c r="DJ2" s="5" t="s">
        <v>149</v>
      </c>
      <c r="DK2" s="5" t="s">
        <v>150</v>
      </c>
      <c r="DL2" s="5" t="s">
        <v>151</v>
      </c>
      <c r="DM2" s="5" t="s">
        <v>152</v>
      </c>
      <c r="DN2" s="5" t="s">
        <v>153</v>
      </c>
      <c r="DO2" s="5" t="s">
        <v>154</v>
      </c>
      <c r="DP2" s="5" t="s">
        <v>155</v>
      </c>
      <c r="DQ2" s="5" t="s">
        <v>156</v>
      </c>
      <c r="DR2" s="5" t="s">
        <v>157</v>
      </c>
      <c r="DS2" s="5" t="s">
        <v>158</v>
      </c>
      <c r="DT2" s="5" t="s">
        <v>159</v>
      </c>
      <c r="DU2" s="5" t="s">
        <v>160</v>
      </c>
      <c r="DV2" s="5" t="s">
        <v>161</v>
      </c>
      <c r="DW2" s="5" t="s">
        <v>162</v>
      </c>
      <c r="DX2" s="5" t="s">
        <v>163</v>
      </c>
      <c r="DY2" s="5" t="s">
        <v>164</v>
      </c>
      <c r="DZ2" s="5" t="s">
        <v>165</v>
      </c>
      <c r="EA2" s="5" t="s">
        <v>166</v>
      </c>
      <c r="EB2" s="5" t="s">
        <v>167</v>
      </c>
      <c r="EC2" s="5" t="s">
        <v>168</v>
      </c>
      <c r="ED2" s="5" t="s">
        <v>169</v>
      </c>
      <c r="EE2" s="5" t="s">
        <v>170</v>
      </c>
      <c r="EF2" s="5" t="s">
        <v>171</v>
      </c>
      <c r="EG2" s="5" t="s">
        <v>172</v>
      </c>
      <c r="EH2" s="5" t="s">
        <v>173</v>
      </c>
      <c r="EI2" s="5" t="s">
        <v>174</v>
      </c>
      <c r="EJ2" s="5" t="s">
        <v>175</v>
      </c>
      <c r="EK2" s="5" t="s">
        <v>176</v>
      </c>
    </row>
  </sheetData>
  <mergeCells count="8">
    <mergeCell ref="BO1:BP1"/>
    <mergeCell ref="BQ1:CJ1"/>
    <mergeCell ref="B1:E1"/>
    <mergeCell ref="F1:W1"/>
    <mergeCell ref="X1:AG1"/>
    <mergeCell ref="AI1:AU1"/>
    <mergeCell ref="AV1:BG1"/>
    <mergeCell ref="BI1:B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V4"/>
  <sheetViews>
    <sheetView topLeftCell="BG1" workbookViewId="0">
      <selection activeCell="BH12" sqref="BH12"/>
    </sheetView>
  </sheetViews>
  <sheetFormatPr defaultRowHeight="15" x14ac:dyDescent="0.25"/>
  <cols>
    <col min="1" max="1" width="8.28515625" bestFit="1" customWidth="1"/>
    <col min="2" max="2" width="15.28515625" bestFit="1" customWidth="1"/>
    <col min="3" max="3" width="22.7109375" bestFit="1" customWidth="1"/>
    <col min="4" max="4" width="15.5703125" bestFit="1" customWidth="1"/>
    <col min="5" max="5" width="9.5703125" bestFit="1" customWidth="1"/>
    <col min="6" max="6" width="6.140625" bestFit="1" customWidth="1"/>
    <col min="7" max="7" width="20.5703125" bestFit="1" customWidth="1"/>
    <col min="8" max="8" width="15.85546875" bestFit="1" customWidth="1"/>
    <col min="9" max="9" width="10" bestFit="1" customWidth="1"/>
    <col min="10" max="10" width="15.140625" bestFit="1" customWidth="1"/>
    <col min="11" max="11" width="38" bestFit="1" customWidth="1"/>
    <col min="12" max="12" width="25.28515625" bestFit="1" customWidth="1"/>
    <col min="13" max="13" width="20.85546875" bestFit="1" customWidth="1"/>
    <col min="14" max="14" width="21.140625" bestFit="1" customWidth="1"/>
    <col min="15" max="15" width="17.85546875" bestFit="1" customWidth="1"/>
    <col min="16" max="16" width="12" bestFit="1" customWidth="1"/>
    <col min="17" max="17" width="11.7109375" bestFit="1" customWidth="1"/>
    <col min="18" max="18" width="22.140625" bestFit="1" customWidth="1"/>
    <col min="19" max="19" width="20" bestFit="1" customWidth="1"/>
    <col min="20" max="20" width="16.7109375" bestFit="1" customWidth="1"/>
    <col min="21" max="21" width="20.85546875" bestFit="1" customWidth="1"/>
    <col min="22" max="22" width="20.5703125" bestFit="1" customWidth="1"/>
    <col min="23" max="23" width="22.7109375" bestFit="1" customWidth="1"/>
    <col min="24" max="24" width="37.140625" bestFit="1" customWidth="1"/>
    <col min="25" max="25" width="40" bestFit="1" customWidth="1"/>
    <col min="26" max="26" width="34.85546875" bestFit="1" customWidth="1"/>
    <col min="27" max="27" width="14.85546875" bestFit="1" customWidth="1"/>
    <col min="28" max="28" width="35.7109375" bestFit="1" customWidth="1"/>
    <col min="29" max="29" width="22.5703125" bestFit="1" customWidth="1"/>
    <col min="30" max="30" width="18.7109375" bestFit="1" customWidth="1"/>
    <col min="31" max="31" width="4.85546875" bestFit="1" customWidth="1"/>
    <col min="32" max="32" width="9.85546875" bestFit="1" customWidth="1"/>
    <col min="33" max="33" width="24.85546875" bestFit="1" customWidth="1"/>
    <col min="34" max="34" width="27" bestFit="1" customWidth="1"/>
    <col min="35" max="35" width="15.42578125" bestFit="1" customWidth="1"/>
    <col min="36" max="36" width="23" bestFit="1" customWidth="1"/>
    <col min="37" max="37" width="22.85546875" bestFit="1" customWidth="1"/>
    <col min="38" max="38" width="35.42578125" bestFit="1" customWidth="1"/>
    <col min="39" max="39" width="36.28515625" bestFit="1" customWidth="1"/>
    <col min="40" max="40" width="37.28515625" bestFit="1" customWidth="1"/>
    <col min="41" max="41" width="38.7109375" bestFit="1" customWidth="1"/>
    <col min="42" max="42" width="45.42578125" bestFit="1" customWidth="1"/>
    <col min="43" max="43" width="13.7109375" bestFit="1" customWidth="1"/>
    <col min="44" max="44" width="20.28515625" bestFit="1" customWidth="1"/>
    <col min="45" max="45" width="31.140625" bestFit="1" customWidth="1"/>
    <col min="46" max="46" width="21.5703125" bestFit="1" customWidth="1"/>
    <col min="47" max="47" width="19.85546875" bestFit="1" customWidth="1"/>
    <col min="48" max="48" width="26.85546875" bestFit="1" customWidth="1"/>
    <col min="49" max="49" width="36.42578125" bestFit="1" customWidth="1"/>
    <col min="50" max="50" width="35.85546875" bestFit="1" customWidth="1"/>
    <col min="51" max="51" width="29.28515625" bestFit="1" customWidth="1"/>
    <col min="52" max="52" width="32.28515625" bestFit="1" customWidth="1"/>
    <col min="53" max="53" width="22.7109375" bestFit="1" customWidth="1"/>
    <col min="54" max="54" width="25.7109375" bestFit="1" customWidth="1"/>
    <col min="55" max="55" width="20.5703125" bestFit="1" customWidth="1"/>
    <col min="56" max="56" width="24.42578125" bestFit="1" customWidth="1"/>
    <col min="57" max="57" width="24.5703125" bestFit="1" customWidth="1"/>
    <col min="58" max="58" width="25.7109375" bestFit="1" customWidth="1"/>
    <col min="59" max="59" width="17.28515625" bestFit="1" customWidth="1"/>
    <col min="60" max="60" width="22.7109375" bestFit="1" customWidth="1"/>
    <col min="61" max="61" width="21.7109375" bestFit="1" customWidth="1"/>
    <col min="62" max="62" width="27.42578125" bestFit="1" customWidth="1"/>
    <col min="63" max="63" width="15.7109375" bestFit="1" customWidth="1"/>
    <col min="64" max="64" width="17.28515625" bestFit="1" customWidth="1"/>
    <col min="65" max="65" width="25.85546875" bestFit="1" customWidth="1"/>
    <col min="66" max="66" width="14.5703125" bestFit="1" customWidth="1"/>
    <col min="67" max="67" width="7.28515625" bestFit="1" customWidth="1"/>
    <col min="68" max="68" width="6.28515625" bestFit="1" customWidth="1"/>
    <col min="69" max="69" width="6.85546875" bestFit="1" customWidth="1"/>
    <col min="70" max="70" width="14.5703125" bestFit="1" customWidth="1"/>
    <col min="71" max="71" width="11.140625" bestFit="1" customWidth="1"/>
    <col min="72" max="72" width="16.85546875" bestFit="1" customWidth="1"/>
    <col min="73" max="73" width="18.42578125" bestFit="1" customWidth="1"/>
    <col min="74" max="74" width="16.42578125" bestFit="1" customWidth="1"/>
    <col min="75" max="75" width="14.5703125" bestFit="1" customWidth="1"/>
    <col min="76" max="76" width="35.7109375" bestFit="1" customWidth="1"/>
    <col min="77" max="77" width="18.42578125" bestFit="1" customWidth="1"/>
    <col min="78" max="78" width="20.140625" bestFit="1" customWidth="1"/>
    <col min="79" max="79" width="52.28515625" bestFit="1" customWidth="1"/>
    <col min="80" max="80" width="21.5703125" bestFit="1" customWidth="1"/>
    <col min="81" max="81" width="5.140625" bestFit="1" customWidth="1"/>
    <col min="82" max="82" width="30.7109375" bestFit="1" customWidth="1"/>
    <col min="83" max="83" width="26.85546875" bestFit="1" customWidth="1"/>
    <col min="84" max="84" width="19.28515625" bestFit="1" customWidth="1"/>
    <col min="85" max="85" width="24" bestFit="1" customWidth="1"/>
    <col min="86" max="86" width="22.5703125" bestFit="1" customWidth="1"/>
    <col min="87" max="87" width="14.5703125" bestFit="1" customWidth="1"/>
    <col min="88" max="88" width="23.85546875" bestFit="1" customWidth="1"/>
    <col min="89" max="89" width="39" bestFit="1" customWidth="1"/>
    <col min="90" max="90" width="39.5703125" bestFit="1" customWidth="1"/>
    <col min="91" max="91" width="16" bestFit="1" customWidth="1"/>
    <col min="92" max="92" width="22.85546875" bestFit="1" customWidth="1"/>
    <col min="93" max="93" width="27.42578125" bestFit="1" customWidth="1"/>
    <col min="94" max="94" width="29" bestFit="1" customWidth="1"/>
    <col min="95" max="95" width="30.140625" bestFit="1" customWidth="1"/>
    <col min="96" max="96" width="48.140625" bestFit="1" customWidth="1"/>
    <col min="97" max="97" width="45.28515625" bestFit="1" customWidth="1"/>
    <col min="98" max="98" width="22.140625" bestFit="1" customWidth="1"/>
    <col min="99" max="99" width="31.5703125" bestFit="1" customWidth="1"/>
    <col min="100" max="100" width="37.5703125" bestFit="1" customWidth="1"/>
    <col min="101" max="101" width="39.28515625" bestFit="1" customWidth="1"/>
    <col min="102" max="102" width="18" bestFit="1" customWidth="1"/>
    <col min="103" max="103" width="69.28515625" bestFit="1" customWidth="1"/>
    <col min="104" max="104" width="43.5703125" bestFit="1" customWidth="1"/>
    <col min="105" max="105" width="11.5703125" bestFit="1" customWidth="1"/>
    <col min="106" max="106" width="17.5703125" bestFit="1" customWidth="1"/>
    <col min="107" max="107" width="49.42578125" bestFit="1" customWidth="1"/>
    <col min="108" max="108" width="64.140625" bestFit="1" customWidth="1"/>
    <col min="109" max="109" width="45.42578125" bestFit="1" customWidth="1"/>
    <col min="110" max="110" width="14.7109375" bestFit="1" customWidth="1"/>
    <col min="111" max="111" width="94.28515625" bestFit="1" customWidth="1"/>
    <col min="112" max="112" width="25.7109375" bestFit="1" customWidth="1"/>
    <col min="113" max="113" width="29.28515625" bestFit="1" customWidth="1"/>
    <col min="114" max="114" width="18.5703125" bestFit="1" customWidth="1"/>
    <col min="115" max="115" width="20.140625" bestFit="1" customWidth="1"/>
    <col min="116" max="116" width="30" bestFit="1" customWidth="1"/>
    <col min="117" max="117" width="13.28515625" bestFit="1" customWidth="1"/>
    <col min="118" max="118" width="6.7109375" bestFit="1" customWidth="1"/>
    <col min="119" max="119" width="28.140625" bestFit="1" customWidth="1"/>
    <col min="120" max="120" width="42.7109375" bestFit="1" customWidth="1"/>
    <col min="121" max="121" width="45.42578125" bestFit="1" customWidth="1"/>
    <col min="122" max="122" width="40.28515625" bestFit="1" customWidth="1"/>
    <col min="123" max="123" width="20.28515625" bestFit="1" customWidth="1"/>
    <col min="124" max="124" width="41.140625" bestFit="1" customWidth="1"/>
    <col min="125" max="125" width="28" bestFit="1" customWidth="1"/>
    <col min="126" max="126" width="24.140625" bestFit="1" customWidth="1"/>
    <col min="127" max="127" width="10.140625" bestFit="1" customWidth="1"/>
    <col min="128" max="128" width="15.28515625" bestFit="1" customWidth="1"/>
    <col min="129" max="129" width="30.42578125" bestFit="1" customWidth="1"/>
    <col min="130" max="130" width="17.5703125" bestFit="1" customWidth="1"/>
    <col min="131" max="131" width="17.28515625" bestFit="1" customWidth="1"/>
    <col min="132" max="132" width="32.42578125" bestFit="1" customWidth="1"/>
    <col min="133" max="133" width="20.85546875" bestFit="1" customWidth="1"/>
    <col min="134" max="134" width="28.42578125" bestFit="1" customWidth="1"/>
    <col min="135" max="135" width="28.28515625" bestFit="1" customWidth="1"/>
    <col min="136" max="136" width="40.85546875" bestFit="1" customWidth="1"/>
    <col min="137" max="137" width="41.7109375" bestFit="1" customWidth="1"/>
    <col min="138" max="138" width="42.85546875" bestFit="1" customWidth="1"/>
    <col min="139" max="139" width="44.140625" bestFit="1" customWidth="1"/>
    <col min="140" max="140" width="51" bestFit="1" customWidth="1"/>
    <col min="141" max="141" width="19.140625" bestFit="1" customWidth="1"/>
    <col min="142" max="142" width="25.85546875" bestFit="1" customWidth="1"/>
    <col min="143" max="143" width="36.5703125" bestFit="1" customWidth="1"/>
    <col min="144" max="144" width="27" bestFit="1" customWidth="1"/>
    <col min="145" max="145" width="25.28515625" bestFit="1" customWidth="1"/>
    <col min="146" max="146" width="32.28515625" bestFit="1" customWidth="1"/>
    <col min="147" max="147" width="41.85546875" bestFit="1" customWidth="1"/>
    <col min="148" max="148" width="41.28515625" bestFit="1" customWidth="1"/>
    <col min="149" max="149" width="34.85546875" bestFit="1" customWidth="1"/>
    <col min="150" max="150" width="37.7109375" bestFit="1" customWidth="1"/>
    <col min="151" max="151" width="28.140625" bestFit="1" customWidth="1"/>
    <col min="152" max="152" width="31.140625" bestFit="1" customWidth="1"/>
    <col min="153" max="153" width="26.140625" bestFit="1" customWidth="1"/>
    <col min="154" max="154" width="30" bestFit="1" customWidth="1"/>
    <col min="155" max="155" width="30.140625" bestFit="1" customWidth="1"/>
    <col min="156" max="156" width="31.5703125" bestFit="1" customWidth="1"/>
    <col min="157" max="157" width="37" bestFit="1" customWidth="1"/>
    <col min="158" max="158" width="35" bestFit="1" customWidth="1"/>
    <col min="159" max="159" width="32.85546875" bestFit="1" customWidth="1"/>
    <col min="160" max="160" width="21.140625" bestFit="1" customWidth="1"/>
    <col min="161" max="161" width="22.7109375" bestFit="1" customWidth="1"/>
    <col min="162" max="162" width="15.140625" bestFit="1" customWidth="1"/>
    <col min="163" max="163" width="9.42578125" bestFit="1" customWidth="1"/>
    <col min="164" max="164" width="11.5703125" bestFit="1" customWidth="1"/>
    <col min="165" max="165" width="12.140625" bestFit="1" customWidth="1"/>
    <col min="166" max="166" width="17.85546875" bestFit="1" customWidth="1"/>
    <col min="167" max="167" width="16.5703125" bestFit="1" customWidth="1"/>
    <col min="168" max="168" width="16.85546875" bestFit="1" customWidth="1"/>
    <col min="169" max="169" width="23.85546875" bestFit="1" customWidth="1"/>
    <col min="170" max="170" width="22" bestFit="1" customWidth="1"/>
    <col min="171" max="171" width="18.42578125" bestFit="1" customWidth="1"/>
    <col min="172" max="172" width="41.140625" bestFit="1" customWidth="1"/>
    <col min="173" max="173" width="14.5703125" bestFit="1" customWidth="1"/>
    <col min="174" max="174" width="23.85546875" bestFit="1" customWidth="1"/>
    <col min="175" max="175" width="25.7109375" bestFit="1" customWidth="1"/>
    <col min="176" max="176" width="57.7109375" bestFit="1" customWidth="1"/>
    <col min="177" max="177" width="10.42578125" bestFit="1" customWidth="1"/>
    <col min="178" max="178" width="36.140625" bestFit="1" customWidth="1"/>
    <col min="179" max="179" width="32.28515625" bestFit="1" customWidth="1"/>
    <col min="180" max="180" width="24.7109375" bestFit="1" customWidth="1"/>
    <col min="181" max="181" width="29.42578125" bestFit="1" customWidth="1"/>
    <col min="182" max="182" width="28" bestFit="1" customWidth="1"/>
    <col min="183" max="183" width="20" bestFit="1" customWidth="1"/>
    <col min="184" max="184" width="29.28515625" bestFit="1" customWidth="1"/>
    <col min="185" max="185" width="44.42578125" bestFit="1" customWidth="1"/>
    <col min="186" max="186" width="45" bestFit="1" customWidth="1"/>
    <col min="187" max="187" width="21.5703125" bestFit="1" customWidth="1"/>
    <col min="188" max="188" width="28.28515625" bestFit="1" customWidth="1"/>
    <col min="189" max="189" width="53.5703125" bestFit="1" customWidth="1"/>
    <col min="190" max="190" width="50.85546875" bestFit="1" customWidth="1"/>
    <col min="191" max="191" width="27.5703125" bestFit="1" customWidth="1"/>
    <col min="192" max="192" width="37" bestFit="1" customWidth="1"/>
    <col min="193" max="193" width="43.140625" bestFit="1" customWidth="1"/>
    <col min="194" max="194" width="44.7109375" bestFit="1" customWidth="1"/>
    <col min="195" max="195" width="23.42578125" bestFit="1" customWidth="1"/>
    <col min="196" max="196" width="51.140625" bestFit="1" customWidth="1"/>
    <col min="197" max="197" width="49" bestFit="1" customWidth="1"/>
    <col min="198" max="198" width="17" bestFit="1" customWidth="1"/>
    <col min="199" max="199" width="23" bestFit="1" customWidth="1"/>
    <col min="200" max="200" width="55" bestFit="1" customWidth="1"/>
    <col min="201" max="201" width="69.5703125" bestFit="1" customWidth="1"/>
    <col min="202" max="202" width="18" bestFit="1" customWidth="1"/>
    <col min="203" max="203" width="18.85546875" bestFit="1" customWidth="1"/>
    <col min="204" max="204" width="43.5703125" bestFit="1" customWidth="1"/>
    <col min="205" max="205" width="24.85546875" bestFit="1" customWidth="1"/>
    <col min="206" max="206" width="22.85546875" bestFit="1" customWidth="1"/>
    <col min="207" max="207" width="14.7109375" bestFit="1" customWidth="1"/>
    <col min="208" max="208" width="20.28515625" bestFit="1" customWidth="1"/>
    <col min="209" max="209" width="31" bestFit="1" customWidth="1"/>
    <col min="210" max="210" width="28.85546875" bestFit="1" customWidth="1"/>
    <col min="211" max="211" width="20.7109375" bestFit="1" customWidth="1"/>
    <col min="212" max="212" width="26.85546875" bestFit="1" customWidth="1"/>
    <col min="213" max="213" width="24" bestFit="1" customWidth="1"/>
    <col min="214" max="214" width="22" bestFit="1" customWidth="1"/>
    <col min="215" max="215" width="13.85546875" bestFit="1" customWidth="1"/>
    <col min="216" max="216" width="19.42578125" bestFit="1" customWidth="1"/>
    <col min="217" max="217" width="30.140625" bestFit="1" customWidth="1"/>
    <col min="218" max="218" width="28" bestFit="1" customWidth="1"/>
    <col min="219" max="219" width="19.85546875" bestFit="1" customWidth="1"/>
    <col min="220" max="220" width="26.85546875" bestFit="1" customWidth="1"/>
    <col min="221" max="221" width="24.7109375" bestFit="1" customWidth="1"/>
    <col min="222" max="222" width="22.7109375" bestFit="1" customWidth="1"/>
    <col min="223" max="223" width="14.5703125" bestFit="1" customWidth="1"/>
    <col min="224" max="224" width="20.140625" bestFit="1" customWidth="1"/>
    <col min="225" max="225" width="30.85546875" bestFit="1" customWidth="1"/>
    <col min="226" max="226" width="28.7109375" bestFit="1" customWidth="1"/>
    <col min="227" max="227" width="20.5703125" bestFit="1" customWidth="1"/>
    <col min="228" max="228" width="26.85546875" bestFit="1" customWidth="1"/>
    <col min="229" max="229" width="26.7109375" bestFit="1" customWidth="1"/>
    <col min="230" max="230" width="24.5703125" bestFit="1" customWidth="1"/>
  </cols>
  <sheetData>
    <row r="1" spans="1:230" s="2" customFormat="1" ht="16.5" thickBot="1" x14ac:dyDescent="0.3">
      <c r="A1" s="1" t="s">
        <v>0</v>
      </c>
      <c r="B1" s="54" t="s">
        <v>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 t="s">
        <v>265</v>
      </c>
      <c r="X1" s="54"/>
      <c r="Y1" s="54"/>
      <c r="Z1" s="54"/>
      <c r="AA1" s="54"/>
      <c r="AB1" s="54"/>
      <c r="AC1" s="54" t="s">
        <v>266</v>
      </c>
      <c r="AD1" s="54"/>
      <c r="AE1" s="54"/>
      <c r="AF1" s="54"/>
      <c r="AG1" s="54" t="s">
        <v>267</v>
      </c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G1" s="2" t="s">
        <v>268</v>
      </c>
      <c r="BH1" s="2" t="s">
        <v>269</v>
      </c>
      <c r="BI1" s="2" t="s">
        <v>270</v>
      </c>
      <c r="BJ1" s="54" t="s">
        <v>271</v>
      </c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J1" s="54" t="s">
        <v>12</v>
      </c>
      <c r="DK1" s="54"/>
      <c r="DL1" s="54"/>
      <c r="DM1" s="54"/>
      <c r="DN1" s="54"/>
      <c r="DO1" s="54" t="s">
        <v>272</v>
      </c>
      <c r="DP1" s="54"/>
      <c r="DQ1" s="54"/>
      <c r="DR1" s="54"/>
      <c r="DS1" s="54"/>
      <c r="DT1" s="54"/>
      <c r="DU1" s="54" t="s">
        <v>273</v>
      </c>
      <c r="DV1" s="54"/>
      <c r="DW1" s="54"/>
      <c r="DX1" s="54"/>
      <c r="DY1" s="54" t="s">
        <v>274</v>
      </c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2" t="s">
        <v>275</v>
      </c>
      <c r="FA1" s="2" t="s">
        <v>276</v>
      </c>
      <c r="FB1" s="2" t="s">
        <v>277</v>
      </c>
      <c r="FC1" s="54" t="s">
        <v>278</v>
      </c>
      <c r="FD1" s="54"/>
      <c r="FE1" s="54"/>
      <c r="FF1" s="54"/>
      <c r="FG1" s="54"/>
      <c r="FH1" s="54"/>
      <c r="FI1" s="54"/>
      <c r="FJ1" s="54"/>
      <c r="FK1" s="54"/>
      <c r="FL1" s="54"/>
      <c r="FM1" s="54"/>
      <c r="FN1" s="54"/>
      <c r="FO1" s="54"/>
      <c r="FP1" s="54"/>
      <c r="FQ1" s="54"/>
      <c r="FR1" s="54"/>
      <c r="FS1" s="54"/>
      <c r="FT1" s="54"/>
      <c r="FU1" s="54"/>
      <c r="FV1" s="54"/>
      <c r="FW1" s="54"/>
      <c r="FX1" s="54"/>
      <c r="FY1" s="54"/>
      <c r="FZ1" s="54"/>
      <c r="GA1" s="54"/>
      <c r="GB1" s="54"/>
      <c r="GC1" s="54"/>
      <c r="GD1" s="54"/>
      <c r="GE1" s="54"/>
      <c r="GF1" s="54"/>
      <c r="GG1" s="54"/>
      <c r="GH1" s="54"/>
      <c r="GI1" s="54"/>
      <c r="GJ1" s="54"/>
      <c r="GK1" s="54"/>
      <c r="GL1" s="54"/>
      <c r="GM1" s="54"/>
      <c r="GN1" s="54"/>
      <c r="GO1" s="54"/>
      <c r="GP1" s="54"/>
      <c r="GQ1" s="54"/>
      <c r="GR1" s="54"/>
      <c r="GS1" s="54"/>
      <c r="GT1" s="54"/>
      <c r="GU1" s="54"/>
      <c r="GV1" s="54"/>
    </row>
    <row r="2" spans="1:230" s="5" customFormat="1" ht="16.5" thickBot="1" x14ac:dyDescent="0.3">
      <c r="A2" s="3" t="s">
        <v>13</v>
      </c>
      <c r="B2" s="4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  <c r="R2" s="5" t="s">
        <v>30</v>
      </c>
      <c r="S2" s="5" t="s">
        <v>31</v>
      </c>
      <c r="T2" s="5" t="s">
        <v>32</v>
      </c>
      <c r="U2" s="5" t="s">
        <v>33</v>
      </c>
      <c r="V2" s="5" t="s">
        <v>34</v>
      </c>
      <c r="W2" s="5" t="s">
        <v>279</v>
      </c>
      <c r="X2" s="5" t="s">
        <v>280</v>
      </c>
      <c r="Y2" s="5" t="s">
        <v>281</v>
      </c>
      <c r="Z2" s="5" t="s">
        <v>282</v>
      </c>
      <c r="AA2" s="5" t="s">
        <v>283</v>
      </c>
      <c r="AB2" s="5" t="s">
        <v>284</v>
      </c>
      <c r="AC2" s="5" t="s">
        <v>285</v>
      </c>
      <c r="AD2" s="5" t="s">
        <v>286</v>
      </c>
      <c r="AE2" s="5" t="s">
        <v>287</v>
      </c>
      <c r="AF2" s="5" t="s">
        <v>288</v>
      </c>
      <c r="AG2" s="5" t="s">
        <v>289</v>
      </c>
      <c r="AH2" s="5" t="s">
        <v>290</v>
      </c>
      <c r="AI2" s="5" t="s">
        <v>291</v>
      </c>
      <c r="AJ2" s="5" t="s">
        <v>292</v>
      </c>
      <c r="AK2" s="5" t="s">
        <v>293</v>
      </c>
      <c r="AL2" s="5" t="s">
        <v>294</v>
      </c>
      <c r="AM2" s="5" t="s">
        <v>295</v>
      </c>
      <c r="AN2" s="5" t="s">
        <v>296</v>
      </c>
      <c r="AO2" s="5" t="s">
        <v>297</v>
      </c>
      <c r="AP2" s="5" t="s">
        <v>298</v>
      </c>
      <c r="AQ2" s="5" t="s">
        <v>299</v>
      </c>
      <c r="AR2" s="5" t="s">
        <v>300</v>
      </c>
      <c r="AS2" s="5" t="s">
        <v>301</v>
      </c>
      <c r="AT2" s="5" t="s">
        <v>302</v>
      </c>
      <c r="AU2" s="5" t="s">
        <v>303</v>
      </c>
      <c r="AV2" s="5" t="s">
        <v>304</v>
      </c>
      <c r="AW2" s="5" t="s">
        <v>305</v>
      </c>
      <c r="AX2" s="5" t="s">
        <v>306</v>
      </c>
      <c r="AY2" s="5" t="s">
        <v>307</v>
      </c>
      <c r="AZ2" s="5" t="s">
        <v>308</v>
      </c>
      <c r="BA2" s="5" t="s">
        <v>309</v>
      </c>
      <c r="BB2" s="5" t="s">
        <v>310</v>
      </c>
      <c r="BC2" s="5" t="s">
        <v>311</v>
      </c>
      <c r="BD2" s="5" t="s">
        <v>312</v>
      </c>
      <c r="BE2" s="5" t="s">
        <v>313</v>
      </c>
      <c r="BF2" s="5" t="s">
        <v>314</v>
      </c>
      <c r="BG2" s="5" t="s">
        <v>315</v>
      </c>
      <c r="BH2" s="5" t="s">
        <v>316</v>
      </c>
      <c r="BI2" s="5" t="s">
        <v>317</v>
      </c>
      <c r="BJ2" s="5" t="s">
        <v>318</v>
      </c>
      <c r="BK2" s="5" t="s">
        <v>319</v>
      </c>
      <c r="BL2" s="5" t="s">
        <v>320</v>
      </c>
      <c r="BM2" s="5" t="s">
        <v>321</v>
      </c>
      <c r="BN2" s="5" t="s">
        <v>322</v>
      </c>
      <c r="BO2" s="5" t="s">
        <v>323</v>
      </c>
      <c r="BP2" s="5" t="s">
        <v>324</v>
      </c>
      <c r="BQ2" s="5" t="s">
        <v>325</v>
      </c>
      <c r="BR2" s="5" t="s">
        <v>326</v>
      </c>
      <c r="BS2" s="5" t="s">
        <v>327</v>
      </c>
      <c r="BT2" s="5" t="s">
        <v>328</v>
      </c>
      <c r="BU2" s="5" t="s">
        <v>329</v>
      </c>
      <c r="BV2" s="5" t="s">
        <v>330</v>
      </c>
      <c r="BW2" s="5" t="s">
        <v>331</v>
      </c>
      <c r="BX2" s="5" t="s">
        <v>332</v>
      </c>
      <c r="BY2" s="5" t="s">
        <v>333</v>
      </c>
      <c r="BZ2" s="5" t="s">
        <v>334</v>
      </c>
      <c r="CA2" s="5" t="s">
        <v>335</v>
      </c>
      <c r="CB2" s="5" t="s">
        <v>336</v>
      </c>
      <c r="CC2" s="5" t="s">
        <v>337</v>
      </c>
      <c r="CD2" s="5" t="s">
        <v>338</v>
      </c>
      <c r="CE2" s="5" t="s">
        <v>339</v>
      </c>
      <c r="CF2" s="5" t="s">
        <v>340</v>
      </c>
      <c r="CG2" s="5" t="s">
        <v>341</v>
      </c>
      <c r="CH2" s="5" t="s">
        <v>342</v>
      </c>
      <c r="CI2" s="5" t="s">
        <v>343</v>
      </c>
      <c r="CJ2" s="5" t="s">
        <v>156</v>
      </c>
      <c r="CK2" s="5" t="s">
        <v>157</v>
      </c>
      <c r="CL2" s="5" t="s">
        <v>158</v>
      </c>
      <c r="CM2" s="5" t="s">
        <v>344</v>
      </c>
      <c r="CN2" s="5" t="s">
        <v>345</v>
      </c>
      <c r="CO2" s="5" t="s">
        <v>346</v>
      </c>
      <c r="CP2" s="5" t="s">
        <v>347</v>
      </c>
      <c r="CQ2" s="5" t="s">
        <v>348</v>
      </c>
      <c r="CR2" s="5" t="s">
        <v>349</v>
      </c>
      <c r="CS2" s="5" t="s">
        <v>350</v>
      </c>
      <c r="CT2" s="5" t="s">
        <v>351</v>
      </c>
      <c r="CU2" s="5" t="s">
        <v>352</v>
      </c>
      <c r="CV2" s="5" t="s">
        <v>353</v>
      </c>
      <c r="CW2" s="5" t="s">
        <v>354</v>
      </c>
      <c r="CX2" s="5" t="s">
        <v>355</v>
      </c>
      <c r="CY2" s="5" t="s">
        <v>356</v>
      </c>
      <c r="CZ2" s="5" t="s">
        <v>357</v>
      </c>
      <c r="DA2" s="5" t="s">
        <v>358</v>
      </c>
      <c r="DB2" s="5" t="s">
        <v>359</v>
      </c>
      <c r="DC2" s="5" t="s">
        <v>360</v>
      </c>
      <c r="DD2" s="5" t="s">
        <v>361</v>
      </c>
      <c r="DE2" s="5" t="s">
        <v>362</v>
      </c>
      <c r="DF2" s="5" t="s">
        <v>363</v>
      </c>
      <c r="DG2" s="5" t="s">
        <v>364</v>
      </c>
      <c r="DH2" s="5" t="s">
        <v>365</v>
      </c>
      <c r="DI2" s="5" t="s">
        <v>366</v>
      </c>
      <c r="DJ2" s="5" t="s">
        <v>178</v>
      </c>
      <c r="DK2" s="5" t="s">
        <v>179</v>
      </c>
      <c r="DL2" s="5" t="s">
        <v>180</v>
      </c>
      <c r="DM2" s="5" t="s">
        <v>181</v>
      </c>
      <c r="DN2" s="5" t="s">
        <v>182</v>
      </c>
      <c r="DO2" s="5" t="s">
        <v>367</v>
      </c>
      <c r="DP2" s="5" t="s">
        <v>368</v>
      </c>
      <c r="DQ2" s="5" t="s">
        <v>369</v>
      </c>
      <c r="DR2" s="5" t="s">
        <v>370</v>
      </c>
      <c r="DS2" s="5" t="s">
        <v>371</v>
      </c>
      <c r="DT2" s="5" t="s">
        <v>372</v>
      </c>
      <c r="DU2" s="5" t="s">
        <v>373</v>
      </c>
      <c r="DV2" s="5" t="s">
        <v>374</v>
      </c>
      <c r="DW2" s="5" t="s">
        <v>375</v>
      </c>
      <c r="DX2" s="5" t="s">
        <v>376</v>
      </c>
      <c r="DY2" s="5" t="s">
        <v>377</v>
      </c>
      <c r="DZ2" s="5" t="s">
        <v>378</v>
      </c>
      <c r="EA2" s="5" t="s">
        <v>379</v>
      </c>
      <c r="EB2" s="5" t="s">
        <v>380</v>
      </c>
      <c r="EC2" s="5" t="s">
        <v>381</v>
      </c>
      <c r="ED2" s="5" t="s">
        <v>382</v>
      </c>
      <c r="EE2" s="5" t="s">
        <v>383</v>
      </c>
      <c r="EF2" s="5" t="s">
        <v>384</v>
      </c>
      <c r="EG2" s="5" t="s">
        <v>385</v>
      </c>
      <c r="EH2" s="5" t="s">
        <v>386</v>
      </c>
      <c r="EI2" s="5" t="s">
        <v>387</v>
      </c>
      <c r="EJ2" s="5" t="s">
        <v>388</v>
      </c>
      <c r="EK2" s="5" t="s">
        <v>389</v>
      </c>
      <c r="EL2" s="5" t="s">
        <v>390</v>
      </c>
      <c r="EM2" s="5" t="s">
        <v>391</v>
      </c>
      <c r="EN2" s="5" t="s">
        <v>392</v>
      </c>
      <c r="EO2" s="5" t="s">
        <v>393</v>
      </c>
      <c r="EP2" s="5" t="s">
        <v>394</v>
      </c>
      <c r="EQ2" s="5" t="s">
        <v>395</v>
      </c>
      <c r="ER2" s="5" t="s">
        <v>396</v>
      </c>
      <c r="ES2" s="5" t="s">
        <v>397</v>
      </c>
      <c r="ET2" s="5" t="s">
        <v>398</v>
      </c>
      <c r="EU2" s="5" t="s">
        <v>399</v>
      </c>
      <c r="EV2" s="5" t="s">
        <v>400</v>
      </c>
      <c r="EW2" s="5" t="s">
        <v>401</v>
      </c>
      <c r="EX2" s="5" t="s">
        <v>402</v>
      </c>
      <c r="EY2" s="5" t="s">
        <v>403</v>
      </c>
      <c r="EZ2" s="5" t="s">
        <v>404</v>
      </c>
      <c r="FA2" s="5" t="s">
        <v>405</v>
      </c>
      <c r="FB2" s="5" t="s">
        <v>406</v>
      </c>
      <c r="FC2" s="5" t="s">
        <v>407</v>
      </c>
      <c r="FD2" s="5" t="s">
        <v>408</v>
      </c>
      <c r="FE2" s="5" t="s">
        <v>409</v>
      </c>
      <c r="FF2" s="5" t="s">
        <v>410</v>
      </c>
      <c r="FG2" s="5" t="s">
        <v>411</v>
      </c>
      <c r="FH2" s="5" t="s">
        <v>412</v>
      </c>
      <c r="FI2" s="5" t="s">
        <v>413</v>
      </c>
      <c r="FJ2" s="5" t="s">
        <v>414</v>
      </c>
      <c r="FK2" s="5" t="s">
        <v>415</v>
      </c>
      <c r="FL2" s="5" t="s">
        <v>328</v>
      </c>
      <c r="FM2" s="5" t="s">
        <v>416</v>
      </c>
      <c r="FN2" s="5" t="s">
        <v>417</v>
      </c>
      <c r="FO2" s="5" t="s">
        <v>418</v>
      </c>
      <c r="FP2" s="5" t="s">
        <v>419</v>
      </c>
      <c r="FQ2" s="5" t="s">
        <v>420</v>
      </c>
      <c r="FR2" s="5" t="s">
        <v>421</v>
      </c>
      <c r="FS2" s="5" t="s">
        <v>422</v>
      </c>
      <c r="FT2" s="5" t="s">
        <v>423</v>
      </c>
      <c r="FU2" s="5" t="s">
        <v>424</v>
      </c>
      <c r="FV2" s="5" t="s">
        <v>425</v>
      </c>
      <c r="FW2" s="5" t="s">
        <v>426</v>
      </c>
      <c r="FX2" s="5" t="s">
        <v>427</v>
      </c>
      <c r="FY2" s="5" t="s">
        <v>428</v>
      </c>
      <c r="FZ2" s="5" t="s">
        <v>429</v>
      </c>
      <c r="GA2" s="5" t="s">
        <v>430</v>
      </c>
      <c r="GB2" s="5" t="s">
        <v>431</v>
      </c>
      <c r="GC2" s="5" t="s">
        <v>432</v>
      </c>
      <c r="GD2" s="5" t="s">
        <v>433</v>
      </c>
      <c r="GE2" s="5" t="s">
        <v>434</v>
      </c>
      <c r="GF2" s="5" t="s">
        <v>435</v>
      </c>
      <c r="GG2" s="5" t="s">
        <v>436</v>
      </c>
      <c r="GH2" s="5" t="s">
        <v>437</v>
      </c>
      <c r="GI2" s="5" t="s">
        <v>438</v>
      </c>
      <c r="GJ2" s="5" t="s">
        <v>439</v>
      </c>
      <c r="GK2" s="5" t="s">
        <v>440</v>
      </c>
      <c r="GL2" s="5" t="s">
        <v>441</v>
      </c>
      <c r="GM2" s="5" t="s">
        <v>442</v>
      </c>
      <c r="GN2" s="5" t="s">
        <v>443</v>
      </c>
      <c r="GO2" s="5" t="s">
        <v>444</v>
      </c>
      <c r="GP2" s="5" t="s">
        <v>445</v>
      </c>
      <c r="GQ2" s="5" t="s">
        <v>446</v>
      </c>
      <c r="GR2" s="5" t="s">
        <v>447</v>
      </c>
      <c r="GS2" s="5" t="s">
        <v>448</v>
      </c>
      <c r="GT2" s="5" t="s">
        <v>449</v>
      </c>
      <c r="GU2" s="5" t="s">
        <v>450</v>
      </c>
      <c r="GV2" s="5" t="s">
        <v>451</v>
      </c>
      <c r="GW2" s="5" t="s">
        <v>183</v>
      </c>
      <c r="GX2" s="5" t="s">
        <v>184</v>
      </c>
      <c r="GY2" s="5" t="s">
        <v>185</v>
      </c>
      <c r="GZ2" s="5" t="s">
        <v>186</v>
      </c>
      <c r="HA2" s="5" t="s">
        <v>187</v>
      </c>
      <c r="HB2" s="5" t="s">
        <v>188</v>
      </c>
      <c r="HC2" s="5" t="s">
        <v>189</v>
      </c>
      <c r="HD2" s="5" t="s">
        <v>190</v>
      </c>
      <c r="HE2" s="5" t="s">
        <v>191</v>
      </c>
      <c r="HF2" s="5" t="s">
        <v>192</v>
      </c>
      <c r="HG2" s="5" t="s">
        <v>193</v>
      </c>
      <c r="HH2" s="5" t="s">
        <v>194</v>
      </c>
      <c r="HI2" s="5" t="s">
        <v>195</v>
      </c>
      <c r="HJ2" s="5" t="s">
        <v>196</v>
      </c>
      <c r="HK2" s="5" t="s">
        <v>197</v>
      </c>
      <c r="HL2" s="5" t="s">
        <v>198</v>
      </c>
      <c r="HM2" s="5" t="s">
        <v>199</v>
      </c>
      <c r="HN2" s="5" t="s">
        <v>200</v>
      </c>
      <c r="HO2" s="5" t="s">
        <v>201</v>
      </c>
      <c r="HP2" s="5" t="s">
        <v>202</v>
      </c>
      <c r="HQ2" s="5" t="s">
        <v>203</v>
      </c>
      <c r="HR2" s="5" t="s">
        <v>204</v>
      </c>
      <c r="HS2" s="5" t="s">
        <v>205</v>
      </c>
      <c r="HT2" s="5" t="s">
        <v>206</v>
      </c>
      <c r="HU2" s="5" t="s">
        <v>207</v>
      </c>
      <c r="HV2" s="5" t="s">
        <v>208</v>
      </c>
    </row>
    <row r="3" spans="1:230" s="8" customFormat="1" ht="15.75" x14ac:dyDescent="0.25">
      <c r="A3" s="6" t="s">
        <v>209</v>
      </c>
      <c r="B3" s="7" t="str">
        <f t="shared" ref="B3:B4" ca="1" si="0">TEXT(TODAY(), "mm/dd/yyyy")</f>
        <v>05/08/2023</v>
      </c>
      <c r="C3" s="8" t="s">
        <v>210</v>
      </c>
      <c r="D3" s="8" t="s">
        <v>452</v>
      </c>
      <c r="F3" s="8" t="s">
        <v>213</v>
      </c>
      <c r="G3" s="8" t="s">
        <v>214</v>
      </c>
      <c r="H3" s="8" t="s">
        <v>215</v>
      </c>
      <c r="I3" s="8" t="s">
        <v>216</v>
      </c>
      <c r="J3" s="8" t="s">
        <v>217</v>
      </c>
      <c r="L3" s="8" t="s">
        <v>218</v>
      </c>
      <c r="M3" s="8" t="s">
        <v>212</v>
      </c>
      <c r="N3" s="8" t="s">
        <v>212</v>
      </c>
      <c r="O3" s="8" t="s">
        <v>218</v>
      </c>
      <c r="P3" s="8" t="s">
        <v>219</v>
      </c>
      <c r="Q3" s="8" t="s">
        <v>220</v>
      </c>
      <c r="R3" s="8" t="s">
        <v>221</v>
      </c>
      <c r="S3" s="8" t="s">
        <v>222</v>
      </c>
      <c r="T3" s="8" t="s">
        <v>212</v>
      </c>
      <c r="W3" s="8" t="s">
        <v>453</v>
      </c>
      <c r="X3" s="8" t="s">
        <v>212</v>
      </c>
      <c r="Y3" s="8" t="s">
        <v>212</v>
      </c>
      <c r="Z3" s="8" t="s">
        <v>212</v>
      </c>
      <c r="AA3" s="8" t="s">
        <v>212</v>
      </c>
      <c r="AB3" s="8" t="s">
        <v>212</v>
      </c>
      <c r="AC3" s="8" t="s">
        <v>236</v>
      </c>
      <c r="AD3" s="8" t="s">
        <v>454</v>
      </c>
      <c r="AE3" s="8" t="s">
        <v>455</v>
      </c>
      <c r="AF3" s="8" t="s">
        <v>230</v>
      </c>
      <c r="AG3" s="8" t="s">
        <v>456</v>
      </c>
      <c r="AI3" s="8" t="s">
        <v>457</v>
      </c>
      <c r="AJ3" s="8" t="s">
        <v>458</v>
      </c>
      <c r="AK3" s="8" t="s">
        <v>459</v>
      </c>
      <c r="AL3" s="8" t="s">
        <v>460</v>
      </c>
      <c r="AM3" s="8" t="s">
        <v>212</v>
      </c>
      <c r="AN3" s="8" t="s">
        <v>212</v>
      </c>
      <c r="AO3" s="8" t="s">
        <v>212</v>
      </c>
      <c r="AP3" s="8" t="s">
        <v>461</v>
      </c>
      <c r="AQ3" s="8" t="s">
        <v>218</v>
      </c>
      <c r="AR3" s="8" t="s">
        <v>462</v>
      </c>
      <c r="AS3" s="8" t="s">
        <v>212</v>
      </c>
      <c r="AT3" s="8" t="s">
        <v>212</v>
      </c>
      <c r="AU3" s="8" t="s">
        <v>212</v>
      </c>
      <c r="AV3" s="8" t="s">
        <v>212</v>
      </c>
      <c r="AW3" s="8" t="s">
        <v>212</v>
      </c>
      <c r="AX3" s="8" t="s">
        <v>212</v>
      </c>
      <c r="AY3" s="8" t="s">
        <v>463</v>
      </c>
      <c r="AZ3" s="8" t="s">
        <v>464</v>
      </c>
      <c r="BA3" s="8" t="s">
        <v>213</v>
      </c>
      <c r="BB3" s="8" t="s">
        <v>464</v>
      </c>
      <c r="BC3" s="8" t="s">
        <v>465</v>
      </c>
      <c r="BF3" s="8" t="s">
        <v>466</v>
      </c>
      <c r="BG3" s="8" t="s">
        <v>247</v>
      </c>
      <c r="BH3" s="9" t="s">
        <v>247</v>
      </c>
      <c r="BI3" s="8" t="s">
        <v>467</v>
      </c>
      <c r="BJ3" s="8" t="s">
        <v>468</v>
      </c>
      <c r="BL3" s="8" t="s">
        <v>263</v>
      </c>
      <c r="BN3" s="8" t="s">
        <v>469</v>
      </c>
      <c r="BO3" s="8" t="s">
        <v>470</v>
      </c>
      <c r="BR3" s="8" t="s">
        <v>469</v>
      </c>
      <c r="BS3" s="8" t="s">
        <v>471</v>
      </c>
      <c r="BT3" s="8" t="s">
        <v>471</v>
      </c>
      <c r="BU3" s="8" t="s">
        <v>471</v>
      </c>
      <c r="BW3" s="8" t="s">
        <v>472</v>
      </c>
      <c r="CJ3" s="8" t="s">
        <v>212</v>
      </c>
      <c r="CK3" s="8" t="s">
        <v>212</v>
      </c>
      <c r="CL3" s="8" t="s">
        <v>212</v>
      </c>
      <c r="CM3" s="8" t="s">
        <v>473</v>
      </c>
      <c r="CN3" s="8" t="s">
        <v>470</v>
      </c>
      <c r="CR3" s="8" t="s">
        <v>474</v>
      </c>
      <c r="CS3" s="8" t="s">
        <v>468</v>
      </c>
      <c r="CT3" s="8" t="s">
        <v>475</v>
      </c>
      <c r="CU3" s="8" t="s">
        <v>476</v>
      </c>
      <c r="CV3" s="8" t="s">
        <v>212</v>
      </c>
      <c r="CW3" s="8" t="s">
        <v>212</v>
      </c>
      <c r="CX3" s="8" t="s">
        <v>263</v>
      </c>
      <c r="CY3" s="8" t="s">
        <v>477</v>
      </c>
      <c r="CZ3" s="8" t="s">
        <v>478</v>
      </c>
      <c r="DC3" s="8" t="s">
        <v>479</v>
      </c>
      <c r="DD3" s="8" t="s">
        <v>480</v>
      </c>
      <c r="DE3" s="8" t="s">
        <v>481</v>
      </c>
      <c r="DF3" s="8" t="s">
        <v>482</v>
      </c>
      <c r="DG3" s="8" t="s">
        <v>483</v>
      </c>
      <c r="DJ3" s="8" t="s">
        <v>12</v>
      </c>
      <c r="DK3" s="8" t="s">
        <v>236</v>
      </c>
      <c r="DL3" s="11" t="str">
        <f t="shared" ref="DL3:DL4" ca="1" si="1">TEXT((TODAY()+1), "mm/dd/yyyy")</f>
        <v>05/09/2023</v>
      </c>
      <c r="DM3" s="8" t="s">
        <v>12</v>
      </c>
      <c r="DN3" s="8" t="s">
        <v>182</v>
      </c>
      <c r="FA3" s="8" t="s">
        <v>247</v>
      </c>
      <c r="GW3" s="13" t="s">
        <v>248</v>
      </c>
      <c r="GX3" s="13" t="s">
        <v>248</v>
      </c>
      <c r="GY3" s="13" t="s">
        <v>249</v>
      </c>
      <c r="GZ3" s="13" t="s">
        <v>250</v>
      </c>
      <c r="HA3" s="13" t="s">
        <v>251</v>
      </c>
      <c r="HB3" s="13" t="s">
        <v>251</v>
      </c>
      <c r="HC3" s="13" t="s">
        <v>252</v>
      </c>
      <c r="HD3" s="13" t="s">
        <v>253</v>
      </c>
      <c r="HE3" s="13" t="s">
        <v>248</v>
      </c>
      <c r="HF3" s="13" t="s">
        <v>248</v>
      </c>
      <c r="HG3" s="13" t="s">
        <v>249</v>
      </c>
      <c r="HH3" s="13" t="s">
        <v>250</v>
      </c>
      <c r="HI3" s="13" t="s">
        <v>251</v>
      </c>
      <c r="HJ3" s="13" t="s">
        <v>251</v>
      </c>
      <c r="HK3" s="8" t="s">
        <v>252</v>
      </c>
      <c r="HL3" s="8" t="s">
        <v>253</v>
      </c>
      <c r="HM3" s="8" t="s">
        <v>254</v>
      </c>
      <c r="HN3" s="8" t="s">
        <v>255</v>
      </c>
      <c r="HO3" s="8" t="s">
        <v>256</v>
      </c>
      <c r="HP3" s="8" t="s">
        <v>250</v>
      </c>
      <c r="HQ3" s="8" t="s">
        <v>251</v>
      </c>
      <c r="HR3" s="8" t="s">
        <v>251</v>
      </c>
      <c r="HS3" s="8" t="s">
        <v>252</v>
      </c>
      <c r="HT3" s="8" t="s">
        <v>253</v>
      </c>
      <c r="HU3" s="8" t="s">
        <v>251</v>
      </c>
      <c r="HV3" s="8" t="s">
        <v>251</v>
      </c>
    </row>
    <row r="4" spans="1:230" s="13" customFormat="1" ht="15.75" x14ac:dyDescent="0.25">
      <c r="A4" s="6" t="s">
        <v>257</v>
      </c>
      <c r="B4" s="12" t="str">
        <f t="shared" ca="1" si="0"/>
        <v>05/08/2023</v>
      </c>
      <c r="C4" s="13" t="s">
        <v>210</v>
      </c>
      <c r="D4" s="13" t="s">
        <v>452</v>
      </c>
      <c r="F4" s="13" t="s">
        <v>258</v>
      </c>
      <c r="G4" s="13" t="s">
        <v>259</v>
      </c>
      <c r="H4" s="13" t="s">
        <v>260</v>
      </c>
      <c r="I4" s="13" t="s">
        <v>261</v>
      </c>
      <c r="J4" s="13" t="s">
        <v>217</v>
      </c>
      <c r="L4" s="13" t="s">
        <v>218</v>
      </c>
      <c r="M4" s="13" t="s">
        <v>212</v>
      </c>
      <c r="N4" s="13" t="s">
        <v>212</v>
      </c>
      <c r="O4" s="13" t="s">
        <v>218</v>
      </c>
      <c r="P4" s="13" t="s">
        <v>219</v>
      </c>
      <c r="Q4" s="13" t="s">
        <v>220</v>
      </c>
      <c r="R4" s="13" t="s">
        <v>221</v>
      </c>
      <c r="S4" s="13" t="s">
        <v>222</v>
      </c>
      <c r="T4" s="13" t="s">
        <v>212</v>
      </c>
      <c r="W4" s="13" t="s">
        <v>453</v>
      </c>
      <c r="X4" s="13" t="s">
        <v>212</v>
      </c>
      <c r="Y4" s="13" t="s">
        <v>212</v>
      </c>
      <c r="Z4" s="13" t="s">
        <v>212</v>
      </c>
      <c r="AA4" s="13" t="s">
        <v>212</v>
      </c>
      <c r="AB4" s="13" t="s">
        <v>212</v>
      </c>
      <c r="AC4" s="13" t="s">
        <v>236</v>
      </c>
      <c r="AD4" s="13" t="s">
        <v>454</v>
      </c>
      <c r="AE4" s="13" t="s">
        <v>455</v>
      </c>
      <c r="AF4" s="13" t="s">
        <v>230</v>
      </c>
      <c r="AG4" s="13" t="s">
        <v>456</v>
      </c>
      <c r="AI4" s="13" t="s">
        <v>457</v>
      </c>
      <c r="AJ4" s="13" t="s">
        <v>458</v>
      </c>
      <c r="AK4" s="13" t="s">
        <v>459</v>
      </c>
      <c r="AL4" s="13" t="s">
        <v>460</v>
      </c>
      <c r="AM4" s="13" t="s">
        <v>212</v>
      </c>
      <c r="AN4" s="13" t="s">
        <v>212</v>
      </c>
      <c r="AO4" s="13" t="s">
        <v>212</v>
      </c>
      <c r="AP4" s="13" t="s">
        <v>461</v>
      </c>
      <c r="AQ4" s="13" t="s">
        <v>218</v>
      </c>
      <c r="AR4" s="13" t="s">
        <v>462</v>
      </c>
      <c r="AS4" s="13" t="s">
        <v>212</v>
      </c>
      <c r="AT4" s="13" t="s">
        <v>212</v>
      </c>
      <c r="AU4" s="13" t="s">
        <v>212</v>
      </c>
      <c r="AV4" s="13" t="s">
        <v>212</v>
      </c>
      <c r="AW4" s="13" t="s">
        <v>212</v>
      </c>
      <c r="AX4" s="13" t="s">
        <v>212</v>
      </c>
      <c r="AY4" s="13" t="s">
        <v>463</v>
      </c>
      <c r="AZ4" s="13" t="s">
        <v>464</v>
      </c>
      <c r="BA4" s="13" t="s">
        <v>258</v>
      </c>
      <c r="BB4" s="13" t="s">
        <v>464</v>
      </c>
      <c r="BC4" s="13" t="s">
        <v>465</v>
      </c>
      <c r="BF4" s="13" t="s">
        <v>466</v>
      </c>
      <c r="BG4" s="13" t="s">
        <v>247</v>
      </c>
      <c r="BH4" s="9" t="s">
        <v>247</v>
      </c>
      <c r="BI4" s="13" t="s">
        <v>484</v>
      </c>
      <c r="BJ4" s="13" t="s">
        <v>468</v>
      </c>
      <c r="BL4" s="13" t="s">
        <v>263</v>
      </c>
      <c r="BN4" s="13" t="s">
        <v>469</v>
      </c>
      <c r="BO4" s="13" t="s">
        <v>470</v>
      </c>
      <c r="BR4" s="13" t="s">
        <v>469</v>
      </c>
      <c r="BS4" s="13" t="s">
        <v>471</v>
      </c>
      <c r="BT4" s="13" t="s">
        <v>471</v>
      </c>
      <c r="BU4" s="13" t="s">
        <v>471</v>
      </c>
      <c r="BW4" s="13" t="s">
        <v>472</v>
      </c>
      <c r="CJ4" s="13" t="s">
        <v>212</v>
      </c>
      <c r="CK4" s="13" t="s">
        <v>212</v>
      </c>
      <c r="CL4" s="13" t="s">
        <v>212</v>
      </c>
      <c r="CM4" s="13" t="s">
        <v>473</v>
      </c>
      <c r="CN4" s="13" t="s">
        <v>470</v>
      </c>
      <c r="CR4" s="13" t="s">
        <v>474</v>
      </c>
      <c r="CS4" s="13" t="s">
        <v>468</v>
      </c>
      <c r="CT4" s="13" t="s">
        <v>475</v>
      </c>
      <c r="CU4" s="13" t="s">
        <v>476</v>
      </c>
      <c r="CV4" s="13" t="s">
        <v>212</v>
      </c>
      <c r="CW4" s="13" t="s">
        <v>212</v>
      </c>
      <c r="CX4" s="13" t="s">
        <v>263</v>
      </c>
      <c r="CY4" s="13" t="s">
        <v>477</v>
      </c>
      <c r="CZ4" s="13" t="s">
        <v>478</v>
      </c>
      <c r="DC4" s="13" t="s">
        <v>479</v>
      </c>
      <c r="DD4" s="13" t="s">
        <v>480</v>
      </c>
      <c r="DE4" s="13" t="s">
        <v>481</v>
      </c>
      <c r="DF4" s="13" t="s">
        <v>482</v>
      </c>
      <c r="DG4" s="13" t="s">
        <v>483</v>
      </c>
      <c r="DJ4" s="13" t="s">
        <v>12</v>
      </c>
      <c r="DK4" s="13" t="s">
        <v>236</v>
      </c>
      <c r="DL4" s="16" t="str">
        <f t="shared" ca="1" si="1"/>
        <v>05/09/2023</v>
      </c>
      <c r="DM4" s="13" t="s">
        <v>12</v>
      </c>
      <c r="DN4" s="13" t="s">
        <v>182</v>
      </c>
      <c r="FC4" s="14"/>
      <c r="GW4" s="13" t="s">
        <v>248</v>
      </c>
      <c r="GX4" s="13" t="s">
        <v>248</v>
      </c>
      <c r="GY4" s="13" t="s">
        <v>249</v>
      </c>
      <c r="GZ4" s="13" t="s">
        <v>250</v>
      </c>
      <c r="HA4" s="13" t="s">
        <v>251</v>
      </c>
      <c r="HB4" s="13" t="s">
        <v>251</v>
      </c>
      <c r="HC4" s="13" t="s">
        <v>252</v>
      </c>
      <c r="HD4" s="13" t="s">
        <v>253</v>
      </c>
      <c r="HE4" s="13" t="s">
        <v>248</v>
      </c>
      <c r="HF4" s="13" t="s">
        <v>248</v>
      </c>
      <c r="HG4" s="13" t="s">
        <v>249</v>
      </c>
      <c r="HH4" s="13" t="s">
        <v>250</v>
      </c>
      <c r="HI4" s="13" t="s">
        <v>251</v>
      </c>
      <c r="HJ4" s="13" t="s">
        <v>251</v>
      </c>
      <c r="HK4" s="13" t="s">
        <v>252</v>
      </c>
      <c r="HL4" s="13" t="s">
        <v>253</v>
      </c>
      <c r="HM4" s="13" t="s">
        <v>254</v>
      </c>
      <c r="HN4" s="13" t="s">
        <v>255</v>
      </c>
      <c r="HO4" s="13" t="s">
        <v>256</v>
      </c>
      <c r="HP4" s="13" t="s">
        <v>250</v>
      </c>
      <c r="HQ4" s="13" t="s">
        <v>251</v>
      </c>
      <c r="HR4" s="13" t="s">
        <v>251</v>
      </c>
      <c r="HS4" s="13" t="s">
        <v>252</v>
      </c>
      <c r="HT4" s="13" t="s">
        <v>253</v>
      </c>
      <c r="HU4" s="13" t="s">
        <v>251</v>
      </c>
      <c r="HV4" s="13" t="s">
        <v>251</v>
      </c>
    </row>
  </sheetData>
  <mergeCells count="10">
    <mergeCell ref="DO1:DT1"/>
    <mergeCell ref="DU1:DX1"/>
    <mergeCell ref="DY1:EY1"/>
    <mergeCell ref="FC1:GV1"/>
    <mergeCell ref="B1:V1"/>
    <mergeCell ref="W1:AB1"/>
    <mergeCell ref="AC1:AF1"/>
    <mergeCell ref="AG1:BE1"/>
    <mergeCell ref="BJ1:DG1"/>
    <mergeCell ref="DJ1:D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M3"/>
  <sheetViews>
    <sheetView workbookViewId="0">
      <selection activeCell="E16" sqref="E16"/>
    </sheetView>
  </sheetViews>
  <sheetFormatPr defaultRowHeight="15" x14ac:dyDescent="0.25"/>
  <cols>
    <col min="1" max="1" width="25.7109375" bestFit="1" customWidth="1"/>
    <col min="2" max="2" width="28.7109375" bestFit="1" customWidth="1"/>
    <col min="3" max="3" width="48" bestFit="1" customWidth="1"/>
    <col min="4" max="4" width="33.140625" bestFit="1" customWidth="1"/>
    <col min="5" max="5" width="25.7109375" bestFit="1" customWidth="1"/>
    <col min="6" max="6" width="32.85546875" bestFit="1" customWidth="1"/>
    <col min="7" max="7" width="28.5703125" bestFit="1" customWidth="1"/>
    <col min="8" max="8" width="27.42578125" bestFit="1" customWidth="1"/>
    <col min="9" max="9" width="35.5703125" bestFit="1" customWidth="1"/>
    <col min="10" max="10" width="40.7109375" bestFit="1" customWidth="1"/>
    <col min="11" max="11" width="30.42578125" bestFit="1" customWidth="1"/>
    <col min="12" max="12" width="38" bestFit="1" customWidth="1"/>
    <col min="13" max="13" width="37.7109375" bestFit="1" customWidth="1"/>
    <col min="14" max="14" width="50.42578125" bestFit="1" customWidth="1"/>
    <col min="15" max="15" width="60" bestFit="1" customWidth="1"/>
    <col min="16" max="16" width="28.5703125" bestFit="1" customWidth="1"/>
    <col min="17" max="17" width="50.85546875" bestFit="1" customWidth="1"/>
    <col min="18" max="18" width="44.28515625" bestFit="1" customWidth="1"/>
    <col min="19" max="19" width="47.28515625" bestFit="1" customWidth="1"/>
    <col min="20" max="20" width="36.7109375" bestFit="1" customWidth="1"/>
    <col min="21" max="21" width="39.7109375" bestFit="1" customWidth="1"/>
    <col min="22" max="22" width="34.7109375" bestFit="1" customWidth="1"/>
    <col min="23" max="23" width="58.7109375" bestFit="1" customWidth="1"/>
    <col min="24" max="24" width="42.7109375" bestFit="1" customWidth="1"/>
    <col min="25" max="25" width="53.42578125" bestFit="1" customWidth="1"/>
    <col min="26" max="26" width="43.85546875" bestFit="1" customWidth="1"/>
    <col min="27" max="27" width="57.7109375" bestFit="1" customWidth="1"/>
    <col min="28" max="28" width="52.28515625" bestFit="1" customWidth="1"/>
    <col min="29" max="29" width="49.140625" bestFit="1" customWidth="1"/>
    <col min="30" max="30" width="55.140625" bestFit="1" customWidth="1"/>
    <col min="31" max="31" width="42.28515625" bestFit="1" customWidth="1"/>
    <col min="32" max="32" width="53.5703125" bestFit="1" customWidth="1"/>
    <col min="33" max="33" width="47" bestFit="1" customWidth="1"/>
    <col min="34" max="34" width="46.85546875" bestFit="1" customWidth="1"/>
    <col min="35" max="35" width="51.42578125" bestFit="1" customWidth="1"/>
    <col min="36" max="36" width="57.28515625" bestFit="1" customWidth="1"/>
    <col min="37" max="37" width="61.140625" bestFit="1" customWidth="1"/>
    <col min="38" max="38" width="32.140625" bestFit="1" customWidth="1"/>
    <col min="39" max="39" width="37.5703125" bestFit="1" customWidth="1"/>
  </cols>
  <sheetData>
    <row r="1" spans="1:39" s="34" customFormat="1" ht="16.5" thickBot="1" x14ac:dyDescent="0.3">
      <c r="A1" s="55" t="s">
        <v>1264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9" s="35" customFormat="1" ht="16.5" thickBot="1" x14ac:dyDescent="0.3">
      <c r="A2" s="3" t="s">
        <v>1354</v>
      </c>
      <c r="B2" s="4" t="s">
        <v>629</v>
      </c>
      <c r="C2" s="5" t="s">
        <v>637</v>
      </c>
      <c r="D2" s="5" t="s">
        <v>630</v>
      </c>
      <c r="E2" s="5" t="s">
        <v>631</v>
      </c>
      <c r="F2" s="5" t="s">
        <v>632</v>
      </c>
      <c r="G2" s="5" t="s">
        <v>633</v>
      </c>
      <c r="H2" s="5" t="s">
        <v>634</v>
      </c>
      <c r="I2" s="5" t="s">
        <v>1265</v>
      </c>
      <c r="J2" s="5" t="s">
        <v>1266</v>
      </c>
      <c r="K2" s="5" t="s">
        <v>1267</v>
      </c>
      <c r="L2" s="5" t="s">
        <v>1268</v>
      </c>
      <c r="M2" s="5" t="s">
        <v>1269</v>
      </c>
      <c r="N2" s="5" t="s">
        <v>1270</v>
      </c>
      <c r="O2" s="5" t="s">
        <v>1271</v>
      </c>
      <c r="P2" s="5" t="s">
        <v>1272</v>
      </c>
      <c r="Q2" s="5" t="s">
        <v>1273</v>
      </c>
      <c r="R2" s="5" t="s">
        <v>1274</v>
      </c>
      <c r="S2" s="5" t="s">
        <v>1275</v>
      </c>
      <c r="T2" s="5" t="s">
        <v>635</v>
      </c>
      <c r="U2" s="5" t="s">
        <v>636</v>
      </c>
      <c r="V2" s="5" t="s">
        <v>1276</v>
      </c>
      <c r="W2" s="5" t="s">
        <v>1277</v>
      </c>
      <c r="X2" s="5" t="s">
        <v>1278</v>
      </c>
      <c r="Y2" s="5" t="s">
        <v>1279</v>
      </c>
      <c r="Z2" s="5" t="s">
        <v>1280</v>
      </c>
      <c r="AA2" s="5" t="s">
        <v>1281</v>
      </c>
      <c r="AB2" s="5" t="s">
        <v>1282</v>
      </c>
      <c r="AC2" s="5" t="s">
        <v>1283</v>
      </c>
      <c r="AD2" s="5" t="s">
        <v>1284</v>
      </c>
      <c r="AE2" s="5" t="s">
        <v>1285</v>
      </c>
      <c r="AF2" s="5" t="s">
        <v>1286</v>
      </c>
      <c r="AG2" s="5" t="s">
        <v>1287</v>
      </c>
      <c r="AH2" s="5" t="s">
        <v>1288</v>
      </c>
      <c r="AI2" s="5" t="s">
        <v>1289</v>
      </c>
      <c r="AJ2" s="5" t="s">
        <v>1290</v>
      </c>
      <c r="AK2" s="5" t="s">
        <v>1291</v>
      </c>
      <c r="AL2" s="5" t="s">
        <v>1292</v>
      </c>
      <c r="AM2" s="5" t="s">
        <v>1293</v>
      </c>
    </row>
    <row r="3" spans="1:39" s="38" customFormat="1" ht="15.75" x14ac:dyDescent="0.25">
      <c r="A3" s="24"/>
      <c r="B3" s="36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26"/>
      <c r="AM3" s="26"/>
    </row>
  </sheetData>
  <mergeCells count="1">
    <mergeCell ref="A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FD4"/>
  <sheetViews>
    <sheetView workbookViewId="0">
      <selection activeCell="C8" sqref="C8"/>
    </sheetView>
  </sheetViews>
  <sheetFormatPr defaultRowHeight="15" x14ac:dyDescent="0.25"/>
  <cols>
    <col min="1" max="1" width="13.7109375" bestFit="1" customWidth="1"/>
    <col min="2" max="2" width="24.42578125" bestFit="1" customWidth="1"/>
    <col min="3" max="3" width="31" bestFit="1" customWidth="1"/>
    <col min="4" max="4" width="38.5703125" bestFit="1" customWidth="1"/>
  </cols>
  <sheetData>
    <row r="1" spans="1:16384" s="40" customFormat="1" ht="16.5" thickBot="1" x14ac:dyDescent="0.3">
      <c r="A1" s="55" t="s">
        <v>268</v>
      </c>
      <c r="B1" s="54"/>
      <c r="C1" s="54"/>
      <c r="D1" s="54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 s="40" customFormat="1" ht="16.5" thickBot="1" x14ac:dyDescent="0.3">
      <c r="A2" s="3" t="s">
        <v>1294</v>
      </c>
      <c r="B2" s="4" t="s">
        <v>1295</v>
      </c>
      <c r="C2" s="5" t="s">
        <v>1296</v>
      </c>
      <c r="D2" s="5" t="s">
        <v>1297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 s="41" customFormat="1" ht="15.75" x14ac:dyDescent="0.25">
      <c r="A3" s="24"/>
      <c r="B3" s="39"/>
      <c r="C3" s="9"/>
      <c r="D3" s="9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 ht="15.75" x14ac:dyDescent="0.25">
      <c r="A4" s="24"/>
      <c r="B4" s="39"/>
      <c r="C4" s="9"/>
      <c r="D4" s="9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D4"/>
  <sheetViews>
    <sheetView workbookViewId="0">
      <selection activeCell="C16" sqref="C16"/>
    </sheetView>
  </sheetViews>
  <sheetFormatPr defaultRowHeight="15" x14ac:dyDescent="0.25"/>
  <cols>
    <col min="1" max="1" width="21.42578125" bestFit="1" customWidth="1"/>
    <col min="2" max="2" width="17.85546875" bestFit="1" customWidth="1"/>
    <col min="3" max="3" width="13.5703125" bestFit="1" customWidth="1"/>
    <col min="4" max="4" width="14.7109375" bestFit="1" customWidth="1"/>
    <col min="5" max="5" width="15.5703125" bestFit="1" customWidth="1"/>
    <col min="6" max="6" width="18.28515625" bestFit="1" customWidth="1"/>
    <col min="7" max="7" width="20.5703125" bestFit="1" customWidth="1"/>
    <col min="8" max="8" width="18.85546875" bestFit="1" customWidth="1"/>
    <col min="9" max="9" width="21.5703125" bestFit="1" customWidth="1"/>
    <col min="10" max="10" width="48.42578125" bestFit="1" customWidth="1"/>
    <col min="11" max="11" width="42.85546875" bestFit="1" customWidth="1"/>
    <col min="12" max="12" width="25.140625" bestFit="1" customWidth="1"/>
    <col min="13" max="13" width="22.85546875" bestFit="1" customWidth="1"/>
    <col min="14" max="14" width="14.28515625" bestFit="1" customWidth="1"/>
    <col min="15" max="15" width="12.5703125" bestFit="1" customWidth="1"/>
    <col min="16" max="16" width="30.28515625" bestFit="1" customWidth="1"/>
    <col min="17" max="17" width="22.85546875" bestFit="1" customWidth="1"/>
    <col min="18" max="18" width="18.85546875" bestFit="1" customWidth="1"/>
    <col min="19" max="19" width="36.42578125" bestFit="1" customWidth="1"/>
    <col min="20" max="20" width="28.28515625" bestFit="1" customWidth="1"/>
    <col min="21" max="21" width="17" bestFit="1" customWidth="1"/>
    <col min="22" max="22" width="20.5703125" bestFit="1" customWidth="1"/>
    <col min="23" max="23" width="4.85546875" bestFit="1" customWidth="1"/>
    <col min="24" max="24" width="7.42578125" bestFit="1" customWidth="1"/>
    <col min="25" max="25" width="12.85546875" bestFit="1" customWidth="1"/>
    <col min="26" max="26" width="18.42578125" bestFit="1" customWidth="1"/>
    <col min="27" max="27" width="17.7109375" bestFit="1" customWidth="1"/>
    <col min="28" max="28" width="25.140625" bestFit="1" customWidth="1"/>
    <col min="29" max="29" width="24.7109375" bestFit="1" customWidth="1"/>
    <col min="30" max="30" width="31.5703125" bestFit="1" customWidth="1"/>
    <col min="31" max="31" width="34.7109375" bestFit="1" customWidth="1"/>
    <col min="32" max="32" width="29.7109375" bestFit="1" customWidth="1"/>
    <col min="33" max="33" width="47.7109375" bestFit="1" customWidth="1"/>
    <col min="34" max="34" width="46.28515625" bestFit="1" customWidth="1"/>
    <col min="35" max="35" width="16.7109375" bestFit="1" customWidth="1"/>
    <col min="36" max="36" width="28.85546875" bestFit="1" customWidth="1"/>
    <col min="37" max="37" width="12" bestFit="1" customWidth="1"/>
    <col min="38" max="38" width="10.7109375" bestFit="1" customWidth="1"/>
    <col min="39" max="39" width="12.42578125" bestFit="1" customWidth="1"/>
    <col min="40" max="40" width="26.7109375" bestFit="1" customWidth="1"/>
    <col min="41" max="41" width="25.28515625" bestFit="1" customWidth="1"/>
    <col min="42" max="42" width="30" bestFit="1" customWidth="1"/>
    <col min="43" max="43" width="30.7109375" bestFit="1" customWidth="1"/>
    <col min="44" max="44" width="11.5703125" bestFit="1" customWidth="1"/>
    <col min="45" max="45" width="17.42578125" bestFit="1" customWidth="1"/>
    <col min="46" max="46" width="12.7109375" bestFit="1" customWidth="1"/>
    <col min="47" max="47" width="14.28515625" bestFit="1" customWidth="1"/>
    <col min="48" max="48" width="15.5703125" bestFit="1" customWidth="1"/>
    <col min="49" max="49" width="19" bestFit="1" customWidth="1"/>
    <col min="50" max="50" width="17.7109375" bestFit="1" customWidth="1"/>
    <col min="51" max="51" width="13.85546875" bestFit="1" customWidth="1"/>
    <col min="52" max="52" width="17.85546875" bestFit="1" customWidth="1"/>
    <col min="53" max="53" width="18.85546875" bestFit="1" customWidth="1"/>
    <col min="54" max="54" width="22.7109375" bestFit="1" customWidth="1"/>
    <col min="55" max="55" width="19.140625" bestFit="1" customWidth="1"/>
    <col min="56" max="56" width="21.140625" bestFit="1" customWidth="1"/>
  </cols>
  <sheetData>
    <row r="1" spans="1:56" s="42" customFormat="1" ht="16.5" thickBot="1" x14ac:dyDescent="0.3">
      <c r="A1" s="56" t="s">
        <v>1298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</row>
    <row r="2" spans="1:56" s="46" customFormat="1" ht="16.5" thickBot="1" x14ac:dyDescent="0.3">
      <c r="A2" s="43" t="s">
        <v>1299</v>
      </c>
      <c r="B2" s="44" t="s">
        <v>1300</v>
      </c>
      <c r="C2" s="45" t="s">
        <v>1301</v>
      </c>
      <c r="D2" s="45" t="s">
        <v>1302</v>
      </c>
      <c r="E2" s="45" t="s">
        <v>1303</v>
      </c>
      <c r="F2" s="45" t="s">
        <v>1304</v>
      </c>
      <c r="G2" s="45" t="s">
        <v>1305</v>
      </c>
      <c r="H2" s="45" t="s">
        <v>1306</v>
      </c>
      <c r="I2" s="45" t="s">
        <v>1307</v>
      </c>
      <c r="J2" s="45" t="s">
        <v>1308</v>
      </c>
      <c r="K2" s="45" t="s">
        <v>1309</v>
      </c>
      <c r="L2" s="45" t="s">
        <v>1310</v>
      </c>
      <c r="M2" s="45" t="s">
        <v>1311</v>
      </c>
      <c r="N2" s="45" t="s">
        <v>1312</v>
      </c>
      <c r="O2" s="45" t="s">
        <v>1313</v>
      </c>
      <c r="P2" s="45" t="s">
        <v>1314</v>
      </c>
      <c r="Q2" s="45" t="s">
        <v>1315</v>
      </c>
      <c r="R2" s="45" t="s">
        <v>1316</v>
      </c>
      <c r="S2" s="45" t="s">
        <v>1317</v>
      </c>
      <c r="T2" s="45" t="s">
        <v>1318</v>
      </c>
      <c r="U2" s="45" t="s">
        <v>1319</v>
      </c>
      <c r="V2" s="45" t="s">
        <v>1320</v>
      </c>
      <c r="W2" s="45" t="s">
        <v>1321</v>
      </c>
      <c r="X2" s="45" t="s">
        <v>1322</v>
      </c>
      <c r="Y2" s="45" t="s">
        <v>1323</v>
      </c>
      <c r="Z2" s="45" t="s">
        <v>1324</v>
      </c>
      <c r="AA2" s="45" t="s">
        <v>1325</v>
      </c>
      <c r="AB2" s="45" t="s">
        <v>1326</v>
      </c>
      <c r="AC2" s="45" t="s">
        <v>1327</v>
      </c>
      <c r="AD2" s="45" t="s">
        <v>1328</v>
      </c>
      <c r="AE2" s="45" t="s">
        <v>1329</v>
      </c>
      <c r="AF2" s="45" t="s">
        <v>1330</v>
      </c>
      <c r="AG2" s="45" t="s">
        <v>1331</v>
      </c>
      <c r="AH2" s="45" t="s">
        <v>1332</v>
      </c>
      <c r="AI2" s="45" t="s">
        <v>1333</v>
      </c>
      <c r="AJ2" s="45" t="s">
        <v>1334</v>
      </c>
      <c r="AK2" s="45" t="s">
        <v>1335</v>
      </c>
      <c r="AL2" s="45" t="s">
        <v>1336</v>
      </c>
      <c r="AM2" s="45" t="s">
        <v>1337</v>
      </c>
      <c r="AN2" s="45" t="s">
        <v>1338</v>
      </c>
      <c r="AO2" s="45" t="s">
        <v>1339</v>
      </c>
      <c r="AP2" s="45" t="s">
        <v>1340</v>
      </c>
      <c r="AQ2" s="45" t="s">
        <v>1341</v>
      </c>
      <c r="AR2" s="45" t="s">
        <v>510</v>
      </c>
      <c r="AS2" s="45" t="s">
        <v>1342</v>
      </c>
      <c r="AT2" s="45" t="s">
        <v>1343</v>
      </c>
      <c r="AU2" s="45" t="s">
        <v>1344</v>
      </c>
      <c r="AV2" s="45" t="s">
        <v>1345</v>
      </c>
      <c r="AW2" s="45" t="s">
        <v>1346</v>
      </c>
      <c r="AX2" s="45" t="s">
        <v>1347</v>
      </c>
      <c r="AY2" s="45" t="s">
        <v>1348</v>
      </c>
      <c r="AZ2" s="45" t="s">
        <v>1349</v>
      </c>
      <c r="BA2" s="45" t="s">
        <v>1350</v>
      </c>
      <c r="BB2" s="45" t="s">
        <v>1351</v>
      </c>
      <c r="BC2" s="45" t="s">
        <v>1352</v>
      </c>
      <c r="BD2" s="45" t="s">
        <v>1353</v>
      </c>
    </row>
    <row r="3" spans="1:56" s="51" customFormat="1" ht="15.75" x14ac:dyDescent="0.25">
      <c r="A3" s="47" t="s">
        <v>1355</v>
      </c>
      <c r="B3" s="48" t="s">
        <v>1356</v>
      </c>
      <c r="C3" s="49" t="s">
        <v>1357</v>
      </c>
      <c r="D3" s="49" t="s">
        <v>1358</v>
      </c>
      <c r="E3" s="49" t="s">
        <v>1359</v>
      </c>
      <c r="F3" s="49"/>
      <c r="G3" s="49" t="s">
        <v>1360</v>
      </c>
      <c r="H3" s="49"/>
      <c r="I3" s="49" t="s">
        <v>212</v>
      </c>
      <c r="J3" s="49" t="s">
        <v>212</v>
      </c>
      <c r="K3" s="49" t="s">
        <v>473</v>
      </c>
      <c r="L3" s="49" t="s">
        <v>218</v>
      </c>
      <c r="M3" s="49" t="s">
        <v>218</v>
      </c>
      <c r="N3" s="49" t="s">
        <v>212</v>
      </c>
      <c r="O3" s="49" t="s">
        <v>1361</v>
      </c>
      <c r="P3" s="49" t="s">
        <v>212</v>
      </c>
      <c r="Q3" s="49" t="s">
        <v>1362</v>
      </c>
      <c r="R3" s="49" t="s">
        <v>212</v>
      </c>
      <c r="S3" s="49" t="s">
        <v>212</v>
      </c>
      <c r="T3" s="49" t="s">
        <v>1165</v>
      </c>
      <c r="U3" s="50" t="s">
        <v>1363</v>
      </c>
      <c r="V3" s="49" t="s">
        <v>1363</v>
      </c>
      <c r="W3" s="49" t="s">
        <v>218</v>
      </c>
      <c r="X3" s="49" t="s">
        <v>218</v>
      </c>
      <c r="Y3" s="49" t="s">
        <v>212</v>
      </c>
      <c r="Z3" s="49" t="s">
        <v>212</v>
      </c>
      <c r="AA3" s="49" t="s">
        <v>218</v>
      </c>
      <c r="AB3" s="49" t="s">
        <v>1364</v>
      </c>
      <c r="AC3" s="49" t="s">
        <v>218</v>
      </c>
      <c r="AD3" s="49" t="s">
        <v>552</v>
      </c>
      <c r="AE3" s="49" t="s">
        <v>212</v>
      </c>
      <c r="AF3" s="49"/>
      <c r="AG3" s="49"/>
      <c r="AH3" s="49"/>
      <c r="AI3" s="49"/>
      <c r="AJ3" s="49"/>
      <c r="AK3" s="49" t="s">
        <v>561</v>
      </c>
      <c r="AL3" s="49" t="s">
        <v>1365</v>
      </c>
      <c r="AM3" s="49" t="s">
        <v>230</v>
      </c>
      <c r="AN3" s="49" t="s">
        <v>552</v>
      </c>
      <c r="AO3" s="49"/>
      <c r="AP3" s="49" t="s">
        <v>561</v>
      </c>
      <c r="AQ3" s="49"/>
      <c r="AR3" s="49" t="s">
        <v>562</v>
      </c>
      <c r="AS3" s="49"/>
      <c r="AT3" s="49"/>
      <c r="AU3" s="49"/>
      <c r="AV3" s="49"/>
      <c r="AW3" s="49" t="s">
        <v>1366</v>
      </c>
      <c r="AX3" s="49" t="s">
        <v>1366</v>
      </c>
      <c r="AY3" s="49" t="s">
        <v>1367</v>
      </c>
      <c r="AZ3" s="49" t="s">
        <v>1368</v>
      </c>
      <c r="BA3" s="49"/>
      <c r="BB3" s="49" t="s">
        <v>218</v>
      </c>
      <c r="BC3" s="49" t="s">
        <v>470</v>
      </c>
      <c r="BD3" s="49" t="s">
        <v>1369</v>
      </c>
    </row>
    <row r="4" spans="1:56" s="51" customFormat="1" ht="15.75" x14ac:dyDescent="0.25">
      <c r="A4" s="47" t="s">
        <v>1370</v>
      </c>
      <c r="B4" s="48" t="s">
        <v>1356</v>
      </c>
      <c r="C4" s="49" t="s">
        <v>1357</v>
      </c>
      <c r="D4" s="49" t="s">
        <v>1358</v>
      </c>
      <c r="E4" s="49" t="s">
        <v>1359</v>
      </c>
      <c r="F4" s="49"/>
      <c r="G4" s="49" t="s">
        <v>1360</v>
      </c>
      <c r="H4" s="49"/>
      <c r="I4" s="49" t="s">
        <v>212</v>
      </c>
      <c r="J4" s="49" t="s">
        <v>212</v>
      </c>
      <c r="K4" s="49" t="s">
        <v>473</v>
      </c>
      <c r="L4" s="49" t="s">
        <v>218</v>
      </c>
      <c r="M4" s="49" t="s">
        <v>218</v>
      </c>
      <c r="N4" s="49" t="s">
        <v>212</v>
      </c>
      <c r="O4" s="49" t="s">
        <v>1361</v>
      </c>
      <c r="P4" s="49" t="s">
        <v>212</v>
      </c>
      <c r="Q4" s="49" t="s">
        <v>1362</v>
      </c>
      <c r="R4" s="49" t="s">
        <v>212</v>
      </c>
      <c r="S4" s="49" t="s">
        <v>212</v>
      </c>
      <c r="T4" s="49" t="s">
        <v>1165</v>
      </c>
      <c r="U4" s="50" t="s">
        <v>1363</v>
      </c>
      <c r="V4" s="49" t="s">
        <v>1363</v>
      </c>
      <c r="W4" s="49" t="s">
        <v>218</v>
      </c>
      <c r="X4" s="49" t="s">
        <v>218</v>
      </c>
      <c r="Y4" s="49" t="s">
        <v>212</v>
      </c>
      <c r="Z4" s="49" t="s">
        <v>212</v>
      </c>
      <c r="AA4" s="49" t="s">
        <v>218</v>
      </c>
      <c r="AB4" s="49" t="s">
        <v>1364</v>
      </c>
      <c r="AC4" s="49" t="s">
        <v>218</v>
      </c>
      <c r="AD4" s="49" t="s">
        <v>552</v>
      </c>
      <c r="AE4" s="49" t="s">
        <v>212</v>
      </c>
      <c r="AF4" s="49"/>
      <c r="AG4" s="49"/>
      <c r="AH4" s="49"/>
      <c r="AI4" s="49"/>
      <c r="AJ4" s="49"/>
      <c r="AK4" s="49" t="s">
        <v>561</v>
      </c>
      <c r="AL4" s="49" t="s">
        <v>1365</v>
      </c>
      <c r="AM4" s="49" t="s">
        <v>230</v>
      </c>
      <c r="AN4" s="49" t="s">
        <v>552</v>
      </c>
      <c r="AO4" s="49"/>
      <c r="AP4" s="49" t="s">
        <v>561</v>
      </c>
      <c r="AQ4" s="49"/>
      <c r="AR4" s="49" t="s">
        <v>562</v>
      </c>
      <c r="AS4" s="49"/>
      <c r="AT4" s="49"/>
      <c r="AU4" s="49"/>
      <c r="AV4" s="49"/>
      <c r="AW4" s="49" t="s">
        <v>1366</v>
      </c>
      <c r="AX4" s="49" t="s">
        <v>1366</v>
      </c>
      <c r="AY4" s="49" t="s">
        <v>1367</v>
      </c>
      <c r="AZ4" s="49" t="s">
        <v>1368</v>
      </c>
      <c r="BA4" s="49"/>
      <c r="BB4" s="49" t="s">
        <v>218</v>
      </c>
      <c r="BC4" s="49" t="s">
        <v>470</v>
      </c>
      <c r="BD4" s="49" t="s">
        <v>1369</v>
      </c>
    </row>
  </sheetData>
  <mergeCells count="1">
    <mergeCell ref="A1:B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3"/>
  <sheetViews>
    <sheetView workbookViewId="0">
      <selection activeCell="C13" sqref="C13"/>
    </sheetView>
  </sheetViews>
  <sheetFormatPr defaultRowHeight="15" x14ac:dyDescent="0.25"/>
  <cols>
    <col min="1" max="1" width="8.28515625" bestFit="1" customWidth="1"/>
    <col min="2" max="2" width="15.28515625" bestFit="1" customWidth="1"/>
    <col min="3" max="3" width="22.7109375" bestFit="1" customWidth="1"/>
    <col min="4" max="4" width="19.85546875" bestFit="1" customWidth="1"/>
    <col min="5" max="5" width="9.5703125" bestFit="1" customWidth="1"/>
    <col min="6" max="6" width="6.140625" bestFit="1" customWidth="1"/>
    <col min="7" max="7" width="20.5703125" bestFit="1" customWidth="1"/>
    <col min="8" max="8" width="15.85546875" bestFit="1" customWidth="1"/>
    <col min="9" max="9" width="10" bestFit="1" customWidth="1"/>
    <col min="10" max="10" width="15.140625" bestFit="1" customWidth="1"/>
    <col min="11" max="11" width="38" bestFit="1" customWidth="1"/>
    <col min="12" max="12" width="25.28515625" bestFit="1" customWidth="1"/>
    <col min="13" max="13" width="20.85546875" bestFit="1" customWidth="1"/>
    <col min="14" max="14" width="21.140625" bestFit="1" customWidth="1"/>
    <col min="15" max="15" width="17.85546875" bestFit="1" customWidth="1"/>
    <col min="16" max="16" width="12" bestFit="1" customWidth="1"/>
    <col min="17" max="17" width="11.7109375" bestFit="1" customWidth="1"/>
    <col min="18" max="18" width="22.140625" bestFit="1" customWidth="1"/>
    <col min="19" max="19" width="20" bestFit="1" customWidth="1"/>
    <col min="20" max="20" width="16.7109375" bestFit="1" customWidth="1"/>
    <col min="21" max="21" width="20.85546875" bestFit="1" customWidth="1"/>
    <col min="22" max="22" width="20.5703125" bestFit="1" customWidth="1"/>
    <col min="23" max="23" width="22.5703125" bestFit="1" customWidth="1"/>
    <col min="24" max="24" width="16.7109375" bestFit="1" customWidth="1"/>
    <col min="25" max="25" width="28.140625" bestFit="1" customWidth="1"/>
    <col min="26" max="26" width="5.5703125" bestFit="1" customWidth="1"/>
    <col min="27" max="27" width="14.7109375" bestFit="1" customWidth="1"/>
    <col min="28" max="28" width="7.28515625" bestFit="1" customWidth="1"/>
    <col min="29" max="29" width="7.7109375" bestFit="1" customWidth="1"/>
    <col min="30" max="30" width="43.42578125" bestFit="1" customWidth="1"/>
    <col min="31" max="31" width="6.7109375" bestFit="1" customWidth="1"/>
    <col min="32" max="32" width="10.85546875" bestFit="1" customWidth="1"/>
    <col min="33" max="33" width="9.85546875" bestFit="1" customWidth="1"/>
    <col min="34" max="34" width="25" bestFit="1" customWidth="1"/>
    <col min="35" max="35" width="21.42578125" bestFit="1" customWidth="1"/>
    <col min="36" max="36" width="8.140625" bestFit="1" customWidth="1"/>
    <col min="37" max="37" width="15.5703125" bestFit="1" customWidth="1"/>
    <col min="38" max="38" width="21" bestFit="1" customWidth="1"/>
    <col min="39" max="39" width="28" bestFit="1" customWidth="1"/>
    <col min="40" max="40" width="40.140625" bestFit="1" customWidth="1"/>
    <col min="41" max="41" width="35.7109375" bestFit="1" customWidth="1"/>
    <col min="42" max="42" width="34.5703125" bestFit="1" customWidth="1"/>
    <col min="43" max="43" width="9.42578125" bestFit="1" customWidth="1"/>
    <col min="44" max="44" width="17.42578125" bestFit="1" customWidth="1"/>
    <col min="45" max="45" width="25.28515625" bestFit="1" customWidth="1"/>
    <col min="46" max="46" width="11.5703125" bestFit="1" customWidth="1"/>
    <col min="47" max="47" width="17.28515625" bestFit="1" customWidth="1"/>
    <col min="48" max="48" width="22.7109375" bestFit="1" customWidth="1"/>
    <col min="49" max="49" width="17.28515625" bestFit="1" customWidth="1"/>
    <col min="50" max="50" width="23.5703125" bestFit="1" customWidth="1"/>
    <col min="51" max="51" width="27.5703125" bestFit="1" customWidth="1"/>
    <col min="52" max="52" width="25" bestFit="1" customWidth="1"/>
    <col min="53" max="53" width="30" bestFit="1" customWidth="1"/>
    <col min="54" max="54" width="28" bestFit="1" customWidth="1"/>
    <col min="55" max="55" width="30.5703125" bestFit="1" customWidth="1"/>
    <col min="56" max="56" width="34.28515625" bestFit="1" customWidth="1"/>
    <col min="57" max="57" width="24.85546875" bestFit="1" customWidth="1"/>
    <col min="58" max="58" width="25.28515625" bestFit="1" customWidth="1"/>
    <col min="59" max="59" width="26.5703125" bestFit="1" customWidth="1"/>
    <col min="60" max="60" width="50" bestFit="1" customWidth="1"/>
    <col min="61" max="61" width="37.7109375" bestFit="1" customWidth="1"/>
    <col min="62" max="62" width="13.85546875" bestFit="1" customWidth="1"/>
    <col min="63" max="63" width="19.42578125" bestFit="1" customWidth="1"/>
    <col min="64" max="64" width="16.7109375" bestFit="1" customWidth="1"/>
    <col min="65" max="65" width="39.42578125" bestFit="1" customWidth="1"/>
    <col min="66" max="66" width="14.42578125" bestFit="1" customWidth="1"/>
    <col min="67" max="67" width="12.42578125" bestFit="1" customWidth="1"/>
    <col min="68" max="68" width="13.5703125" bestFit="1" customWidth="1"/>
    <col min="69" max="69" width="20.140625" bestFit="1" customWidth="1"/>
    <col min="70" max="70" width="26.42578125" bestFit="1" customWidth="1"/>
    <col min="71" max="71" width="27.140625" bestFit="1" customWidth="1"/>
    <col min="72" max="72" width="27.5703125" bestFit="1" customWidth="1"/>
    <col min="73" max="73" width="17" bestFit="1" customWidth="1"/>
    <col min="74" max="74" width="24.7109375" bestFit="1" customWidth="1"/>
    <col min="75" max="75" width="21.85546875" bestFit="1" customWidth="1"/>
    <col min="76" max="76" width="19.7109375" bestFit="1" customWidth="1"/>
    <col min="77" max="77" width="17.7109375" bestFit="1" customWidth="1"/>
    <col min="78" max="78" width="22.7109375" bestFit="1" customWidth="1"/>
    <col min="79" max="79" width="19.7109375" bestFit="1" customWidth="1"/>
    <col min="80" max="80" width="17.7109375" bestFit="1" customWidth="1"/>
    <col min="81" max="81" width="22.7109375" bestFit="1" customWidth="1"/>
    <col min="82" max="82" width="12.28515625" bestFit="1" customWidth="1"/>
    <col min="83" max="83" width="22" bestFit="1" customWidth="1"/>
    <col min="84" max="84" width="14.42578125" bestFit="1" customWidth="1"/>
    <col min="85" max="85" width="14.7109375" bestFit="1" customWidth="1"/>
    <col min="86" max="86" width="18.5703125" bestFit="1" customWidth="1"/>
    <col min="87" max="87" width="20.140625" bestFit="1" customWidth="1"/>
    <col min="88" max="88" width="30" bestFit="1" customWidth="1"/>
    <col min="89" max="89" width="13.28515625" bestFit="1" customWidth="1"/>
    <col min="90" max="90" width="6.7109375" bestFit="1" customWidth="1"/>
    <col min="91" max="91" width="24.85546875" bestFit="1" customWidth="1"/>
    <col min="92" max="92" width="22.85546875" bestFit="1" customWidth="1"/>
    <col min="93" max="93" width="14.7109375" bestFit="1" customWidth="1"/>
    <col min="94" max="94" width="20.28515625" bestFit="1" customWidth="1"/>
    <col min="95" max="95" width="31" bestFit="1" customWidth="1"/>
    <col min="96" max="96" width="28.85546875" bestFit="1" customWidth="1"/>
    <col min="97" max="97" width="20.7109375" bestFit="1" customWidth="1"/>
    <col min="98" max="98" width="26.85546875" bestFit="1" customWidth="1"/>
    <col min="99" max="99" width="24" bestFit="1" customWidth="1"/>
    <col min="100" max="100" width="22" bestFit="1" customWidth="1"/>
    <col min="101" max="101" width="13.85546875" bestFit="1" customWidth="1"/>
    <col min="102" max="102" width="19.42578125" bestFit="1" customWidth="1"/>
    <col min="103" max="103" width="30.140625" bestFit="1" customWidth="1"/>
    <col min="104" max="104" width="28" bestFit="1" customWidth="1"/>
    <col min="105" max="105" width="19.85546875" bestFit="1" customWidth="1"/>
    <col min="106" max="106" width="26.85546875" bestFit="1" customWidth="1"/>
    <col min="107" max="107" width="24.7109375" bestFit="1" customWidth="1"/>
    <col min="108" max="108" width="22.7109375" bestFit="1" customWidth="1"/>
    <col min="109" max="109" width="14.5703125" bestFit="1" customWidth="1"/>
    <col min="110" max="110" width="20.140625" bestFit="1" customWidth="1"/>
    <col min="111" max="111" width="30.85546875" bestFit="1" customWidth="1"/>
    <col min="112" max="112" width="28.7109375" bestFit="1" customWidth="1"/>
    <col min="113" max="113" width="20.5703125" bestFit="1" customWidth="1"/>
    <col min="114" max="114" width="26.85546875" bestFit="1" customWidth="1"/>
    <col min="115" max="115" width="26.7109375" bestFit="1" customWidth="1"/>
    <col min="116" max="116" width="24.5703125" bestFit="1" customWidth="1"/>
  </cols>
  <sheetData>
    <row r="1" spans="1:191" s="17" customFormat="1" ht="16.5" thickBot="1" x14ac:dyDescent="0.3">
      <c r="A1" s="1" t="s">
        <v>0</v>
      </c>
      <c r="B1" s="54" t="s">
        <v>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8" t="s">
        <v>485</v>
      </c>
      <c r="X1" s="58"/>
      <c r="Y1" s="58"/>
      <c r="Z1" s="58"/>
      <c r="AA1" s="58"/>
      <c r="AB1" s="58"/>
      <c r="AC1" s="58"/>
      <c r="CD1" s="58" t="s">
        <v>486</v>
      </c>
      <c r="CE1" s="58"/>
      <c r="CF1" s="58"/>
      <c r="CG1" s="58"/>
      <c r="CH1" s="54" t="s">
        <v>12</v>
      </c>
      <c r="CI1" s="54"/>
      <c r="CJ1" s="54"/>
      <c r="CK1" s="54"/>
      <c r="CL1" s="54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</row>
    <row r="2" spans="1:191" s="18" customFormat="1" ht="16.5" thickBot="1" x14ac:dyDescent="0.3">
      <c r="A2" s="3" t="s">
        <v>13</v>
      </c>
      <c r="B2" s="4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  <c r="R2" s="5" t="s">
        <v>30</v>
      </c>
      <c r="S2" s="5" t="s">
        <v>31</v>
      </c>
      <c r="T2" s="5" t="s">
        <v>32</v>
      </c>
      <c r="U2" s="5" t="s">
        <v>33</v>
      </c>
      <c r="V2" s="5" t="s">
        <v>34</v>
      </c>
      <c r="W2" s="5" t="s">
        <v>487</v>
      </c>
      <c r="X2" s="5" t="s">
        <v>488</v>
      </c>
      <c r="Y2" s="5" t="s">
        <v>489</v>
      </c>
      <c r="Z2" s="5" t="s">
        <v>490</v>
      </c>
      <c r="AA2" s="5" t="s">
        <v>491</v>
      </c>
      <c r="AB2" s="5" t="s">
        <v>492</v>
      </c>
      <c r="AC2" s="5" t="s">
        <v>493</v>
      </c>
      <c r="AD2" s="5" t="s">
        <v>494</v>
      </c>
      <c r="AE2" s="5" t="s">
        <v>495</v>
      </c>
      <c r="AF2" s="5" t="s">
        <v>496</v>
      </c>
      <c r="AG2" s="5" t="s">
        <v>497</v>
      </c>
      <c r="AH2" s="5" t="s">
        <v>498</v>
      </c>
      <c r="AI2" s="5" t="s">
        <v>499</v>
      </c>
      <c r="AJ2" s="5" t="s">
        <v>500</v>
      </c>
      <c r="AK2" s="5" t="s">
        <v>501</v>
      </c>
      <c r="AL2" s="5" t="s">
        <v>502</v>
      </c>
      <c r="AM2" s="5" t="s">
        <v>503</v>
      </c>
      <c r="AN2" s="5" t="s">
        <v>504</v>
      </c>
      <c r="AO2" s="5" t="s">
        <v>505</v>
      </c>
      <c r="AP2" s="5" t="s">
        <v>506</v>
      </c>
      <c r="AQ2" s="5" t="s">
        <v>507</v>
      </c>
      <c r="AR2" s="5" t="s">
        <v>508</v>
      </c>
      <c r="AS2" s="5" t="s">
        <v>509</v>
      </c>
      <c r="AT2" s="5" t="s">
        <v>510</v>
      </c>
      <c r="AU2" s="5" t="s">
        <v>511</v>
      </c>
      <c r="AV2" s="5" t="s">
        <v>51</v>
      </c>
      <c r="AW2" s="5" t="s">
        <v>512</v>
      </c>
      <c r="AX2" s="5" t="s">
        <v>513</v>
      </c>
      <c r="AY2" s="5" t="s">
        <v>514</v>
      </c>
      <c r="AZ2" s="5" t="s">
        <v>515</v>
      </c>
      <c r="BA2" s="5" t="s">
        <v>516</v>
      </c>
      <c r="BB2" s="5" t="s">
        <v>517</v>
      </c>
      <c r="BC2" s="5" t="s">
        <v>518</v>
      </c>
      <c r="BD2" s="5" t="s">
        <v>519</v>
      </c>
      <c r="BE2" s="5" t="s">
        <v>520</v>
      </c>
      <c r="BF2" s="5" t="s">
        <v>521</v>
      </c>
      <c r="BG2" s="5" t="s">
        <v>522</v>
      </c>
      <c r="BH2" s="5" t="s">
        <v>523</v>
      </c>
      <c r="BI2" s="5" t="s">
        <v>524</v>
      </c>
      <c r="BJ2" s="5" t="s">
        <v>525</v>
      </c>
      <c r="BK2" s="5" t="s">
        <v>526</v>
      </c>
      <c r="BL2" s="5" t="s">
        <v>527</v>
      </c>
      <c r="BM2" s="5" t="s">
        <v>528</v>
      </c>
      <c r="BN2" s="5" t="s">
        <v>529</v>
      </c>
      <c r="BO2" s="5" t="s">
        <v>530</v>
      </c>
      <c r="BP2" s="5" t="s">
        <v>531</v>
      </c>
      <c r="BQ2" s="5" t="s">
        <v>532</v>
      </c>
      <c r="BR2" s="5" t="s">
        <v>533</v>
      </c>
      <c r="BS2" s="5" t="s">
        <v>534</v>
      </c>
      <c r="BT2" s="5" t="s">
        <v>535</v>
      </c>
      <c r="BU2" s="5" t="s">
        <v>536</v>
      </c>
      <c r="BV2" s="5" t="s">
        <v>537</v>
      </c>
      <c r="BW2" s="5" t="s">
        <v>538</v>
      </c>
      <c r="BX2" s="5" t="s">
        <v>539</v>
      </c>
      <c r="BY2" s="5" t="s">
        <v>540</v>
      </c>
      <c r="BZ2" s="5" t="s">
        <v>541</v>
      </c>
      <c r="CA2" s="5" t="s">
        <v>539</v>
      </c>
      <c r="CB2" s="5" t="s">
        <v>540</v>
      </c>
      <c r="CC2" s="5" t="s">
        <v>541</v>
      </c>
      <c r="CD2" s="5" t="s">
        <v>542</v>
      </c>
      <c r="CE2" s="5" t="s">
        <v>543</v>
      </c>
      <c r="CF2" s="5" t="s">
        <v>544</v>
      </c>
      <c r="CG2" s="5" t="s">
        <v>545</v>
      </c>
      <c r="CH2" s="5" t="s">
        <v>178</v>
      </c>
      <c r="CI2" s="5" t="s">
        <v>179</v>
      </c>
      <c r="CJ2" s="5" t="s">
        <v>180</v>
      </c>
      <c r="CK2" s="5" t="s">
        <v>181</v>
      </c>
      <c r="CL2" s="5" t="s">
        <v>182</v>
      </c>
      <c r="CM2" s="5" t="s">
        <v>183</v>
      </c>
      <c r="CN2" s="5" t="s">
        <v>184</v>
      </c>
      <c r="CO2" s="5" t="s">
        <v>185</v>
      </c>
      <c r="CP2" s="5" t="s">
        <v>186</v>
      </c>
      <c r="CQ2" s="5" t="s">
        <v>187</v>
      </c>
      <c r="CR2" s="5" t="s">
        <v>188</v>
      </c>
      <c r="CS2" s="5" t="s">
        <v>189</v>
      </c>
      <c r="CT2" s="5" t="s">
        <v>190</v>
      </c>
      <c r="CU2" s="5" t="s">
        <v>191</v>
      </c>
      <c r="CV2" s="5" t="s">
        <v>192</v>
      </c>
      <c r="CW2" s="5" t="s">
        <v>193</v>
      </c>
      <c r="CX2" s="5" t="s">
        <v>194</v>
      </c>
      <c r="CY2" s="5" t="s">
        <v>195</v>
      </c>
      <c r="CZ2" s="5" t="s">
        <v>196</v>
      </c>
      <c r="DA2" s="5" t="s">
        <v>197</v>
      </c>
      <c r="DB2" s="5" t="s">
        <v>198</v>
      </c>
      <c r="DC2" s="5" t="s">
        <v>199</v>
      </c>
      <c r="DD2" s="5" t="s">
        <v>200</v>
      </c>
      <c r="DE2" s="5" t="s">
        <v>201</v>
      </c>
      <c r="DF2" s="5" t="s">
        <v>202</v>
      </c>
      <c r="DG2" s="5" t="s">
        <v>203</v>
      </c>
      <c r="DH2" s="5" t="s">
        <v>204</v>
      </c>
      <c r="DI2" s="5" t="s">
        <v>205</v>
      </c>
      <c r="DJ2" s="5" t="s">
        <v>206</v>
      </c>
      <c r="DK2" s="5" t="s">
        <v>207</v>
      </c>
      <c r="DL2" s="5" t="s">
        <v>208</v>
      </c>
    </row>
    <row r="3" spans="1:191" s="8" customFormat="1" ht="15.75" x14ac:dyDescent="0.25">
      <c r="A3" s="6" t="s">
        <v>257</v>
      </c>
      <c r="B3" s="7" t="str">
        <f t="shared" ref="B3" ca="1" si="0">TEXT(TODAY(), "mm/dd/yyyy")</f>
        <v>05/08/2023</v>
      </c>
      <c r="C3" s="8" t="s">
        <v>210</v>
      </c>
      <c r="D3" s="8" t="s">
        <v>546</v>
      </c>
      <c r="F3" s="8" t="s">
        <v>258</v>
      </c>
      <c r="G3" s="8" t="s">
        <v>259</v>
      </c>
      <c r="H3" s="8" t="s">
        <v>260</v>
      </c>
      <c r="I3" s="8" t="s">
        <v>261</v>
      </c>
      <c r="J3" s="8" t="s">
        <v>217</v>
      </c>
      <c r="L3" s="8" t="s">
        <v>218</v>
      </c>
      <c r="M3" s="8" t="s">
        <v>212</v>
      </c>
      <c r="N3" s="8" t="s">
        <v>212</v>
      </c>
      <c r="O3" s="8" t="s">
        <v>218</v>
      </c>
      <c r="P3" s="8" t="s">
        <v>219</v>
      </c>
      <c r="Q3" s="8" t="s">
        <v>220</v>
      </c>
      <c r="R3" s="8" t="s">
        <v>221</v>
      </c>
      <c r="S3" s="8" t="s">
        <v>222</v>
      </c>
      <c r="T3" s="8" t="s">
        <v>212</v>
      </c>
      <c r="W3" s="8" t="s">
        <v>212</v>
      </c>
      <c r="X3" s="8" t="s">
        <v>547</v>
      </c>
      <c r="Z3" s="8" t="s">
        <v>548</v>
      </c>
      <c r="AA3" s="8" t="s">
        <v>549</v>
      </c>
      <c r="AB3" s="8" t="s">
        <v>550</v>
      </c>
      <c r="AC3" s="8" t="s">
        <v>551</v>
      </c>
      <c r="AD3" s="8" t="s">
        <v>552</v>
      </c>
      <c r="AE3" s="8" t="s">
        <v>553</v>
      </c>
      <c r="AF3" s="8" t="s">
        <v>554</v>
      </c>
      <c r="AG3" s="8" t="s">
        <v>555</v>
      </c>
      <c r="AH3" s="8" t="s">
        <v>463</v>
      </c>
      <c r="AI3" s="8" t="s">
        <v>234</v>
      </c>
      <c r="AJ3" s="8" t="s">
        <v>457</v>
      </c>
      <c r="AK3" s="8" t="s">
        <v>556</v>
      </c>
      <c r="AL3" s="8" t="s">
        <v>459</v>
      </c>
      <c r="AM3" s="8" t="s">
        <v>557</v>
      </c>
      <c r="AN3" s="8" t="s">
        <v>558</v>
      </c>
      <c r="AO3" s="8" t="s">
        <v>558</v>
      </c>
      <c r="AP3" s="8" t="s">
        <v>212</v>
      </c>
      <c r="AQ3" s="8" t="s">
        <v>559</v>
      </c>
      <c r="AR3" s="8" t="s">
        <v>560</v>
      </c>
      <c r="AS3" s="8" t="s">
        <v>561</v>
      </c>
      <c r="AT3" s="8" t="s">
        <v>562</v>
      </c>
      <c r="AU3" s="8" t="s">
        <v>563</v>
      </c>
      <c r="AV3" s="8" t="s">
        <v>564</v>
      </c>
      <c r="AW3" s="8" t="s">
        <v>470</v>
      </c>
      <c r="AX3" s="8" t="s">
        <v>218</v>
      </c>
      <c r="AY3" s="8" t="s">
        <v>212</v>
      </c>
      <c r="AZ3" s="8" t="s">
        <v>212</v>
      </c>
      <c r="BA3" s="8" t="s">
        <v>212</v>
      </c>
      <c r="BB3" s="8" t="s">
        <v>212</v>
      </c>
      <c r="BC3" s="8" t="s">
        <v>212</v>
      </c>
      <c r="BD3" s="8" t="s">
        <v>212</v>
      </c>
      <c r="BE3" s="8" t="s">
        <v>212</v>
      </c>
      <c r="BF3" s="8" t="s">
        <v>212</v>
      </c>
      <c r="BG3" s="8" t="s">
        <v>212</v>
      </c>
      <c r="BH3" s="8" t="s">
        <v>212</v>
      </c>
      <c r="BI3" s="8" t="s">
        <v>565</v>
      </c>
      <c r="BJ3" s="8" t="s">
        <v>566</v>
      </c>
      <c r="BK3" s="8">
        <v>123</v>
      </c>
      <c r="BL3" s="8">
        <v>2010</v>
      </c>
      <c r="BM3" s="8" t="s">
        <v>463</v>
      </c>
      <c r="BN3" s="8" t="s">
        <v>567</v>
      </c>
      <c r="BO3" s="8" t="s">
        <v>568</v>
      </c>
      <c r="BP3" s="8" t="s">
        <v>569</v>
      </c>
      <c r="BQ3" s="8" t="s">
        <v>570</v>
      </c>
      <c r="BR3" s="8" t="s">
        <v>571</v>
      </c>
      <c r="BS3" s="8" t="s">
        <v>212</v>
      </c>
      <c r="BT3" s="8" t="s">
        <v>212</v>
      </c>
      <c r="BU3" s="8" t="s">
        <v>572</v>
      </c>
      <c r="BV3" s="8" t="s">
        <v>573</v>
      </c>
      <c r="BW3" s="8" t="s">
        <v>463</v>
      </c>
      <c r="BX3" s="8" t="s">
        <v>465</v>
      </c>
      <c r="BY3" s="8" t="s">
        <v>465</v>
      </c>
      <c r="BZ3" s="8" t="s">
        <v>465</v>
      </c>
      <c r="CA3" s="8" t="s">
        <v>465</v>
      </c>
      <c r="CB3" s="8" t="s">
        <v>465</v>
      </c>
      <c r="CC3" s="8" t="s">
        <v>465</v>
      </c>
      <c r="CD3" s="8" t="s">
        <v>548</v>
      </c>
      <c r="CE3" s="8" t="s">
        <v>574</v>
      </c>
      <c r="CF3" s="8" t="s">
        <v>575</v>
      </c>
      <c r="CG3" s="8" t="s">
        <v>576</v>
      </c>
      <c r="CH3" s="8" t="s">
        <v>12</v>
      </c>
      <c r="CI3" s="8" t="s">
        <v>236</v>
      </c>
      <c r="CJ3" s="19" t="str">
        <f t="shared" ref="CJ3" ca="1" si="1">TEXT((TODAY()+1), "mm/dd/yyyy")</f>
        <v>05/09/2023</v>
      </c>
      <c r="CK3" s="8" t="s">
        <v>12</v>
      </c>
      <c r="CL3" s="8" t="s">
        <v>182</v>
      </c>
      <c r="CM3" s="8" t="s">
        <v>248</v>
      </c>
      <c r="CN3" s="8" t="s">
        <v>248</v>
      </c>
      <c r="CO3" s="8" t="s">
        <v>249</v>
      </c>
      <c r="CP3" s="8" t="s">
        <v>250</v>
      </c>
      <c r="CQ3" s="8" t="s">
        <v>251</v>
      </c>
      <c r="CR3" s="8" t="s">
        <v>251</v>
      </c>
      <c r="CS3" s="8" t="s">
        <v>252</v>
      </c>
      <c r="CT3" s="8" t="s">
        <v>253</v>
      </c>
      <c r="CU3" s="8" t="s">
        <v>248</v>
      </c>
      <c r="CV3" s="8" t="s">
        <v>248</v>
      </c>
      <c r="CW3" s="8" t="s">
        <v>249</v>
      </c>
      <c r="CX3" s="8" t="s">
        <v>250</v>
      </c>
      <c r="CY3" s="8" t="s">
        <v>251</v>
      </c>
      <c r="CZ3" s="8" t="s">
        <v>251</v>
      </c>
      <c r="DA3" s="8" t="s">
        <v>252</v>
      </c>
      <c r="DB3" s="8" t="s">
        <v>253</v>
      </c>
      <c r="DC3" s="8" t="s">
        <v>254</v>
      </c>
      <c r="DD3" s="8" t="s">
        <v>255</v>
      </c>
      <c r="DE3" s="8" t="s">
        <v>256</v>
      </c>
      <c r="DF3" s="8" t="s">
        <v>250</v>
      </c>
      <c r="DG3" s="8" t="s">
        <v>251</v>
      </c>
      <c r="DH3" s="8" t="s">
        <v>251</v>
      </c>
      <c r="DI3" s="8" t="s">
        <v>252</v>
      </c>
      <c r="DJ3" s="8" t="s">
        <v>253</v>
      </c>
      <c r="DK3" s="8" t="s">
        <v>251</v>
      </c>
      <c r="DL3" s="8" t="s">
        <v>251</v>
      </c>
      <c r="GI3" s="10"/>
    </row>
  </sheetData>
  <mergeCells count="4">
    <mergeCell ref="B1:V1"/>
    <mergeCell ref="W1:AC1"/>
    <mergeCell ref="CD1:CG1"/>
    <mergeCell ref="CH1:C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D3"/>
  <sheetViews>
    <sheetView workbookViewId="0">
      <selection activeCell="E32" sqref="E32"/>
    </sheetView>
  </sheetViews>
  <sheetFormatPr defaultRowHeight="15" x14ac:dyDescent="0.25"/>
  <cols>
    <col min="1" max="1" width="7.5703125" bestFit="1" customWidth="1"/>
    <col min="2" max="2" width="15.28515625" bestFit="1" customWidth="1"/>
    <col min="3" max="3" width="22.7109375" bestFit="1" customWidth="1"/>
    <col min="4" max="4" width="15.5703125" bestFit="1" customWidth="1"/>
    <col min="5" max="5" width="9.5703125" bestFit="1" customWidth="1"/>
    <col min="6" max="6" width="6.140625" bestFit="1" customWidth="1"/>
    <col min="7" max="7" width="21.140625" bestFit="1" customWidth="1"/>
    <col min="8" max="8" width="21.7109375" bestFit="1" customWidth="1"/>
    <col min="9" max="9" width="10" bestFit="1" customWidth="1"/>
    <col min="10" max="10" width="15.140625" bestFit="1" customWidth="1"/>
    <col min="11" max="11" width="38" bestFit="1" customWidth="1"/>
    <col min="12" max="12" width="25.28515625" bestFit="1" customWidth="1"/>
    <col min="13" max="13" width="20.85546875" bestFit="1" customWidth="1"/>
    <col min="14" max="14" width="21.140625" bestFit="1" customWidth="1"/>
    <col min="15" max="15" width="17.85546875" bestFit="1" customWidth="1"/>
    <col min="16" max="16" width="8" bestFit="1" customWidth="1"/>
    <col min="17" max="17" width="12" bestFit="1" customWidth="1"/>
    <col min="18" max="18" width="3.5703125" bestFit="1" customWidth="1"/>
    <col min="19" max="19" width="11.7109375" bestFit="1" customWidth="1"/>
    <col min="20" max="20" width="6.42578125" bestFit="1" customWidth="1"/>
    <col min="21" max="21" width="22.140625" bestFit="1" customWidth="1"/>
    <col min="22" max="22" width="20" bestFit="1" customWidth="1"/>
    <col min="23" max="23" width="16.7109375" bestFit="1" customWidth="1"/>
    <col min="24" max="24" width="20.85546875" bestFit="1" customWidth="1"/>
    <col min="25" max="25" width="20.5703125" bestFit="1" customWidth="1"/>
    <col min="26" max="26" width="26.5703125" bestFit="1" customWidth="1"/>
    <col min="27" max="27" width="20.140625" bestFit="1" customWidth="1"/>
    <col min="28" max="28" width="22.7109375" bestFit="1" customWidth="1"/>
    <col min="29" max="29" width="34.42578125" bestFit="1" customWidth="1"/>
    <col min="30" max="30" width="23.28515625" bestFit="1" customWidth="1"/>
    <col min="31" max="31" width="22" bestFit="1" customWidth="1"/>
    <col min="32" max="32" width="28" bestFit="1" customWidth="1"/>
    <col min="33" max="33" width="20.140625" bestFit="1" customWidth="1"/>
    <col min="34" max="34" width="30" bestFit="1" customWidth="1"/>
    <col min="35" max="35" width="14.42578125" bestFit="1" customWidth="1"/>
    <col min="36" max="36" width="17.42578125" bestFit="1" customWidth="1"/>
    <col min="37" max="38" width="28.7109375" bestFit="1" customWidth="1"/>
    <col min="39" max="39" width="33.140625" bestFit="1" customWidth="1"/>
    <col min="40" max="40" width="25.7109375" bestFit="1" customWidth="1"/>
    <col min="41" max="41" width="32.85546875" bestFit="1" customWidth="1"/>
    <col min="42" max="42" width="28.5703125" bestFit="1" customWidth="1"/>
    <col min="43" max="43" width="27.42578125" bestFit="1" customWidth="1"/>
    <col min="44" max="44" width="36.7109375" bestFit="1" customWidth="1"/>
    <col min="45" max="45" width="39.7109375" bestFit="1" customWidth="1"/>
    <col min="46" max="46" width="48" bestFit="1" customWidth="1"/>
    <col min="47" max="47" width="30.7109375" bestFit="1" customWidth="1"/>
    <col min="48" max="48" width="15.85546875" bestFit="1" customWidth="1"/>
    <col min="49" max="49" width="24.28515625" bestFit="1" customWidth="1"/>
    <col min="50" max="50" width="52.7109375" bestFit="1" customWidth="1"/>
    <col min="51" max="51" width="77.7109375" bestFit="1" customWidth="1"/>
    <col min="52" max="52" width="47.42578125" bestFit="1" customWidth="1"/>
    <col min="53" max="54" width="26.140625" bestFit="1" customWidth="1"/>
    <col min="55" max="55" width="27.140625" bestFit="1" customWidth="1"/>
    <col min="56" max="56" width="36.5703125" bestFit="1" customWidth="1"/>
    <col min="57" max="57" width="25" bestFit="1" customWidth="1"/>
    <col min="58" max="58" width="26.5703125" bestFit="1" customWidth="1"/>
    <col min="59" max="59" width="24.28515625" bestFit="1" customWidth="1"/>
    <col min="60" max="60" width="16.85546875" bestFit="1" customWidth="1"/>
    <col min="61" max="61" width="8" bestFit="1" customWidth="1"/>
    <col min="62" max="62" width="15.42578125" bestFit="1" customWidth="1"/>
    <col min="63" max="63" width="29" bestFit="1" customWidth="1"/>
    <col min="64" max="64" width="38.42578125" bestFit="1" customWidth="1"/>
    <col min="65" max="65" width="26.5703125" bestFit="1" customWidth="1"/>
    <col min="66" max="66" width="28" bestFit="1" customWidth="1"/>
    <col min="67" max="67" width="32" bestFit="1" customWidth="1"/>
    <col min="68" max="68" width="39" bestFit="1" customWidth="1"/>
    <col min="69" max="69" width="28.5703125" bestFit="1" customWidth="1"/>
    <col min="70" max="70" width="31.42578125" bestFit="1" customWidth="1"/>
    <col min="71" max="71" width="17.85546875" bestFit="1" customWidth="1"/>
    <col min="72" max="72" width="18.5703125" bestFit="1" customWidth="1"/>
    <col min="73" max="73" width="19.42578125" bestFit="1" customWidth="1"/>
    <col min="74" max="74" width="23.7109375" bestFit="1" customWidth="1"/>
    <col min="75" max="75" width="19.85546875" bestFit="1" customWidth="1"/>
    <col min="76" max="76" width="25.140625" bestFit="1" customWidth="1"/>
    <col min="77" max="77" width="32.42578125" bestFit="1" customWidth="1"/>
    <col min="78" max="78" width="22.28515625" bestFit="1" customWidth="1"/>
    <col min="79" max="79" width="11" bestFit="1" customWidth="1"/>
    <col min="80" max="80" width="22.7109375" bestFit="1" customWidth="1"/>
    <col min="81" max="81" width="39.140625" bestFit="1" customWidth="1"/>
    <col min="82" max="82" width="39.42578125" bestFit="1" customWidth="1"/>
    <col min="83" max="83" width="29.85546875" bestFit="1" customWidth="1"/>
    <col min="84" max="84" width="24.140625" bestFit="1" customWidth="1"/>
    <col min="85" max="85" width="24.7109375" bestFit="1" customWidth="1"/>
    <col min="86" max="86" width="28.28515625" bestFit="1" customWidth="1"/>
    <col min="87" max="87" width="30.28515625" bestFit="1" customWidth="1"/>
    <col min="88" max="88" width="25.85546875" bestFit="1" customWidth="1"/>
    <col min="89" max="89" width="17.7109375" bestFit="1" customWidth="1"/>
    <col min="90" max="90" width="9.42578125" bestFit="1" customWidth="1"/>
    <col min="91" max="91" width="8.5703125" bestFit="1" customWidth="1"/>
    <col min="92" max="92" width="15.42578125" bestFit="1" customWidth="1"/>
    <col min="93" max="93" width="26.42578125" bestFit="1" customWidth="1"/>
    <col min="94" max="94" width="23.85546875" bestFit="1" customWidth="1"/>
    <col min="95" max="95" width="15.5703125" bestFit="1" customWidth="1"/>
    <col min="96" max="96" width="14.7109375" bestFit="1" customWidth="1"/>
    <col min="97" max="97" width="21.7109375" bestFit="1" customWidth="1"/>
    <col min="98" max="98" width="32.5703125" bestFit="1" customWidth="1"/>
    <col min="99" max="99" width="13.7109375" bestFit="1" customWidth="1"/>
    <col min="100" max="100" width="38.85546875" bestFit="1" customWidth="1"/>
    <col min="101" max="101" width="33.42578125" bestFit="1" customWidth="1"/>
    <col min="102" max="102" width="31.140625" bestFit="1" customWidth="1"/>
    <col min="103" max="103" width="31.85546875" bestFit="1" customWidth="1"/>
    <col min="104" max="104" width="33.42578125" bestFit="1" customWidth="1"/>
    <col min="105" max="105" width="29.42578125" bestFit="1" customWidth="1"/>
    <col min="106" max="106" width="29.28515625" bestFit="1" customWidth="1"/>
    <col min="107" max="107" width="36.140625" bestFit="1" customWidth="1"/>
    <col min="108" max="109" width="32.85546875" bestFit="1" customWidth="1"/>
    <col min="110" max="110" width="32.42578125" bestFit="1" customWidth="1"/>
    <col min="111" max="111" width="46" bestFit="1" customWidth="1"/>
    <col min="112" max="112" width="32.28515625" bestFit="1" customWidth="1"/>
    <col min="113" max="113" width="29" bestFit="1" customWidth="1"/>
    <col min="114" max="114" width="41.140625" bestFit="1" customWidth="1"/>
    <col min="115" max="115" width="30.140625" bestFit="1" customWidth="1"/>
    <col min="116" max="116" width="29.28515625" bestFit="1" customWidth="1"/>
    <col min="117" max="117" width="18.5703125" bestFit="1" customWidth="1"/>
    <col min="118" max="118" width="20.140625" bestFit="1" customWidth="1"/>
    <col min="119" max="119" width="30" bestFit="1" customWidth="1"/>
    <col min="120" max="120" width="13.28515625" bestFit="1" customWidth="1"/>
    <col min="121" max="121" width="6.7109375" bestFit="1" customWidth="1"/>
    <col min="122" max="122" width="32" bestFit="1" customWidth="1"/>
    <col min="123" max="123" width="25.7109375" bestFit="1" customWidth="1"/>
    <col min="124" max="124" width="28.140625" bestFit="1" customWidth="1"/>
    <col min="125" max="125" width="39.85546875" bestFit="1" customWidth="1"/>
    <col min="126" max="126" width="28.7109375" bestFit="1" customWidth="1"/>
    <col min="127" max="127" width="27.42578125" bestFit="1" customWidth="1"/>
    <col min="128" max="128" width="33.42578125" bestFit="1" customWidth="1"/>
    <col min="129" max="129" width="25.7109375" bestFit="1" customWidth="1"/>
    <col min="130" max="130" width="19.85546875" bestFit="1" customWidth="1"/>
    <col min="131" max="131" width="22.85546875" bestFit="1" customWidth="1"/>
    <col min="132" max="133" width="34.28515625" bestFit="1" customWidth="1"/>
    <col min="134" max="134" width="38.7109375" bestFit="1" customWidth="1"/>
    <col min="135" max="135" width="31.140625" bestFit="1" customWidth="1"/>
    <col min="136" max="136" width="38.42578125" bestFit="1" customWidth="1"/>
    <col min="137" max="137" width="34.140625" bestFit="1" customWidth="1"/>
    <col min="138" max="138" width="32.85546875" bestFit="1" customWidth="1"/>
    <col min="139" max="139" width="42.28515625" bestFit="1" customWidth="1"/>
    <col min="140" max="140" width="45.140625" bestFit="1" customWidth="1"/>
    <col min="141" max="141" width="53.42578125" bestFit="1" customWidth="1"/>
    <col min="142" max="142" width="36.140625" bestFit="1" customWidth="1"/>
    <col min="143" max="143" width="21.42578125" bestFit="1" customWidth="1"/>
    <col min="144" max="144" width="13.140625" bestFit="1" customWidth="1"/>
    <col min="145" max="145" width="21.85546875" bestFit="1" customWidth="1"/>
    <col min="146" max="146" width="29" bestFit="1" customWidth="1"/>
    <col min="147" max="147" width="36.5703125" bestFit="1" customWidth="1"/>
    <col min="148" max="149" width="31.5703125" bestFit="1" customWidth="1"/>
    <col min="150" max="150" width="32.5703125" bestFit="1" customWidth="1"/>
    <col min="151" max="151" width="42.140625" bestFit="1" customWidth="1"/>
    <col min="152" max="152" width="30.5703125" bestFit="1" customWidth="1"/>
    <col min="153" max="153" width="32" bestFit="1" customWidth="1"/>
    <col min="154" max="154" width="29.85546875" bestFit="1" customWidth="1"/>
    <col min="155" max="155" width="22.42578125" bestFit="1" customWidth="1"/>
    <col min="156" max="156" width="12" bestFit="1" customWidth="1"/>
    <col min="157" max="157" width="20.85546875" bestFit="1" customWidth="1"/>
    <col min="158" max="158" width="34.5703125" bestFit="1" customWidth="1"/>
    <col min="159" max="159" width="43.85546875" bestFit="1" customWidth="1"/>
    <col min="160" max="160" width="32" bestFit="1" customWidth="1"/>
    <col min="161" max="161" width="33.42578125" bestFit="1" customWidth="1"/>
    <col min="162" max="162" width="37.42578125" bestFit="1" customWidth="1"/>
    <col min="163" max="163" width="44.42578125" bestFit="1" customWidth="1"/>
    <col min="164" max="164" width="34.140625" bestFit="1" customWidth="1"/>
    <col min="165" max="165" width="36.85546875" bestFit="1" customWidth="1"/>
    <col min="166" max="166" width="23.28515625" bestFit="1" customWidth="1"/>
    <col min="167" max="167" width="24" bestFit="1" customWidth="1"/>
    <col min="168" max="168" width="24.85546875" bestFit="1" customWidth="1"/>
    <col min="169" max="169" width="29.140625" bestFit="1" customWidth="1"/>
    <col min="170" max="170" width="25.28515625" bestFit="1" customWidth="1"/>
    <col min="171" max="171" width="30.7109375" bestFit="1" customWidth="1"/>
    <col min="172" max="172" width="38" bestFit="1" customWidth="1"/>
    <col min="173" max="173" width="27.7109375" bestFit="1" customWidth="1"/>
    <col min="174" max="174" width="16.42578125" bestFit="1" customWidth="1"/>
    <col min="175" max="175" width="44.5703125" bestFit="1" customWidth="1"/>
    <col min="176" max="176" width="44.85546875" bestFit="1" customWidth="1"/>
    <col min="177" max="177" width="35.28515625" bestFit="1" customWidth="1"/>
    <col min="178" max="178" width="29.7109375" bestFit="1" customWidth="1"/>
    <col min="179" max="179" width="30.28515625" bestFit="1" customWidth="1"/>
    <col min="180" max="180" width="33.85546875" bestFit="1" customWidth="1"/>
    <col min="181" max="181" width="35.7109375" bestFit="1" customWidth="1"/>
    <col min="182" max="182" width="31.28515625" bestFit="1" customWidth="1"/>
    <col min="183" max="183" width="23.140625" bestFit="1" customWidth="1"/>
    <col min="184" max="184" width="14.85546875" bestFit="1" customWidth="1"/>
    <col min="185" max="185" width="14" bestFit="1" customWidth="1"/>
    <col min="186" max="186" width="20.85546875" bestFit="1" customWidth="1"/>
    <col min="187" max="187" width="31.85546875" bestFit="1" customWidth="1"/>
    <col min="188" max="188" width="29.28515625" bestFit="1" customWidth="1"/>
    <col min="189" max="189" width="21" bestFit="1" customWidth="1"/>
    <col min="190" max="190" width="20.140625" bestFit="1" customWidth="1"/>
    <col min="191" max="191" width="27.140625" bestFit="1" customWidth="1"/>
    <col min="192" max="192" width="38.140625" bestFit="1" customWidth="1"/>
    <col min="193" max="193" width="19.140625" bestFit="1" customWidth="1"/>
    <col min="194" max="194" width="44.28515625" bestFit="1" customWidth="1"/>
    <col min="195" max="195" width="39" bestFit="1" customWidth="1"/>
    <col min="196" max="196" width="36.5703125" bestFit="1" customWidth="1"/>
    <col min="197" max="197" width="37.28515625" bestFit="1" customWidth="1"/>
    <col min="198" max="198" width="39" bestFit="1" customWidth="1"/>
    <col min="199" max="199" width="35" bestFit="1" customWidth="1"/>
    <col min="200" max="200" width="34.85546875" bestFit="1" customWidth="1"/>
    <col min="201" max="201" width="41.5703125" bestFit="1" customWidth="1"/>
    <col min="202" max="203" width="38.42578125" bestFit="1" customWidth="1"/>
    <col min="204" max="204" width="38" bestFit="1" customWidth="1"/>
    <col min="205" max="205" width="51.5703125" bestFit="1" customWidth="1"/>
    <col min="206" max="206" width="37.7109375" bestFit="1" customWidth="1"/>
    <col min="207" max="207" width="34.5703125" bestFit="1" customWidth="1"/>
    <col min="208" max="208" width="46.7109375" bestFit="1" customWidth="1"/>
    <col min="209" max="209" width="35.5703125" bestFit="1" customWidth="1"/>
    <col min="210" max="210" width="34.85546875" bestFit="1" customWidth="1"/>
    <col min="211" max="211" width="24.140625" bestFit="1" customWidth="1"/>
    <col min="212" max="212" width="25.85546875" bestFit="1" customWidth="1"/>
    <col min="213" max="213" width="35.5703125" bestFit="1" customWidth="1"/>
    <col min="214" max="214" width="17.85546875" bestFit="1" customWidth="1"/>
    <col min="215" max="215" width="12.140625" bestFit="1" customWidth="1"/>
    <col min="216" max="216" width="37.5703125" bestFit="1" customWidth="1"/>
    <col min="217" max="217" width="31.28515625" bestFit="1" customWidth="1"/>
    <col min="218" max="218" width="33.85546875" bestFit="1" customWidth="1"/>
    <col min="219" max="219" width="45.42578125" bestFit="1" customWidth="1"/>
    <col min="220" max="220" width="34.42578125" bestFit="1" customWidth="1"/>
    <col min="221" max="221" width="33" bestFit="1" customWidth="1"/>
    <col min="222" max="222" width="39.140625" bestFit="1" customWidth="1"/>
    <col min="223" max="223" width="31.28515625" bestFit="1" customWidth="1"/>
    <col min="224" max="224" width="25.5703125" bestFit="1" customWidth="1"/>
    <col min="225" max="225" width="28.42578125" bestFit="1" customWidth="1"/>
    <col min="226" max="227" width="39.85546875" bestFit="1" customWidth="1"/>
    <col min="228" max="228" width="44.28515625" bestFit="1" customWidth="1"/>
    <col min="229" max="229" width="36.7109375" bestFit="1" customWidth="1"/>
    <col min="230" max="230" width="44" bestFit="1" customWidth="1"/>
    <col min="231" max="231" width="39.7109375" bestFit="1" customWidth="1"/>
    <col min="232" max="232" width="38.5703125" bestFit="1" customWidth="1"/>
    <col min="233" max="233" width="47.85546875" bestFit="1" customWidth="1"/>
    <col min="234" max="234" width="50.85546875" bestFit="1" customWidth="1"/>
    <col min="235" max="235" width="59.140625" bestFit="1" customWidth="1"/>
    <col min="236" max="236" width="41.7109375" bestFit="1" customWidth="1"/>
    <col min="237" max="237" width="27" bestFit="1" customWidth="1"/>
    <col min="238" max="238" width="18.7109375" bestFit="1" customWidth="1"/>
    <col min="239" max="239" width="27.42578125" bestFit="1" customWidth="1"/>
    <col min="240" max="240" width="34.7109375" bestFit="1" customWidth="1"/>
    <col min="241" max="241" width="42.28515625" bestFit="1" customWidth="1"/>
    <col min="242" max="243" width="37.140625" bestFit="1" customWidth="1"/>
    <col min="244" max="244" width="38.28515625" bestFit="1" customWidth="1"/>
    <col min="245" max="245" width="47.7109375" bestFit="1" customWidth="1"/>
    <col min="246" max="246" width="36.140625" bestFit="1" customWidth="1"/>
    <col min="247" max="247" width="37.5703125" bestFit="1" customWidth="1"/>
    <col min="248" max="248" width="35.42578125" bestFit="1" customWidth="1"/>
    <col min="249" max="249" width="28" bestFit="1" customWidth="1"/>
    <col min="250" max="250" width="17.7109375" bestFit="1" customWidth="1"/>
    <col min="251" max="251" width="26.5703125" bestFit="1" customWidth="1"/>
    <col min="252" max="252" width="40.140625" bestFit="1" customWidth="1"/>
    <col min="253" max="253" width="49.42578125" bestFit="1" customWidth="1"/>
    <col min="254" max="254" width="37.5703125" bestFit="1" customWidth="1"/>
    <col min="255" max="255" width="39.140625" bestFit="1" customWidth="1"/>
    <col min="256" max="256" width="43.140625" bestFit="1" customWidth="1"/>
    <col min="257" max="257" width="50" bestFit="1" customWidth="1"/>
    <col min="258" max="258" width="39.7109375" bestFit="1" customWidth="1"/>
    <col min="259" max="259" width="42.5703125" bestFit="1" customWidth="1"/>
    <col min="260" max="260" width="28.85546875" bestFit="1" customWidth="1"/>
    <col min="261" max="261" width="29.7109375" bestFit="1" customWidth="1"/>
    <col min="262" max="262" width="30.5703125" bestFit="1" customWidth="1"/>
    <col min="263" max="263" width="34.85546875" bestFit="1" customWidth="1"/>
    <col min="264" max="264" width="31" bestFit="1" customWidth="1"/>
    <col min="265" max="265" width="36.28515625" bestFit="1" customWidth="1"/>
    <col min="266" max="266" width="43.5703125" bestFit="1" customWidth="1"/>
    <col min="267" max="267" width="33.28515625" bestFit="1" customWidth="1"/>
    <col min="268" max="268" width="22.140625" bestFit="1" customWidth="1"/>
    <col min="269" max="269" width="50.140625" bestFit="1" customWidth="1"/>
    <col min="270" max="270" width="50.5703125" bestFit="1" customWidth="1"/>
    <col min="271" max="271" width="40.85546875" bestFit="1" customWidth="1"/>
    <col min="272" max="272" width="35.28515625" bestFit="1" customWidth="1"/>
    <col min="273" max="273" width="35.85546875" bestFit="1" customWidth="1"/>
    <col min="274" max="274" width="39.42578125" bestFit="1" customWidth="1"/>
    <col min="275" max="275" width="41.28515625" bestFit="1" customWidth="1"/>
    <col min="276" max="276" width="36.85546875" bestFit="1" customWidth="1"/>
    <col min="277" max="277" width="28.7109375" bestFit="1" customWidth="1"/>
    <col min="278" max="278" width="20.42578125" bestFit="1" customWidth="1"/>
    <col min="279" max="279" width="19.5703125" bestFit="1" customWidth="1"/>
    <col min="280" max="280" width="26.5703125" bestFit="1" customWidth="1"/>
    <col min="281" max="281" width="37.42578125" bestFit="1" customWidth="1"/>
    <col min="282" max="282" width="35" bestFit="1" customWidth="1"/>
    <col min="283" max="283" width="26.7109375" bestFit="1" customWidth="1"/>
    <col min="284" max="284" width="25.85546875" bestFit="1" customWidth="1"/>
    <col min="285" max="285" width="32.7109375" bestFit="1" customWidth="1"/>
    <col min="286" max="286" width="43.7109375" bestFit="1" customWidth="1"/>
    <col min="287" max="287" width="24.7109375" bestFit="1" customWidth="1"/>
    <col min="288" max="288" width="49.85546875" bestFit="1" customWidth="1"/>
    <col min="289" max="289" width="44.5703125" bestFit="1" customWidth="1"/>
    <col min="290" max="290" width="42.28515625" bestFit="1" customWidth="1"/>
    <col min="291" max="291" width="43" bestFit="1" customWidth="1"/>
    <col min="292" max="292" width="44.5703125" bestFit="1" customWidth="1"/>
    <col min="293" max="293" width="40.5703125" bestFit="1" customWidth="1"/>
    <col min="294" max="294" width="40.42578125" bestFit="1" customWidth="1"/>
    <col min="295" max="295" width="47.28515625" bestFit="1" customWidth="1"/>
    <col min="296" max="297" width="44" bestFit="1" customWidth="1"/>
    <col min="298" max="298" width="43.5703125" bestFit="1" customWidth="1"/>
    <col min="299" max="299" width="57.140625" bestFit="1" customWidth="1"/>
    <col min="300" max="300" width="43.42578125" bestFit="1" customWidth="1"/>
    <col min="301" max="301" width="40.140625" bestFit="1" customWidth="1"/>
    <col min="302" max="302" width="52.28515625" bestFit="1" customWidth="1"/>
    <col min="303" max="303" width="41.140625" bestFit="1" customWidth="1"/>
    <col min="304" max="304" width="40.42578125" bestFit="1" customWidth="1"/>
    <col min="305" max="305" width="30.28515625" bestFit="1" customWidth="1"/>
    <col min="306" max="306" width="32.85546875" bestFit="1" customWidth="1"/>
    <col min="307" max="307" width="26.5703125" bestFit="1" customWidth="1"/>
    <col min="308" max="308" width="29" bestFit="1" customWidth="1"/>
    <col min="309" max="309" width="40.7109375" bestFit="1" customWidth="1"/>
    <col min="310" max="310" width="29.7109375" bestFit="1" customWidth="1"/>
    <col min="311" max="311" width="28.28515625" bestFit="1" customWidth="1"/>
    <col min="312" max="312" width="34.42578125" bestFit="1" customWidth="1"/>
    <col min="313" max="313" width="26.5703125" bestFit="1" customWidth="1"/>
    <col min="314" max="314" width="20.7109375" bestFit="1" customWidth="1"/>
    <col min="315" max="315" width="23.7109375" bestFit="1" customWidth="1"/>
    <col min="316" max="317" width="35.140625" bestFit="1" customWidth="1"/>
    <col min="318" max="318" width="39.5703125" bestFit="1" customWidth="1"/>
    <col min="319" max="319" width="32" bestFit="1" customWidth="1"/>
    <col min="320" max="320" width="39.28515625" bestFit="1" customWidth="1"/>
    <col min="321" max="321" width="35" bestFit="1" customWidth="1"/>
    <col min="322" max="322" width="33.85546875" bestFit="1" customWidth="1"/>
    <col min="323" max="323" width="43.140625" bestFit="1" customWidth="1"/>
    <col min="324" max="324" width="46" bestFit="1" customWidth="1"/>
    <col min="325" max="325" width="54.28515625" bestFit="1" customWidth="1"/>
    <col min="326" max="326" width="37" bestFit="1" customWidth="1"/>
    <col min="327" max="327" width="22.28515625" bestFit="1" customWidth="1"/>
    <col min="328" max="328" width="14" bestFit="1" customWidth="1"/>
    <col min="329" max="329" width="22.7109375" bestFit="1" customWidth="1"/>
    <col min="330" max="330" width="30" bestFit="1" customWidth="1"/>
    <col min="331" max="331" width="37.42578125" bestFit="1" customWidth="1"/>
    <col min="332" max="333" width="32.42578125" bestFit="1" customWidth="1"/>
    <col min="334" max="334" width="33.42578125" bestFit="1" customWidth="1"/>
    <col min="335" max="335" width="43" bestFit="1" customWidth="1"/>
    <col min="336" max="336" width="31.42578125" bestFit="1" customWidth="1"/>
    <col min="337" max="337" width="32.85546875" bestFit="1" customWidth="1"/>
    <col min="338" max="338" width="30.7109375" bestFit="1" customWidth="1"/>
    <col min="339" max="339" width="23.28515625" bestFit="1" customWidth="1"/>
    <col min="340" max="340" width="12.85546875" bestFit="1" customWidth="1"/>
    <col min="341" max="341" width="21.85546875" bestFit="1" customWidth="1"/>
    <col min="342" max="342" width="35.42578125" bestFit="1" customWidth="1"/>
    <col min="343" max="343" width="44.7109375" bestFit="1" customWidth="1"/>
    <col min="344" max="344" width="32.85546875" bestFit="1" customWidth="1"/>
    <col min="345" max="345" width="34.42578125" bestFit="1" customWidth="1"/>
    <col min="346" max="346" width="38.42578125" bestFit="1" customWidth="1"/>
    <col min="347" max="347" width="45.28515625" bestFit="1" customWidth="1"/>
    <col min="348" max="348" width="35" bestFit="1" customWidth="1"/>
    <col min="349" max="349" width="37.7109375" bestFit="1" customWidth="1"/>
    <col min="350" max="350" width="24.140625" bestFit="1" customWidth="1"/>
    <col min="351" max="351" width="24.85546875" bestFit="1" customWidth="1"/>
    <col min="352" max="352" width="25.85546875" bestFit="1" customWidth="1"/>
    <col min="353" max="353" width="30.140625" bestFit="1" customWidth="1"/>
    <col min="354" max="354" width="26.28515625" bestFit="1" customWidth="1"/>
    <col min="355" max="355" width="31.5703125" bestFit="1" customWidth="1"/>
    <col min="356" max="356" width="38.85546875" bestFit="1" customWidth="1"/>
    <col min="357" max="357" width="28.5703125" bestFit="1" customWidth="1"/>
    <col min="358" max="358" width="17.42578125" bestFit="1" customWidth="1"/>
    <col min="359" max="359" width="45.42578125" bestFit="1" customWidth="1"/>
    <col min="360" max="360" width="45.7109375" bestFit="1" customWidth="1"/>
    <col min="361" max="361" width="36.140625" bestFit="1" customWidth="1"/>
    <col min="362" max="362" width="30.5703125" bestFit="1" customWidth="1"/>
    <col min="363" max="363" width="31.140625" bestFit="1" customWidth="1"/>
    <col min="364" max="364" width="34.7109375" bestFit="1" customWidth="1"/>
    <col min="365" max="365" width="36.5703125" bestFit="1" customWidth="1"/>
    <col min="366" max="366" width="32.140625" bestFit="1" customWidth="1"/>
    <col min="367" max="367" width="24" bestFit="1" customWidth="1"/>
    <col min="368" max="368" width="15.7109375" bestFit="1" customWidth="1"/>
    <col min="369" max="369" width="14.85546875" bestFit="1" customWidth="1"/>
    <col min="370" max="370" width="21.85546875" bestFit="1" customWidth="1"/>
    <col min="371" max="371" width="32.7109375" bestFit="1" customWidth="1"/>
    <col min="372" max="372" width="30.28515625" bestFit="1" customWidth="1"/>
    <col min="373" max="373" width="22" bestFit="1" customWidth="1"/>
    <col min="374" max="374" width="21" bestFit="1" customWidth="1"/>
    <col min="375" max="375" width="28" bestFit="1" customWidth="1"/>
    <col min="376" max="376" width="39" bestFit="1" customWidth="1"/>
    <col min="377" max="377" width="20" bestFit="1" customWidth="1"/>
    <col min="378" max="378" width="45.140625" bestFit="1" customWidth="1"/>
    <col min="379" max="379" width="39.85546875" bestFit="1" customWidth="1"/>
    <col min="380" max="380" width="37.42578125" bestFit="1" customWidth="1"/>
    <col min="381" max="381" width="38.28515625" bestFit="1" customWidth="1"/>
    <col min="382" max="382" width="39.85546875" bestFit="1" customWidth="1"/>
    <col min="383" max="383" width="35.85546875" bestFit="1" customWidth="1"/>
    <col min="384" max="384" width="35.7109375" bestFit="1" customWidth="1"/>
    <col min="385" max="385" width="42.5703125" bestFit="1" customWidth="1"/>
    <col min="386" max="387" width="39.28515625" bestFit="1" customWidth="1"/>
    <col min="388" max="388" width="38.85546875" bestFit="1" customWidth="1"/>
    <col min="389" max="389" width="52.42578125" bestFit="1" customWidth="1"/>
    <col min="390" max="390" width="38.7109375" bestFit="1" customWidth="1"/>
    <col min="391" max="391" width="35.42578125" bestFit="1" customWidth="1"/>
    <col min="392" max="392" width="47.5703125" bestFit="1" customWidth="1"/>
    <col min="393" max="393" width="36.42578125" bestFit="1" customWidth="1"/>
    <col min="394" max="394" width="35.7109375" bestFit="1" customWidth="1"/>
    <col min="395" max="395" width="24.85546875" bestFit="1" customWidth="1"/>
    <col min="396" max="396" width="22.85546875" bestFit="1" customWidth="1"/>
    <col min="397" max="397" width="14.7109375" bestFit="1" customWidth="1"/>
    <col min="398" max="398" width="20.28515625" bestFit="1" customWidth="1"/>
    <col min="399" max="399" width="31" bestFit="1" customWidth="1"/>
    <col min="400" max="400" width="28.85546875" bestFit="1" customWidth="1"/>
    <col min="401" max="401" width="20.7109375" bestFit="1" customWidth="1"/>
    <col min="402" max="402" width="26.85546875" bestFit="1" customWidth="1"/>
    <col min="403" max="403" width="24" bestFit="1" customWidth="1"/>
    <col min="404" max="404" width="22" bestFit="1" customWidth="1"/>
    <col min="405" max="405" width="13.85546875" bestFit="1" customWidth="1"/>
    <col min="406" max="406" width="19.42578125" bestFit="1" customWidth="1"/>
    <col min="407" max="407" width="30.140625" bestFit="1" customWidth="1"/>
    <col min="408" max="408" width="28" bestFit="1" customWidth="1"/>
    <col min="409" max="409" width="19.85546875" bestFit="1" customWidth="1"/>
    <col min="410" max="410" width="26.85546875" bestFit="1" customWidth="1"/>
    <col min="411" max="411" width="24.7109375" bestFit="1" customWidth="1"/>
    <col min="412" max="412" width="22.7109375" bestFit="1" customWidth="1"/>
    <col min="413" max="413" width="14.5703125" bestFit="1" customWidth="1"/>
    <col min="414" max="414" width="20.140625" bestFit="1" customWidth="1"/>
    <col min="415" max="415" width="30.85546875" bestFit="1" customWidth="1"/>
    <col min="416" max="416" width="28.7109375" bestFit="1" customWidth="1"/>
    <col min="417" max="417" width="20.5703125" bestFit="1" customWidth="1"/>
    <col min="418" max="418" width="26.85546875" bestFit="1" customWidth="1"/>
    <col min="419" max="419" width="26.7109375" bestFit="1" customWidth="1"/>
    <col min="420" max="420" width="24.5703125" bestFit="1" customWidth="1"/>
  </cols>
  <sheetData>
    <row r="1" spans="1:420" s="2" customFormat="1" ht="16.5" thickBot="1" x14ac:dyDescent="0.3">
      <c r="A1" s="1" t="s">
        <v>0</v>
      </c>
      <c r="B1" s="54" t="s">
        <v>577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 t="s">
        <v>578</v>
      </c>
      <c r="AA1" s="54"/>
      <c r="AB1" s="54"/>
      <c r="AC1" s="54"/>
      <c r="AD1" s="54"/>
      <c r="AE1" s="54"/>
      <c r="AF1" s="54"/>
      <c r="AG1" s="54"/>
      <c r="AI1" s="54" t="s">
        <v>579</v>
      </c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 t="s">
        <v>580</v>
      </c>
      <c r="BB1" s="54"/>
      <c r="BC1" s="54"/>
      <c r="BD1" s="54"/>
      <c r="BE1" s="54"/>
      <c r="BF1" s="54"/>
      <c r="BG1" s="54"/>
      <c r="BH1" s="54" t="s">
        <v>581</v>
      </c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 t="s">
        <v>582</v>
      </c>
      <c r="BT1" s="54"/>
      <c r="BU1" s="54"/>
      <c r="BV1" s="54"/>
      <c r="BW1" s="54"/>
      <c r="BX1" s="54"/>
      <c r="BY1" s="54"/>
      <c r="BZ1" s="54" t="s">
        <v>583</v>
      </c>
      <c r="CA1" s="54"/>
      <c r="CB1" s="54"/>
      <c r="CC1" s="54"/>
      <c r="CD1" s="54"/>
      <c r="CE1" s="54"/>
      <c r="CF1" s="54"/>
      <c r="CG1" s="54" t="s">
        <v>584</v>
      </c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 t="s">
        <v>585</v>
      </c>
      <c r="DE1" s="54"/>
      <c r="DF1" s="54"/>
      <c r="DG1" s="54"/>
      <c r="DH1" s="54"/>
      <c r="DI1" s="54" t="s">
        <v>586</v>
      </c>
      <c r="DJ1" s="54"/>
      <c r="DK1" s="54"/>
      <c r="DL1" s="54"/>
      <c r="DM1" s="54" t="s">
        <v>12</v>
      </c>
      <c r="DN1" s="54"/>
      <c r="DO1" s="54"/>
      <c r="DP1" s="54"/>
      <c r="DQ1" s="54"/>
      <c r="DR1" s="54" t="s">
        <v>587</v>
      </c>
      <c r="DS1" s="54"/>
      <c r="DT1" s="54"/>
      <c r="DU1" s="54"/>
      <c r="DV1" s="54"/>
      <c r="DW1" s="54"/>
      <c r="DX1" s="54"/>
      <c r="DY1" s="54"/>
      <c r="DZ1" s="54" t="s">
        <v>588</v>
      </c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 t="s">
        <v>589</v>
      </c>
      <c r="ES1" s="54"/>
      <c r="ET1" s="54"/>
      <c r="EU1" s="54"/>
      <c r="EV1" s="54"/>
      <c r="EW1" s="54"/>
      <c r="EX1" s="54"/>
      <c r="EY1" s="54" t="s">
        <v>590</v>
      </c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 t="s">
        <v>591</v>
      </c>
      <c r="FK1" s="54"/>
      <c r="FL1" s="54"/>
      <c r="FM1" s="54"/>
      <c r="FN1" s="54"/>
      <c r="FO1" s="54"/>
      <c r="FP1" s="54"/>
      <c r="FQ1" s="54" t="s">
        <v>592</v>
      </c>
      <c r="FR1" s="54"/>
      <c r="FS1" s="54"/>
      <c r="FT1" s="54"/>
      <c r="FU1" s="54"/>
      <c r="FV1" s="54"/>
      <c r="FW1" s="54" t="s">
        <v>593</v>
      </c>
      <c r="FX1" s="54"/>
      <c r="FY1" s="54"/>
      <c r="FZ1" s="54"/>
      <c r="GA1" s="54"/>
      <c r="GB1" s="54"/>
      <c r="GC1" s="54"/>
      <c r="GD1" s="54"/>
      <c r="GE1" s="54"/>
      <c r="GF1" s="54"/>
      <c r="GG1" s="54"/>
      <c r="GH1" s="54"/>
      <c r="GI1" s="54"/>
      <c r="GJ1" s="54"/>
      <c r="GK1" s="54"/>
      <c r="GL1" s="54"/>
      <c r="GM1" s="54"/>
      <c r="GN1" s="54"/>
      <c r="GO1" s="54"/>
      <c r="GP1" s="54"/>
      <c r="GQ1" s="54"/>
      <c r="GR1" s="54"/>
      <c r="GS1" s="54"/>
      <c r="GT1" s="54" t="s">
        <v>594</v>
      </c>
      <c r="GU1" s="54"/>
      <c r="GV1" s="54"/>
      <c r="GW1" s="54"/>
      <c r="GX1" s="54"/>
      <c r="GY1" s="54" t="s">
        <v>595</v>
      </c>
      <c r="GZ1" s="54"/>
      <c r="HA1" s="54"/>
      <c r="HB1" s="54"/>
      <c r="HC1" s="54" t="s">
        <v>596</v>
      </c>
      <c r="HD1" s="54"/>
      <c r="HE1" s="54"/>
      <c r="HF1" s="54"/>
      <c r="HG1" s="54"/>
      <c r="HH1" s="54" t="s">
        <v>597</v>
      </c>
      <c r="HI1" s="54"/>
      <c r="HJ1" s="54"/>
      <c r="HK1" s="54"/>
      <c r="HL1" s="54"/>
      <c r="HM1" s="54"/>
      <c r="HN1" s="54"/>
      <c r="HO1" s="54"/>
      <c r="HP1" s="54" t="s">
        <v>598</v>
      </c>
      <c r="HQ1" s="54"/>
      <c r="HR1" s="54"/>
      <c r="HS1" s="54"/>
      <c r="HT1" s="54"/>
      <c r="HU1" s="54"/>
      <c r="HV1" s="54"/>
      <c r="HW1" s="54"/>
      <c r="HX1" s="54"/>
      <c r="HY1" s="54"/>
      <c r="HZ1" s="54"/>
      <c r="IA1" s="54"/>
      <c r="IB1" s="54"/>
      <c r="IC1" s="54"/>
      <c r="ID1" s="54"/>
      <c r="IE1" s="54"/>
      <c r="IF1" s="54"/>
      <c r="IG1" s="54"/>
      <c r="IH1" s="54" t="s">
        <v>599</v>
      </c>
      <c r="II1" s="54"/>
      <c r="IJ1" s="54"/>
      <c r="IK1" s="54"/>
      <c r="IL1" s="54"/>
      <c r="IM1" s="54"/>
      <c r="IN1" s="54"/>
      <c r="IO1" s="54" t="s">
        <v>600</v>
      </c>
      <c r="IP1" s="54"/>
      <c r="IQ1" s="54"/>
      <c r="IR1" s="54"/>
      <c r="IS1" s="54"/>
      <c r="IT1" s="54"/>
      <c r="IU1" s="54"/>
      <c r="IV1" s="54"/>
      <c r="IW1" s="54"/>
      <c r="IX1" s="54"/>
      <c r="IY1" s="54"/>
      <c r="IZ1" s="54" t="s">
        <v>601</v>
      </c>
      <c r="JA1" s="54"/>
      <c r="JB1" s="54"/>
      <c r="JC1" s="54"/>
      <c r="JD1" s="54"/>
      <c r="JE1" s="54"/>
      <c r="JF1" s="54"/>
      <c r="JG1" s="54" t="s">
        <v>602</v>
      </c>
      <c r="JH1" s="54"/>
      <c r="JI1" s="54"/>
      <c r="JJ1" s="54"/>
      <c r="JK1" s="54"/>
      <c r="JL1" s="54"/>
      <c r="JM1" s="54" t="s">
        <v>603</v>
      </c>
      <c r="JN1" s="54"/>
      <c r="JO1" s="54"/>
      <c r="JP1" s="54"/>
      <c r="JQ1" s="54"/>
      <c r="JR1" s="54"/>
      <c r="JS1" s="54"/>
      <c r="JT1" s="54"/>
      <c r="JU1" s="54"/>
      <c r="JV1" s="54"/>
      <c r="JW1" s="54"/>
      <c r="JX1" s="54"/>
      <c r="JY1" s="54"/>
      <c r="JZ1" s="54"/>
      <c r="KA1" s="54"/>
      <c r="KB1" s="54"/>
      <c r="KC1" s="54"/>
      <c r="KD1" s="54"/>
      <c r="KE1" s="54"/>
      <c r="KF1" s="54"/>
      <c r="KG1" s="54"/>
      <c r="KH1" s="54"/>
      <c r="KI1" s="54"/>
      <c r="KJ1" s="54" t="s">
        <v>604</v>
      </c>
      <c r="KK1" s="54"/>
      <c r="KL1" s="54"/>
      <c r="KM1" s="54"/>
      <c r="KN1" s="54"/>
      <c r="KO1" s="54" t="s">
        <v>605</v>
      </c>
      <c r="KP1" s="54"/>
      <c r="KQ1" s="54"/>
      <c r="KR1" s="54"/>
      <c r="KS1" s="54" t="s">
        <v>606</v>
      </c>
      <c r="KT1" s="54"/>
      <c r="KU1" s="54"/>
      <c r="KV1" s="54"/>
      <c r="KW1" s="54"/>
      <c r="KX1" s="54"/>
      <c r="KY1" s="54"/>
      <c r="KZ1" s="54"/>
      <c r="LA1" s="54"/>
      <c r="LB1" s="54" t="s">
        <v>607</v>
      </c>
      <c r="LC1" s="54"/>
      <c r="LD1" s="54"/>
      <c r="LE1" s="54"/>
      <c r="LF1" s="54"/>
      <c r="LG1" s="54"/>
      <c r="LH1" s="54"/>
      <c r="LI1" s="54"/>
      <c r="LJ1" s="54"/>
      <c r="LK1" s="54"/>
      <c r="LL1" s="54"/>
      <c r="LM1" s="54"/>
      <c r="LN1" s="54"/>
      <c r="LO1" s="54"/>
      <c r="LP1" s="54"/>
      <c r="LQ1" s="54"/>
      <c r="LR1" s="54"/>
      <c r="LS1" s="54"/>
      <c r="LT1" s="54" t="s">
        <v>608</v>
      </c>
      <c r="LU1" s="54"/>
      <c r="LV1" s="54"/>
      <c r="LW1" s="54"/>
      <c r="LX1" s="54"/>
      <c r="LY1" s="54"/>
      <c r="LZ1" s="54"/>
      <c r="MA1" s="54" t="s">
        <v>609</v>
      </c>
      <c r="MB1" s="54"/>
      <c r="MC1" s="54"/>
      <c r="MD1" s="54"/>
      <c r="ME1" s="54"/>
      <c r="MF1" s="54"/>
      <c r="MG1" s="54"/>
      <c r="MH1" s="54"/>
      <c r="MI1" s="54"/>
      <c r="MJ1" s="54"/>
      <c r="MK1" s="54"/>
      <c r="ML1" s="54" t="s">
        <v>610</v>
      </c>
      <c r="MM1" s="54"/>
      <c r="MN1" s="54"/>
      <c r="MO1" s="54"/>
      <c r="MP1" s="54"/>
      <c r="MQ1" s="54"/>
      <c r="MR1" s="54"/>
      <c r="MS1" s="54" t="s">
        <v>611</v>
      </c>
      <c r="MT1" s="54"/>
      <c r="MU1" s="54"/>
      <c r="MV1" s="54"/>
      <c r="MW1" s="54"/>
      <c r="MX1" s="54"/>
      <c r="MY1" s="54" t="s">
        <v>612</v>
      </c>
      <c r="MZ1" s="54"/>
      <c r="NA1" s="54"/>
      <c r="NB1" s="54"/>
      <c r="NC1" s="54"/>
      <c r="ND1" s="54"/>
      <c r="NE1" s="54"/>
      <c r="NF1" s="54"/>
      <c r="NG1" s="54"/>
      <c r="NH1" s="54"/>
      <c r="NI1" s="54"/>
      <c r="NJ1" s="54"/>
      <c r="NK1" s="54"/>
      <c r="NL1" s="54"/>
      <c r="NM1" s="54"/>
      <c r="NN1" s="54"/>
      <c r="NO1" s="54"/>
      <c r="NP1" s="54"/>
      <c r="NQ1" s="54"/>
      <c r="NR1" s="54"/>
      <c r="NS1" s="54"/>
      <c r="NT1" s="54"/>
      <c r="NU1" s="54"/>
      <c r="NV1" s="54" t="s">
        <v>613</v>
      </c>
      <c r="NW1" s="54"/>
      <c r="NX1" s="54"/>
      <c r="NY1" s="54"/>
      <c r="NZ1" s="54"/>
      <c r="OA1" s="54" t="s">
        <v>614</v>
      </c>
      <c r="OB1" s="54"/>
      <c r="OC1" s="54"/>
      <c r="OD1" s="54"/>
    </row>
    <row r="2" spans="1:420" s="5" customFormat="1" ht="16.5" thickBot="1" x14ac:dyDescent="0.3">
      <c r="A2" s="3" t="s">
        <v>13</v>
      </c>
      <c r="B2" s="4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  <c r="P2" s="20" t="s">
        <v>615</v>
      </c>
      <c r="Q2" s="5" t="s">
        <v>28</v>
      </c>
      <c r="R2" s="5" t="s">
        <v>616</v>
      </c>
      <c r="S2" s="5" t="s">
        <v>29</v>
      </c>
      <c r="T2" s="5" t="s">
        <v>617</v>
      </c>
      <c r="U2" s="5" t="s">
        <v>30</v>
      </c>
      <c r="V2" s="5" t="s">
        <v>31</v>
      </c>
      <c r="W2" s="5" t="s">
        <v>32</v>
      </c>
      <c r="X2" s="5" t="s">
        <v>33</v>
      </c>
      <c r="Y2" s="5" t="s">
        <v>34</v>
      </c>
      <c r="Z2" s="5" t="s">
        <v>618</v>
      </c>
      <c r="AA2" s="5" t="s">
        <v>619</v>
      </c>
      <c r="AB2" s="5" t="s">
        <v>279</v>
      </c>
      <c r="AC2" s="5" t="s">
        <v>620</v>
      </c>
      <c r="AD2" s="5" t="s">
        <v>621</v>
      </c>
      <c r="AE2" s="5" t="s">
        <v>622</v>
      </c>
      <c r="AF2" s="5" t="s">
        <v>623</v>
      </c>
      <c r="AG2" s="5" t="s">
        <v>624</v>
      </c>
      <c r="AH2" s="5" t="s">
        <v>625</v>
      </c>
      <c r="AI2" s="5" t="s">
        <v>626</v>
      </c>
      <c r="AJ2" s="5" t="s">
        <v>627</v>
      </c>
      <c r="AK2" s="5" t="s">
        <v>628</v>
      </c>
      <c r="AL2" s="5" t="s">
        <v>629</v>
      </c>
      <c r="AM2" s="5" t="s">
        <v>630</v>
      </c>
      <c r="AN2" s="5" t="s">
        <v>631</v>
      </c>
      <c r="AO2" s="5" t="s">
        <v>632</v>
      </c>
      <c r="AP2" s="5" t="s">
        <v>633</v>
      </c>
      <c r="AQ2" s="5" t="s">
        <v>634</v>
      </c>
      <c r="AR2" s="5" t="s">
        <v>635</v>
      </c>
      <c r="AS2" s="5" t="s">
        <v>636</v>
      </c>
      <c r="AT2" s="5" t="s">
        <v>637</v>
      </c>
      <c r="AU2" s="5" t="s">
        <v>638</v>
      </c>
      <c r="AV2" s="5" t="s">
        <v>639</v>
      </c>
      <c r="AW2" s="5" t="s">
        <v>640</v>
      </c>
      <c r="AX2" s="5" t="s">
        <v>641</v>
      </c>
      <c r="AY2" s="5" t="s">
        <v>642</v>
      </c>
      <c r="AZ2" s="5" t="s">
        <v>643</v>
      </c>
      <c r="BA2" s="5" t="s">
        <v>644</v>
      </c>
      <c r="BB2" s="5" t="s">
        <v>645</v>
      </c>
      <c r="BC2" s="5" t="s">
        <v>646</v>
      </c>
      <c r="BD2" s="5" t="s">
        <v>647</v>
      </c>
      <c r="BE2" s="5" t="s">
        <v>648</v>
      </c>
      <c r="BF2" s="5" t="s">
        <v>649</v>
      </c>
      <c r="BG2" s="5" t="s">
        <v>650</v>
      </c>
      <c r="BH2" s="5" t="s">
        <v>651</v>
      </c>
      <c r="BI2" s="5" t="s">
        <v>5</v>
      </c>
      <c r="BJ2" s="5" t="s">
        <v>652</v>
      </c>
      <c r="BK2" s="5" t="s">
        <v>653</v>
      </c>
      <c r="BL2" s="5" t="s">
        <v>654</v>
      </c>
      <c r="BM2" s="5" t="s">
        <v>655</v>
      </c>
      <c r="BN2" s="5" t="s">
        <v>656</v>
      </c>
      <c r="BO2" s="5" t="s">
        <v>657</v>
      </c>
      <c r="BP2" s="5" t="s">
        <v>658</v>
      </c>
      <c r="BQ2" s="5" t="s">
        <v>659</v>
      </c>
      <c r="BR2" s="5" t="s">
        <v>660</v>
      </c>
      <c r="BS2" s="5" t="s">
        <v>661</v>
      </c>
      <c r="BT2" s="5" t="s">
        <v>662</v>
      </c>
      <c r="BU2" s="5" t="s">
        <v>663</v>
      </c>
      <c r="BV2" s="5" t="s">
        <v>664</v>
      </c>
      <c r="BW2" s="5" t="s">
        <v>665</v>
      </c>
      <c r="BX2" s="5" t="s">
        <v>666</v>
      </c>
      <c r="BY2" s="5" t="s">
        <v>667</v>
      </c>
      <c r="BZ2" s="5" t="s">
        <v>668</v>
      </c>
      <c r="CA2" s="5" t="s">
        <v>669</v>
      </c>
      <c r="CB2" s="5" t="s">
        <v>670</v>
      </c>
      <c r="CC2" s="5" t="s">
        <v>671</v>
      </c>
      <c r="CD2" s="5" t="s">
        <v>672</v>
      </c>
      <c r="CE2" s="5" t="s">
        <v>673</v>
      </c>
      <c r="CF2" s="5" t="s">
        <v>674</v>
      </c>
      <c r="CG2" s="5" t="s">
        <v>675</v>
      </c>
      <c r="CH2" s="5" t="s">
        <v>676</v>
      </c>
      <c r="CI2" s="5" t="s">
        <v>677</v>
      </c>
      <c r="CJ2" s="5" t="s">
        <v>678</v>
      </c>
      <c r="CK2" s="5" t="s">
        <v>679</v>
      </c>
      <c r="CL2" s="5" t="s">
        <v>680</v>
      </c>
      <c r="CM2" s="5" t="s">
        <v>681</v>
      </c>
      <c r="CN2" s="5" t="s">
        <v>682</v>
      </c>
      <c r="CO2" s="5" t="s">
        <v>683</v>
      </c>
      <c r="CP2" s="5" t="s">
        <v>684</v>
      </c>
      <c r="CQ2" s="5" t="s">
        <v>685</v>
      </c>
      <c r="CR2" s="5" t="s">
        <v>686</v>
      </c>
      <c r="CS2" s="5" t="s">
        <v>687</v>
      </c>
      <c r="CT2" s="5" t="s">
        <v>688</v>
      </c>
      <c r="CU2" s="5" t="s">
        <v>689</v>
      </c>
      <c r="CV2" s="5" t="s">
        <v>690</v>
      </c>
      <c r="CW2" s="5" t="s">
        <v>691</v>
      </c>
      <c r="CX2" s="5" t="s">
        <v>692</v>
      </c>
      <c r="CY2" s="5" t="s">
        <v>693</v>
      </c>
      <c r="CZ2" s="5" t="s">
        <v>694</v>
      </c>
      <c r="DA2" s="5" t="s">
        <v>695</v>
      </c>
      <c r="DB2" s="5" t="s">
        <v>696</v>
      </c>
      <c r="DC2" s="5" t="s">
        <v>697</v>
      </c>
      <c r="DD2" s="5" t="s">
        <v>698</v>
      </c>
      <c r="DE2" s="5" t="s">
        <v>699</v>
      </c>
      <c r="DF2" s="5" t="s">
        <v>700</v>
      </c>
      <c r="DG2" s="5" t="s">
        <v>701</v>
      </c>
      <c r="DH2" s="5" t="s">
        <v>702</v>
      </c>
      <c r="DI2" s="5" t="s">
        <v>703</v>
      </c>
      <c r="DJ2" s="5" t="s">
        <v>704</v>
      </c>
      <c r="DK2" s="5" t="s">
        <v>705</v>
      </c>
      <c r="DL2" s="5" t="s">
        <v>706</v>
      </c>
      <c r="DM2" s="5" t="s">
        <v>178</v>
      </c>
      <c r="DN2" s="5" t="s">
        <v>179</v>
      </c>
      <c r="DO2" s="5" t="s">
        <v>180</v>
      </c>
      <c r="DP2" s="5" t="s">
        <v>181</v>
      </c>
      <c r="DQ2" s="5" t="s">
        <v>182</v>
      </c>
      <c r="DR2" s="5" t="s">
        <v>707</v>
      </c>
      <c r="DS2" s="5" t="s">
        <v>708</v>
      </c>
      <c r="DT2" s="5" t="s">
        <v>367</v>
      </c>
      <c r="DU2" s="5" t="s">
        <v>709</v>
      </c>
      <c r="DV2" s="5" t="s">
        <v>710</v>
      </c>
      <c r="DW2" s="5" t="s">
        <v>711</v>
      </c>
      <c r="DX2" s="5" t="s">
        <v>712</v>
      </c>
      <c r="DY2" s="5" t="s">
        <v>713</v>
      </c>
      <c r="DZ2" s="5" t="s">
        <v>714</v>
      </c>
      <c r="EA2" s="5" t="s">
        <v>715</v>
      </c>
      <c r="EB2" s="5" t="s">
        <v>716</v>
      </c>
      <c r="EC2" s="5" t="s">
        <v>717</v>
      </c>
      <c r="ED2" s="5" t="s">
        <v>718</v>
      </c>
      <c r="EE2" s="5" t="s">
        <v>719</v>
      </c>
      <c r="EF2" s="5" t="s">
        <v>720</v>
      </c>
      <c r="EG2" s="5" t="s">
        <v>721</v>
      </c>
      <c r="EH2" s="5" t="s">
        <v>722</v>
      </c>
      <c r="EI2" s="5" t="s">
        <v>723</v>
      </c>
      <c r="EJ2" s="5" t="s">
        <v>724</v>
      </c>
      <c r="EK2" s="5" t="s">
        <v>725</v>
      </c>
      <c r="EL2" s="5" t="s">
        <v>726</v>
      </c>
      <c r="EM2" s="5" t="s">
        <v>727</v>
      </c>
      <c r="EN2" s="5" t="s">
        <v>728</v>
      </c>
      <c r="EO2" s="5" t="s">
        <v>729</v>
      </c>
      <c r="EP2" s="5" t="s">
        <v>730</v>
      </c>
      <c r="EQ2" s="5" t="s">
        <v>731</v>
      </c>
      <c r="ER2" s="5" t="s">
        <v>732</v>
      </c>
      <c r="ES2" s="5" t="s">
        <v>733</v>
      </c>
      <c r="ET2" s="5" t="s">
        <v>734</v>
      </c>
      <c r="EU2" s="5" t="s">
        <v>735</v>
      </c>
      <c r="EV2" s="5" t="s">
        <v>736</v>
      </c>
      <c r="EW2" s="5" t="s">
        <v>737</v>
      </c>
      <c r="EX2" s="5" t="s">
        <v>738</v>
      </c>
      <c r="EY2" s="5" t="s">
        <v>739</v>
      </c>
      <c r="EZ2" s="5" t="s">
        <v>740</v>
      </c>
      <c r="FA2" s="5" t="s">
        <v>741</v>
      </c>
      <c r="FB2" s="5" t="s">
        <v>742</v>
      </c>
      <c r="FC2" s="5" t="s">
        <v>743</v>
      </c>
      <c r="FD2" s="5" t="s">
        <v>744</v>
      </c>
      <c r="FE2" s="5" t="s">
        <v>745</v>
      </c>
      <c r="FF2" s="5" t="s">
        <v>746</v>
      </c>
      <c r="FG2" s="5" t="s">
        <v>747</v>
      </c>
      <c r="FH2" s="5" t="s">
        <v>748</v>
      </c>
      <c r="FI2" s="5" t="s">
        <v>749</v>
      </c>
      <c r="FJ2" s="5" t="s">
        <v>750</v>
      </c>
      <c r="FK2" s="5" t="s">
        <v>751</v>
      </c>
      <c r="FL2" s="5" t="s">
        <v>752</v>
      </c>
      <c r="FM2" s="5" t="s">
        <v>753</v>
      </c>
      <c r="FN2" s="5" t="s">
        <v>754</v>
      </c>
      <c r="FO2" s="5" t="s">
        <v>755</v>
      </c>
      <c r="FP2" s="5" t="s">
        <v>756</v>
      </c>
      <c r="FQ2" s="5" t="s">
        <v>757</v>
      </c>
      <c r="FR2" s="5" t="s">
        <v>758</v>
      </c>
      <c r="FS2" s="5" t="s">
        <v>759</v>
      </c>
      <c r="FT2" s="5" t="s">
        <v>760</v>
      </c>
      <c r="FU2" s="5" t="s">
        <v>761</v>
      </c>
      <c r="FV2" s="5" t="s">
        <v>762</v>
      </c>
      <c r="FW2" s="5" t="s">
        <v>763</v>
      </c>
      <c r="FX2" s="5" t="s">
        <v>764</v>
      </c>
      <c r="FY2" s="5" t="s">
        <v>765</v>
      </c>
      <c r="FZ2" s="5" t="s">
        <v>766</v>
      </c>
      <c r="GA2" s="5" t="s">
        <v>767</v>
      </c>
      <c r="GB2" s="5" t="s">
        <v>768</v>
      </c>
      <c r="GC2" s="5" t="s">
        <v>769</v>
      </c>
      <c r="GD2" s="5" t="s">
        <v>770</v>
      </c>
      <c r="GE2" s="5" t="s">
        <v>771</v>
      </c>
      <c r="GF2" s="5" t="s">
        <v>772</v>
      </c>
      <c r="GG2" s="5" t="s">
        <v>773</v>
      </c>
      <c r="GH2" s="5" t="s">
        <v>774</v>
      </c>
      <c r="GI2" s="5" t="s">
        <v>775</v>
      </c>
      <c r="GJ2" s="5" t="s">
        <v>776</v>
      </c>
      <c r="GK2" s="5" t="s">
        <v>777</v>
      </c>
      <c r="GL2" s="5" t="s">
        <v>778</v>
      </c>
      <c r="GM2" s="5" t="s">
        <v>779</v>
      </c>
      <c r="GN2" s="5" t="s">
        <v>780</v>
      </c>
      <c r="GO2" s="5" t="s">
        <v>781</v>
      </c>
      <c r="GP2" s="5" t="s">
        <v>782</v>
      </c>
      <c r="GQ2" s="5" t="s">
        <v>783</v>
      </c>
      <c r="GR2" s="5" t="s">
        <v>784</v>
      </c>
      <c r="GS2" s="5" t="s">
        <v>785</v>
      </c>
      <c r="GT2" s="5" t="s">
        <v>786</v>
      </c>
      <c r="GU2" s="5" t="s">
        <v>787</v>
      </c>
      <c r="GV2" s="5" t="s">
        <v>788</v>
      </c>
      <c r="GW2" s="5" t="s">
        <v>789</v>
      </c>
      <c r="GX2" s="5" t="s">
        <v>790</v>
      </c>
      <c r="GY2" s="5" t="s">
        <v>791</v>
      </c>
      <c r="GZ2" s="5" t="s">
        <v>792</v>
      </c>
      <c r="HA2" s="5" t="s">
        <v>793</v>
      </c>
      <c r="HB2" s="5" t="s">
        <v>794</v>
      </c>
      <c r="HC2" s="5" t="s">
        <v>795</v>
      </c>
      <c r="HD2" s="5" t="s">
        <v>796</v>
      </c>
      <c r="HE2" s="5" t="s">
        <v>797</v>
      </c>
      <c r="HF2" s="5" t="s">
        <v>798</v>
      </c>
      <c r="HG2" s="5" t="s">
        <v>799</v>
      </c>
      <c r="HH2" s="5" t="s">
        <v>800</v>
      </c>
      <c r="HI2" s="5" t="s">
        <v>801</v>
      </c>
      <c r="HJ2" s="5" t="s">
        <v>802</v>
      </c>
      <c r="HK2" s="5" t="s">
        <v>803</v>
      </c>
      <c r="HL2" s="5" t="s">
        <v>804</v>
      </c>
      <c r="HM2" s="5" t="s">
        <v>805</v>
      </c>
      <c r="HN2" s="5" t="s">
        <v>806</v>
      </c>
      <c r="HO2" s="5" t="s">
        <v>807</v>
      </c>
      <c r="HP2" s="5" t="s">
        <v>808</v>
      </c>
      <c r="HQ2" s="5" t="s">
        <v>809</v>
      </c>
      <c r="HR2" s="5" t="s">
        <v>810</v>
      </c>
      <c r="HS2" s="5" t="s">
        <v>811</v>
      </c>
      <c r="HT2" s="5" t="s">
        <v>812</v>
      </c>
      <c r="HU2" s="5" t="s">
        <v>813</v>
      </c>
      <c r="HV2" s="5" t="s">
        <v>814</v>
      </c>
      <c r="HW2" s="5" t="s">
        <v>815</v>
      </c>
      <c r="HX2" s="5" t="s">
        <v>816</v>
      </c>
      <c r="HY2" s="5" t="s">
        <v>817</v>
      </c>
      <c r="HZ2" s="5" t="s">
        <v>818</v>
      </c>
      <c r="IA2" s="5" t="s">
        <v>819</v>
      </c>
      <c r="IB2" s="5" t="s">
        <v>820</v>
      </c>
      <c r="IC2" s="5" t="s">
        <v>821</v>
      </c>
      <c r="ID2" s="5" t="s">
        <v>822</v>
      </c>
      <c r="IE2" s="5" t="s">
        <v>823</v>
      </c>
      <c r="IF2" s="5" t="s">
        <v>824</v>
      </c>
      <c r="IG2" s="5" t="s">
        <v>825</v>
      </c>
      <c r="IH2" s="5" t="s">
        <v>826</v>
      </c>
      <c r="II2" s="5" t="s">
        <v>827</v>
      </c>
      <c r="IJ2" s="5" t="s">
        <v>828</v>
      </c>
      <c r="IK2" s="5" t="s">
        <v>829</v>
      </c>
      <c r="IL2" s="5" t="s">
        <v>830</v>
      </c>
      <c r="IM2" s="5" t="s">
        <v>831</v>
      </c>
      <c r="IN2" s="5" t="s">
        <v>832</v>
      </c>
      <c r="IO2" s="5" t="s">
        <v>833</v>
      </c>
      <c r="IP2" s="5" t="s">
        <v>834</v>
      </c>
      <c r="IQ2" s="5" t="s">
        <v>835</v>
      </c>
      <c r="IR2" s="5" t="s">
        <v>836</v>
      </c>
      <c r="IS2" s="5" t="s">
        <v>837</v>
      </c>
      <c r="IT2" s="5" t="s">
        <v>838</v>
      </c>
      <c r="IU2" s="5" t="s">
        <v>839</v>
      </c>
      <c r="IV2" s="5" t="s">
        <v>840</v>
      </c>
      <c r="IW2" s="5" t="s">
        <v>841</v>
      </c>
      <c r="IX2" s="5" t="s">
        <v>842</v>
      </c>
      <c r="IY2" s="5" t="s">
        <v>843</v>
      </c>
      <c r="IZ2" s="5" t="s">
        <v>844</v>
      </c>
      <c r="JA2" s="5" t="s">
        <v>845</v>
      </c>
      <c r="JB2" s="5" t="s">
        <v>846</v>
      </c>
      <c r="JC2" s="5" t="s">
        <v>847</v>
      </c>
      <c r="JD2" s="5" t="s">
        <v>848</v>
      </c>
      <c r="JE2" s="5" t="s">
        <v>849</v>
      </c>
      <c r="JF2" s="5" t="s">
        <v>850</v>
      </c>
      <c r="JG2" s="5" t="s">
        <v>851</v>
      </c>
      <c r="JH2" s="5" t="s">
        <v>852</v>
      </c>
      <c r="JI2" s="5" t="s">
        <v>853</v>
      </c>
      <c r="JJ2" s="5" t="s">
        <v>854</v>
      </c>
      <c r="JK2" s="5" t="s">
        <v>855</v>
      </c>
      <c r="JL2" s="5" t="s">
        <v>856</v>
      </c>
      <c r="JM2" s="5" t="s">
        <v>857</v>
      </c>
      <c r="JN2" s="5" t="s">
        <v>858</v>
      </c>
      <c r="JO2" s="5" t="s">
        <v>859</v>
      </c>
      <c r="JP2" s="5" t="s">
        <v>860</v>
      </c>
      <c r="JQ2" s="5" t="s">
        <v>861</v>
      </c>
      <c r="JR2" s="5" t="s">
        <v>862</v>
      </c>
      <c r="JS2" s="5" t="s">
        <v>863</v>
      </c>
      <c r="JT2" s="5" t="s">
        <v>864</v>
      </c>
      <c r="JU2" s="5" t="s">
        <v>865</v>
      </c>
      <c r="JV2" s="5" t="s">
        <v>866</v>
      </c>
      <c r="JW2" s="5" t="s">
        <v>867</v>
      </c>
      <c r="JX2" s="5" t="s">
        <v>868</v>
      </c>
      <c r="JY2" s="5" t="s">
        <v>869</v>
      </c>
      <c r="JZ2" s="5" t="s">
        <v>870</v>
      </c>
      <c r="KA2" s="5" t="s">
        <v>871</v>
      </c>
      <c r="KB2" s="5" t="s">
        <v>872</v>
      </c>
      <c r="KC2" s="5" t="s">
        <v>873</v>
      </c>
      <c r="KD2" s="5" t="s">
        <v>874</v>
      </c>
      <c r="KE2" s="5" t="s">
        <v>875</v>
      </c>
      <c r="KF2" s="5" t="s">
        <v>876</v>
      </c>
      <c r="KG2" s="5" t="s">
        <v>877</v>
      </c>
      <c r="KH2" s="5" t="s">
        <v>878</v>
      </c>
      <c r="KI2" s="5" t="s">
        <v>879</v>
      </c>
      <c r="KJ2" s="5" t="s">
        <v>880</v>
      </c>
      <c r="KK2" s="5" t="s">
        <v>881</v>
      </c>
      <c r="KL2" s="5" t="s">
        <v>882</v>
      </c>
      <c r="KM2" s="5" t="s">
        <v>883</v>
      </c>
      <c r="KN2" s="5" t="s">
        <v>884</v>
      </c>
      <c r="KO2" s="5" t="s">
        <v>885</v>
      </c>
      <c r="KP2" s="5" t="s">
        <v>886</v>
      </c>
      <c r="KQ2" s="5" t="s">
        <v>887</v>
      </c>
      <c r="KR2" s="5" t="s">
        <v>888</v>
      </c>
      <c r="KS2" s="5" t="s">
        <v>889</v>
      </c>
      <c r="KT2" s="5" t="s">
        <v>890</v>
      </c>
      <c r="KU2" s="5" t="s">
        <v>891</v>
      </c>
      <c r="KV2" s="5" t="s">
        <v>892</v>
      </c>
      <c r="KW2" s="5" t="s">
        <v>893</v>
      </c>
      <c r="KX2" s="5" t="s">
        <v>894</v>
      </c>
      <c r="KY2" s="5" t="s">
        <v>895</v>
      </c>
      <c r="KZ2" s="5" t="s">
        <v>896</v>
      </c>
      <c r="LA2" s="5" t="s">
        <v>897</v>
      </c>
      <c r="LB2" s="5" t="s">
        <v>898</v>
      </c>
      <c r="LC2" s="5" t="s">
        <v>899</v>
      </c>
      <c r="LD2" s="5" t="s">
        <v>900</v>
      </c>
      <c r="LE2" s="5" t="s">
        <v>901</v>
      </c>
      <c r="LF2" s="5" t="s">
        <v>902</v>
      </c>
      <c r="LG2" s="5" t="s">
        <v>903</v>
      </c>
      <c r="LH2" s="5" t="s">
        <v>904</v>
      </c>
      <c r="LI2" s="5" t="s">
        <v>905</v>
      </c>
      <c r="LJ2" s="5" t="s">
        <v>906</v>
      </c>
      <c r="LK2" s="5" t="s">
        <v>907</v>
      </c>
      <c r="LL2" s="5" t="s">
        <v>908</v>
      </c>
      <c r="LM2" s="5" t="s">
        <v>909</v>
      </c>
      <c r="LN2" s="5" t="s">
        <v>910</v>
      </c>
      <c r="LO2" s="5" t="s">
        <v>911</v>
      </c>
      <c r="LP2" s="5" t="s">
        <v>912</v>
      </c>
      <c r="LQ2" s="5" t="s">
        <v>913</v>
      </c>
      <c r="LR2" s="5" t="s">
        <v>914</v>
      </c>
      <c r="LS2" s="5" t="s">
        <v>915</v>
      </c>
      <c r="LT2" s="5" t="s">
        <v>916</v>
      </c>
      <c r="LU2" s="5" t="s">
        <v>917</v>
      </c>
      <c r="LV2" s="5" t="s">
        <v>918</v>
      </c>
      <c r="LW2" s="5" t="s">
        <v>919</v>
      </c>
      <c r="LX2" s="5" t="s">
        <v>920</v>
      </c>
      <c r="LY2" s="5" t="s">
        <v>921</v>
      </c>
      <c r="LZ2" s="5" t="s">
        <v>922</v>
      </c>
      <c r="MA2" s="5" t="s">
        <v>923</v>
      </c>
      <c r="MB2" s="5" t="s">
        <v>924</v>
      </c>
      <c r="MC2" s="5" t="s">
        <v>925</v>
      </c>
      <c r="MD2" s="5" t="s">
        <v>926</v>
      </c>
      <c r="ME2" s="5" t="s">
        <v>927</v>
      </c>
      <c r="MF2" s="5" t="s">
        <v>928</v>
      </c>
      <c r="MG2" s="5" t="s">
        <v>929</v>
      </c>
      <c r="MH2" s="5" t="s">
        <v>930</v>
      </c>
      <c r="MI2" s="5" t="s">
        <v>931</v>
      </c>
      <c r="MJ2" s="5" t="s">
        <v>932</v>
      </c>
      <c r="MK2" s="5" t="s">
        <v>933</v>
      </c>
      <c r="ML2" s="5" t="s">
        <v>934</v>
      </c>
      <c r="MM2" s="5" t="s">
        <v>935</v>
      </c>
      <c r="MN2" s="5" t="s">
        <v>936</v>
      </c>
      <c r="MO2" s="5" t="s">
        <v>937</v>
      </c>
      <c r="MP2" s="5" t="s">
        <v>938</v>
      </c>
      <c r="MQ2" s="5" t="s">
        <v>939</v>
      </c>
      <c r="MR2" s="5" t="s">
        <v>940</v>
      </c>
      <c r="MS2" s="5" t="s">
        <v>941</v>
      </c>
      <c r="MT2" s="5" t="s">
        <v>942</v>
      </c>
      <c r="MU2" s="5" t="s">
        <v>943</v>
      </c>
      <c r="MV2" s="5" t="s">
        <v>944</v>
      </c>
      <c r="MW2" s="5" t="s">
        <v>945</v>
      </c>
      <c r="MX2" s="5" t="s">
        <v>946</v>
      </c>
      <c r="MY2" s="5" t="s">
        <v>947</v>
      </c>
      <c r="MZ2" s="5" t="s">
        <v>948</v>
      </c>
      <c r="NA2" s="5" t="s">
        <v>949</v>
      </c>
      <c r="NB2" s="5" t="s">
        <v>950</v>
      </c>
      <c r="NC2" s="5" t="s">
        <v>951</v>
      </c>
      <c r="ND2" s="5" t="s">
        <v>952</v>
      </c>
      <c r="NE2" s="5" t="s">
        <v>953</v>
      </c>
      <c r="NF2" s="5" t="s">
        <v>954</v>
      </c>
      <c r="NG2" s="5" t="s">
        <v>955</v>
      </c>
      <c r="NH2" s="5" t="s">
        <v>956</v>
      </c>
      <c r="NI2" s="5" t="s">
        <v>957</v>
      </c>
      <c r="NJ2" s="5" t="s">
        <v>958</v>
      </c>
      <c r="NK2" s="5" t="s">
        <v>959</v>
      </c>
      <c r="NL2" s="5" t="s">
        <v>960</v>
      </c>
      <c r="NM2" s="5" t="s">
        <v>961</v>
      </c>
      <c r="NN2" s="5" t="s">
        <v>962</v>
      </c>
      <c r="NO2" s="5" t="s">
        <v>963</v>
      </c>
      <c r="NP2" s="5" t="s">
        <v>964</v>
      </c>
      <c r="NQ2" s="5" t="s">
        <v>965</v>
      </c>
      <c r="NR2" s="5" t="s">
        <v>966</v>
      </c>
      <c r="NS2" s="5" t="s">
        <v>967</v>
      </c>
      <c r="NT2" s="5" t="s">
        <v>968</v>
      </c>
      <c r="NU2" s="5" t="s">
        <v>969</v>
      </c>
      <c r="NV2" s="5" t="s">
        <v>970</v>
      </c>
      <c r="NW2" s="5" t="s">
        <v>971</v>
      </c>
      <c r="NX2" s="5" t="s">
        <v>972</v>
      </c>
      <c r="NY2" s="5" t="s">
        <v>973</v>
      </c>
      <c r="NZ2" s="5" t="s">
        <v>974</v>
      </c>
      <c r="OA2" s="5" t="s">
        <v>975</v>
      </c>
      <c r="OB2" s="5" t="s">
        <v>976</v>
      </c>
      <c r="OC2" s="5" t="s">
        <v>977</v>
      </c>
      <c r="OD2" s="5" t="s">
        <v>978</v>
      </c>
      <c r="OE2" s="5" t="s">
        <v>183</v>
      </c>
      <c r="OF2" s="5" t="s">
        <v>184</v>
      </c>
      <c r="OG2" s="5" t="s">
        <v>185</v>
      </c>
      <c r="OH2" s="5" t="s">
        <v>186</v>
      </c>
      <c r="OI2" s="5" t="s">
        <v>187</v>
      </c>
      <c r="OJ2" s="5" t="s">
        <v>188</v>
      </c>
      <c r="OK2" s="5" t="s">
        <v>189</v>
      </c>
      <c r="OL2" s="5" t="s">
        <v>190</v>
      </c>
      <c r="OM2" s="5" t="s">
        <v>191</v>
      </c>
      <c r="ON2" s="5" t="s">
        <v>192</v>
      </c>
      <c r="OO2" s="5" t="s">
        <v>193</v>
      </c>
      <c r="OP2" s="5" t="s">
        <v>194</v>
      </c>
      <c r="OQ2" s="5" t="s">
        <v>195</v>
      </c>
      <c r="OR2" s="5" t="s">
        <v>196</v>
      </c>
      <c r="OS2" s="5" t="s">
        <v>197</v>
      </c>
      <c r="OT2" s="5" t="s">
        <v>198</v>
      </c>
      <c r="OU2" s="5" t="s">
        <v>199</v>
      </c>
      <c r="OV2" s="5" t="s">
        <v>200</v>
      </c>
      <c r="OW2" s="5" t="s">
        <v>201</v>
      </c>
      <c r="OX2" s="5" t="s">
        <v>202</v>
      </c>
      <c r="OY2" s="5" t="s">
        <v>203</v>
      </c>
      <c r="OZ2" s="5" t="s">
        <v>204</v>
      </c>
      <c r="PA2" s="5" t="s">
        <v>205</v>
      </c>
      <c r="PB2" s="5" t="s">
        <v>206</v>
      </c>
      <c r="PC2" s="5" t="s">
        <v>207</v>
      </c>
      <c r="PD2" s="5" t="s">
        <v>208</v>
      </c>
    </row>
    <row r="3" spans="1:420" s="13" customFormat="1" ht="15.75" x14ac:dyDescent="0.25">
      <c r="A3" s="6" t="s">
        <v>979</v>
      </c>
      <c r="B3" s="12" t="str">
        <f t="shared" ref="B3" ca="1" si="0">TEXT(TODAY(), "mm/dd/yyyy")</f>
        <v>05/08/2023</v>
      </c>
      <c r="C3" s="13" t="s">
        <v>210</v>
      </c>
      <c r="D3" s="13" t="s">
        <v>980</v>
      </c>
      <c r="E3" s="13" t="s">
        <v>455</v>
      </c>
      <c r="F3" s="13" t="s">
        <v>981</v>
      </c>
      <c r="G3" s="13" t="s">
        <v>982</v>
      </c>
      <c r="H3" s="13" t="s">
        <v>983</v>
      </c>
      <c r="I3" s="21" t="s">
        <v>984</v>
      </c>
      <c r="J3" s="13" t="s">
        <v>985</v>
      </c>
      <c r="K3" s="13" t="s">
        <v>455</v>
      </c>
      <c r="L3" s="13" t="s">
        <v>218</v>
      </c>
      <c r="M3" s="13" t="s">
        <v>212</v>
      </c>
      <c r="N3" s="13" t="s">
        <v>212</v>
      </c>
      <c r="O3" s="13" t="s">
        <v>218</v>
      </c>
      <c r="P3" s="22"/>
      <c r="Q3" s="13" t="s">
        <v>986</v>
      </c>
      <c r="S3" s="13" t="s">
        <v>987</v>
      </c>
      <c r="U3" s="13" t="s">
        <v>221</v>
      </c>
      <c r="V3" s="13" t="s">
        <v>222</v>
      </c>
      <c r="W3" s="13" t="s">
        <v>212</v>
      </c>
      <c r="X3" s="13" t="s">
        <v>455</v>
      </c>
      <c r="Y3" s="13" t="s">
        <v>455</v>
      </c>
      <c r="Z3" s="13" t="s">
        <v>212</v>
      </c>
      <c r="AA3" s="13" t="s">
        <v>212</v>
      </c>
      <c r="AB3" s="13" t="s">
        <v>453</v>
      </c>
      <c r="AC3" s="13" t="s">
        <v>212</v>
      </c>
      <c r="AD3" s="13" t="s">
        <v>212</v>
      </c>
      <c r="AE3" s="13" t="s">
        <v>212</v>
      </c>
      <c r="AF3" s="13" t="s">
        <v>473</v>
      </c>
      <c r="AG3" s="13" t="s">
        <v>212</v>
      </c>
      <c r="AH3" s="13" t="s">
        <v>473</v>
      </c>
      <c r="AI3" s="13" t="s">
        <v>981</v>
      </c>
      <c r="AJ3" s="13" t="s">
        <v>988</v>
      </c>
      <c r="AK3" s="13" t="s">
        <v>473</v>
      </c>
      <c r="AL3" s="13" t="s">
        <v>247</v>
      </c>
      <c r="AM3" s="13" t="s">
        <v>247</v>
      </c>
      <c r="AN3" s="13" t="s">
        <v>247</v>
      </c>
      <c r="AO3" s="13" t="s">
        <v>247</v>
      </c>
      <c r="AP3" s="13" t="s">
        <v>247</v>
      </c>
      <c r="AQ3" s="13" t="s">
        <v>247</v>
      </c>
      <c r="AR3" s="13" t="s">
        <v>247</v>
      </c>
      <c r="AS3" s="13" t="s">
        <v>247</v>
      </c>
      <c r="AT3" s="13" t="s">
        <v>247</v>
      </c>
      <c r="AU3" s="13" t="s">
        <v>247</v>
      </c>
      <c r="AV3" s="13" t="s">
        <v>234</v>
      </c>
      <c r="AW3" s="13" t="s">
        <v>989</v>
      </c>
      <c r="AX3" s="13" t="s">
        <v>990</v>
      </c>
      <c r="AY3" s="13" t="s">
        <v>991</v>
      </c>
      <c r="AZ3" s="13" t="s">
        <v>992</v>
      </c>
      <c r="BA3" s="13" t="s">
        <v>473</v>
      </c>
      <c r="BB3" s="13" t="s">
        <v>247</v>
      </c>
      <c r="BC3" s="13" t="s">
        <v>247</v>
      </c>
      <c r="BD3" s="13" t="s">
        <v>247</v>
      </c>
      <c r="BE3" s="13" t="s">
        <v>247</v>
      </c>
      <c r="BF3" s="13" t="s">
        <v>247</v>
      </c>
      <c r="BG3" s="13" t="s">
        <v>247</v>
      </c>
      <c r="BH3" s="13" t="s">
        <v>212</v>
      </c>
      <c r="BI3" s="13" t="s">
        <v>559</v>
      </c>
      <c r="BJ3" s="13" t="s">
        <v>993</v>
      </c>
      <c r="BK3" s="13" t="s">
        <v>473</v>
      </c>
      <c r="BL3" s="13" t="s">
        <v>247</v>
      </c>
      <c r="BM3" s="13" t="s">
        <v>247</v>
      </c>
      <c r="BN3" s="13" t="s">
        <v>247</v>
      </c>
      <c r="BO3" s="13" t="s">
        <v>247</v>
      </c>
      <c r="BP3" s="13" t="s">
        <v>247</v>
      </c>
      <c r="BQ3" s="13" t="s">
        <v>247</v>
      </c>
      <c r="BR3" s="13" t="s">
        <v>994</v>
      </c>
      <c r="BS3" s="13" t="s">
        <v>473</v>
      </c>
      <c r="BT3" s="13" t="s">
        <v>995</v>
      </c>
      <c r="BU3" s="13" t="s">
        <v>996</v>
      </c>
      <c r="BV3" s="13" t="s">
        <v>997</v>
      </c>
      <c r="BW3" s="13" t="s">
        <v>998</v>
      </c>
      <c r="BX3" s="13" t="s">
        <v>999</v>
      </c>
      <c r="BY3" s="13" t="s">
        <v>1000</v>
      </c>
      <c r="BZ3" s="13" t="s">
        <v>1001</v>
      </c>
      <c r="CA3" s="13" t="s">
        <v>1001</v>
      </c>
      <c r="CC3" s="13" t="s">
        <v>1001</v>
      </c>
      <c r="CD3" s="13" t="s">
        <v>1001</v>
      </c>
      <c r="CE3" s="13" t="s">
        <v>1001</v>
      </c>
      <c r="CF3" s="13" t="s">
        <v>1002</v>
      </c>
      <c r="CW3" s="13" t="s">
        <v>473</v>
      </c>
      <c r="CX3" s="13" t="s">
        <v>247</v>
      </c>
      <c r="CY3" s="13" t="s">
        <v>247</v>
      </c>
      <c r="CZ3" s="13" t="s">
        <v>247</v>
      </c>
      <c r="DA3" s="13" t="s">
        <v>247</v>
      </c>
      <c r="DB3" s="13" t="s">
        <v>247</v>
      </c>
      <c r="DC3" s="13" t="s">
        <v>247</v>
      </c>
      <c r="DD3" s="13" t="s">
        <v>473</v>
      </c>
      <c r="DE3" s="13" t="s">
        <v>247</v>
      </c>
      <c r="DF3" s="13" t="s">
        <v>247</v>
      </c>
      <c r="DG3" s="13" t="s">
        <v>247</v>
      </c>
      <c r="DH3" s="13" t="s">
        <v>247</v>
      </c>
      <c r="DI3" s="13" t="s">
        <v>473</v>
      </c>
      <c r="DJ3" s="13" t="s">
        <v>247</v>
      </c>
      <c r="DK3" s="13" t="s">
        <v>247</v>
      </c>
      <c r="DL3" s="13" t="s">
        <v>247</v>
      </c>
      <c r="DM3" s="13" t="s">
        <v>12</v>
      </c>
      <c r="DN3" s="13" t="s">
        <v>236</v>
      </c>
      <c r="DO3" s="16" t="str">
        <f t="shared" ref="DO3" ca="1" si="1">TEXT((TODAY()+1), "mm/dd/yyyy")</f>
        <v>05/09/2023</v>
      </c>
      <c r="DP3" s="13" t="s">
        <v>12</v>
      </c>
      <c r="DQ3" s="13" t="s">
        <v>182</v>
      </c>
      <c r="DY3" s="13" t="s">
        <v>212</v>
      </c>
      <c r="EB3" s="13" t="s">
        <v>473</v>
      </c>
      <c r="EC3" s="13" t="s">
        <v>247</v>
      </c>
      <c r="ED3" s="13" t="s">
        <v>247</v>
      </c>
      <c r="EE3" s="13" t="s">
        <v>247</v>
      </c>
      <c r="EF3" s="13" t="s">
        <v>247</v>
      </c>
      <c r="EG3" s="13" t="s">
        <v>247</v>
      </c>
      <c r="EH3" s="13" t="s">
        <v>247</v>
      </c>
      <c r="EI3" s="13" t="s">
        <v>247</v>
      </c>
      <c r="EJ3" s="13" t="s">
        <v>247</v>
      </c>
      <c r="EK3" s="13" t="s">
        <v>247</v>
      </c>
      <c r="EL3" s="13" t="s">
        <v>247</v>
      </c>
      <c r="EM3" s="13" t="s">
        <v>473</v>
      </c>
      <c r="EN3" s="13" t="s">
        <v>1003</v>
      </c>
      <c r="EO3" s="13" t="s">
        <v>247</v>
      </c>
      <c r="EP3" s="13" t="s">
        <v>1004</v>
      </c>
      <c r="EQ3" s="13" t="s">
        <v>1005</v>
      </c>
      <c r="ER3" s="13" t="s">
        <v>473</v>
      </c>
      <c r="ES3" s="13" t="s">
        <v>247</v>
      </c>
      <c r="ET3" s="13" t="s">
        <v>247</v>
      </c>
      <c r="EU3" s="13" t="s">
        <v>247</v>
      </c>
      <c r="EV3" s="14" t="s">
        <v>247</v>
      </c>
      <c r="EW3" s="13" t="s">
        <v>247</v>
      </c>
      <c r="EX3" s="13" t="s">
        <v>247</v>
      </c>
      <c r="EY3" s="13" t="s">
        <v>212</v>
      </c>
      <c r="EZ3" s="13" t="s">
        <v>559</v>
      </c>
      <c r="FA3" s="13" t="s">
        <v>993</v>
      </c>
      <c r="FB3" s="13" t="s">
        <v>473</v>
      </c>
      <c r="FC3" s="13" t="s">
        <v>247</v>
      </c>
      <c r="FD3" s="13" t="s">
        <v>247</v>
      </c>
      <c r="FE3" s="13" t="s">
        <v>247</v>
      </c>
      <c r="FF3" s="13" t="s">
        <v>247</v>
      </c>
      <c r="FG3" s="13" t="s">
        <v>247</v>
      </c>
      <c r="FH3" s="13" t="s">
        <v>247</v>
      </c>
      <c r="FI3" s="13" t="s">
        <v>247</v>
      </c>
      <c r="FJ3" s="13" t="s">
        <v>473</v>
      </c>
      <c r="FK3" s="13" t="s">
        <v>1006</v>
      </c>
      <c r="FL3" s="13" t="s">
        <v>1007</v>
      </c>
      <c r="FM3" s="13" t="s">
        <v>1008</v>
      </c>
      <c r="FN3" s="13" t="s">
        <v>1009</v>
      </c>
      <c r="FO3" s="13" t="s">
        <v>1010</v>
      </c>
      <c r="FP3" s="13" t="s">
        <v>1011</v>
      </c>
      <c r="FQ3" s="13" t="s">
        <v>1001</v>
      </c>
      <c r="FR3" s="13" t="s">
        <v>1001</v>
      </c>
      <c r="FS3" s="13" t="s">
        <v>1012</v>
      </c>
      <c r="FT3" s="13" t="s">
        <v>1001</v>
      </c>
      <c r="FU3" s="13" t="s">
        <v>1001</v>
      </c>
      <c r="FV3" s="13" t="s">
        <v>1013</v>
      </c>
      <c r="GM3" s="13" t="s">
        <v>473</v>
      </c>
      <c r="GN3" s="13" t="s">
        <v>247</v>
      </c>
      <c r="GO3" s="13" t="s">
        <v>247</v>
      </c>
      <c r="GP3" s="13" t="s">
        <v>247</v>
      </c>
      <c r="GQ3" s="13" t="s">
        <v>247</v>
      </c>
      <c r="GR3" s="13" t="s">
        <v>247</v>
      </c>
      <c r="GS3" s="13" t="s">
        <v>247</v>
      </c>
      <c r="GT3" s="13" t="s">
        <v>473</v>
      </c>
      <c r="GU3" s="13" t="s">
        <v>247</v>
      </c>
      <c r="GV3" s="13" t="s">
        <v>247</v>
      </c>
      <c r="GW3" s="13" t="s">
        <v>247</v>
      </c>
      <c r="GX3" s="13" t="s">
        <v>247</v>
      </c>
      <c r="GY3" s="13" t="s">
        <v>473</v>
      </c>
      <c r="GZ3" s="13" t="s">
        <v>247</v>
      </c>
      <c r="HA3" s="13" t="s">
        <v>247</v>
      </c>
      <c r="HB3" s="13" t="s">
        <v>247</v>
      </c>
      <c r="HD3" s="13" t="s">
        <v>236</v>
      </c>
      <c r="HE3" s="13" t="s">
        <v>1014</v>
      </c>
      <c r="HF3" s="13" t="s">
        <v>12</v>
      </c>
      <c r="HG3" s="13" t="s">
        <v>182</v>
      </c>
      <c r="HH3" s="13" t="s">
        <v>212</v>
      </c>
      <c r="HI3" s="13" t="s">
        <v>212</v>
      </c>
      <c r="HJ3" s="13" t="s">
        <v>212</v>
      </c>
      <c r="HK3" s="13" t="s">
        <v>212</v>
      </c>
      <c r="HL3" s="13" t="s">
        <v>212</v>
      </c>
      <c r="HM3" s="13" t="s">
        <v>212</v>
      </c>
      <c r="HN3" s="13" t="s">
        <v>473</v>
      </c>
      <c r="HO3" s="13" t="s">
        <v>212</v>
      </c>
      <c r="HP3" s="13" t="s">
        <v>1015</v>
      </c>
      <c r="HQ3" s="13" t="s">
        <v>1016</v>
      </c>
      <c r="HR3" s="13" t="s">
        <v>473</v>
      </c>
      <c r="HS3" s="13" t="s">
        <v>247</v>
      </c>
      <c r="HT3" s="13" t="s">
        <v>247</v>
      </c>
      <c r="HU3" s="13" t="s">
        <v>247</v>
      </c>
      <c r="HV3" s="13" t="s">
        <v>247</v>
      </c>
      <c r="HW3" s="13" t="s">
        <v>247</v>
      </c>
      <c r="HX3" s="13" t="s">
        <v>247</v>
      </c>
      <c r="HY3" s="13" t="s">
        <v>247</v>
      </c>
      <c r="HZ3" s="13" t="s">
        <v>247</v>
      </c>
      <c r="IA3" s="13" t="s">
        <v>247</v>
      </c>
      <c r="IB3" s="13" t="s">
        <v>247</v>
      </c>
      <c r="IC3" s="13" t="s">
        <v>473</v>
      </c>
      <c r="ID3" s="13" t="s">
        <v>247</v>
      </c>
      <c r="IE3" s="13" t="s">
        <v>247</v>
      </c>
      <c r="IF3" s="13" t="s">
        <v>247</v>
      </c>
      <c r="IG3" s="13" t="s">
        <v>247</v>
      </c>
      <c r="IH3" s="13" t="s">
        <v>473</v>
      </c>
      <c r="II3" s="13" t="s">
        <v>247</v>
      </c>
      <c r="IJ3" s="13" t="s">
        <v>247</v>
      </c>
      <c r="IK3" s="13" t="s">
        <v>247</v>
      </c>
      <c r="IL3" s="13" t="s">
        <v>247</v>
      </c>
      <c r="IM3" s="13" t="s">
        <v>247</v>
      </c>
      <c r="IN3" s="13" t="s">
        <v>247</v>
      </c>
      <c r="IO3" s="13" t="s">
        <v>212</v>
      </c>
      <c r="IP3" s="13" t="s">
        <v>559</v>
      </c>
      <c r="IQ3" s="13" t="s">
        <v>993</v>
      </c>
      <c r="IR3" s="13" t="s">
        <v>473</v>
      </c>
      <c r="IS3" s="13" t="s">
        <v>247</v>
      </c>
      <c r="IT3" s="13" t="s">
        <v>247</v>
      </c>
      <c r="IU3" s="13" t="s">
        <v>247</v>
      </c>
      <c r="IV3" s="13" t="s">
        <v>247</v>
      </c>
      <c r="IW3" s="13" t="s">
        <v>247</v>
      </c>
      <c r="IX3" s="13" t="s">
        <v>247</v>
      </c>
      <c r="IY3" s="13" t="s">
        <v>247</v>
      </c>
      <c r="IZ3" s="13" t="s">
        <v>473</v>
      </c>
      <c r="JA3" s="13" t="s">
        <v>247</v>
      </c>
      <c r="JB3" s="13" t="s">
        <v>247</v>
      </c>
      <c r="JC3" s="13" t="s">
        <v>247</v>
      </c>
      <c r="JD3" s="13" t="s">
        <v>247</v>
      </c>
      <c r="JE3" s="13" t="s">
        <v>247</v>
      </c>
      <c r="JF3" s="13" t="s">
        <v>247</v>
      </c>
      <c r="JG3" s="13" t="s">
        <v>1001</v>
      </c>
      <c r="JH3" s="13" t="s">
        <v>1001</v>
      </c>
      <c r="JI3" s="13" t="s">
        <v>468</v>
      </c>
      <c r="JJ3" s="13" t="s">
        <v>1001</v>
      </c>
      <c r="JK3" s="13" t="s">
        <v>1001</v>
      </c>
      <c r="KC3" s="13" t="s">
        <v>473</v>
      </c>
      <c r="KD3" s="13" t="s">
        <v>247</v>
      </c>
      <c r="KE3" s="13" t="s">
        <v>247</v>
      </c>
      <c r="KF3" s="13" t="s">
        <v>247</v>
      </c>
      <c r="KG3" s="13" t="s">
        <v>247</v>
      </c>
      <c r="KH3" s="13" t="s">
        <v>247</v>
      </c>
      <c r="KI3" s="13" t="s">
        <v>247</v>
      </c>
      <c r="KJ3" s="13" t="s">
        <v>473</v>
      </c>
      <c r="KK3" s="13" t="s">
        <v>247</v>
      </c>
      <c r="KL3" s="13" t="s">
        <v>247</v>
      </c>
      <c r="KM3" s="13" t="s">
        <v>247</v>
      </c>
      <c r="KN3" s="13" t="s">
        <v>247</v>
      </c>
      <c r="KO3" s="13" t="s">
        <v>473</v>
      </c>
      <c r="KP3" s="13" t="s">
        <v>247</v>
      </c>
      <c r="KQ3" s="13" t="s">
        <v>247</v>
      </c>
      <c r="KR3" s="13" t="s">
        <v>247</v>
      </c>
      <c r="KS3" s="13" t="s">
        <v>212</v>
      </c>
      <c r="KT3" s="13" t="s">
        <v>212</v>
      </c>
      <c r="KU3" s="13" t="s">
        <v>212</v>
      </c>
      <c r="KW3" s="13" t="s">
        <v>212</v>
      </c>
      <c r="KX3" s="13" t="s">
        <v>212</v>
      </c>
      <c r="KY3" s="13" t="s">
        <v>212</v>
      </c>
      <c r="KZ3" s="13" t="s">
        <v>473</v>
      </c>
      <c r="LA3" s="13" t="s">
        <v>212</v>
      </c>
      <c r="LB3" s="13" t="s">
        <v>1015</v>
      </c>
      <c r="LC3" s="13" t="s">
        <v>1016</v>
      </c>
      <c r="LD3" s="13" t="s">
        <v>473</v>
      </c>
      <c r="LE3" s="13" t="s">
        <v>247</v>
      </c>
      <c r="LF3" s="13" t="s">
        <v>247</v>
      </c>
      <c r="LG3" s="13" t="s">
        <v>247</v>
      </c>
      <c r="LH3" s="13" t="s">
        <v>247</v>
      </c>
      <c r="LI3" s="13" t="s">
        <v>247</v>
      </c>
      <c r="LJ3" s="13" t="s">
        <v>247</v>
      </c>
      <c r="LK3" s="13" t="s">
        <v>247</v>
      </c>
      <c r="LL3" s="13" t="s">
        <v>247</v>
      </c>
      <c r="LM3" s="13" t="s">
        <v>247</v>
      </c>
      <c r="LN3" s="13" t="s">
        <v>247</v>
      </c>
      <c r="LO3" s="13" t="s">
        <v>473</v>
      </c>
      <c r="LP3" s="13" t="s">
        <v>247</v>
      </c>
      <c r="LQ3" s="13" t="s">
        <v>247</v>
      </c>
      <c r="LR3" s="13" t="s">
        <v>247</v>
      </c>
      <c r="LS3" s="13" t="s">
        <v>247</v>
      </c>
      <c r="LT3" s="13" t="s">
        <v>473</v>
      </c>
      <c r="LU3" s="13" t="s">
        <v>247</v>
      </c>
      <c r="LV3" s="13" t="s">
        <v>247</v>
      </c>
      <c r="LW3" s="13" t="s">
        <v>247</v>
      </c>
      <c r="LX3" s="13" t="s">
        <v>247</v>
      </c>
      <c r="LY3" s="13" t="s">
        <v>247</v>
      </c>
      <c r="LZ3" s="13" t="s">
        <v>247</v>
      </c>
      <c r="MA3" s="13" t="s">
        <v>212</v>
      </c>
      <c r="MB3" s="13" t="s">
        <v>559</v>
      </c>
      <c r="MC3" s="13" t="s">
        <v>993</v>
      </c>
      <c r="MD3" s="13" t="s">
        <v>234</v>
      </c>
      <c r="ME3" s="13" t="s">
        <v>1017</v>
      </c>
      <c r="MF3" s="13" t="s">
        <v>1018</v>
      </c>
      <c r="MG3" s="13" t="s">
        <v>1019</v>
      </c>
      <c r="MH3" s="13" t="s">
        <v>1020</v>
      </c>
      <c r="MI3" s="13" t="s">
        <v>1021</v>
      </c>
      <c r="MJ3" s="13" t="s">
        <v>1022</v>
      </c>
      <c r="MK3" s="13" t="s">
        <v>993</v>
      </c>
      <c r="ML3" s="13" t="s">
        <v>473</v>
      </c>
      <c r="MM3" s="13" t="s">
        <v>247</v>
      </c>
      <c r="MN3" s="13" t="s">
        <v>247</v>
      </c>
      <c r="MO3" s="13" t="s">
        <v>247</v>
      </c>
      <c r="MP3" s="13" t="s">
        <v>247</v>
      </c>
      <c r="MQ3" s="13" t="s">
        <v>247</v>
      </c>
      <c r="MR3" s="13" t="s">
        <v>247</v>
      </c>
      <c r="MS3" s="13" t="s">
        <v>1001</v>
      </c>
      <c r="MT3" s="13" t="s">
        <v>1001</v>
      </c>
      <c r="MU3" s="13" t="s">
        <v>468</v>
      </c>
      <c r="MV3" s="13" t="s">
        <v>1001</v>
      </c>
      <c r="MW3" s="13" t="s">
        <v>1001</v>
      </c>
      <c r="NO3" s="13" t="s">
        <v>473</v>
      </c>
      <c r="NP3" s="13" t="s">
        <v>247</v>
      </c>
      <c r="NQ3" s="13" t="s">
        <v>247</v>
      </c>
      <c r="NR3" s="13" t="s">
        <v>247</v>
      </c>
      <c r="NS3" s="13" t="s">
        <v>247</v>
      </c>
      <c r="NT3" s="13" t="s">
        <v>247</v>
      </c>
      <c r="NU3" s="13" t="s">
        <v>247</v>
      </c>
      <c r="NV3" s="13" t="s">
        <v>473</v>
      </c>
      <c r="NW3" s="13" t="s">
        <v>247</v>
      </c>
      <c r="NX3" s="13" t="s">
        <v>247</v>
      </c>
      <c r="NY3" s="13" t="s">
        <v>247</v>
      </c>
      <c r="NZ3" s="13" t="s">
        <v>247</v>
      </c>
      <c r="OA3" s="13" t="s">
        <v>473</v>
      </c>
      <c r="OB3" s="13" t="s">
        <v>247</v>
      </c>
      <c r="OC3" s="13" t="s">
        <v>247</v>
      </c>
      <c r="OD3" s="13" t="s">
        <v>247</v>
      </c>
      <c r="OE3" s="13" t="s">
        <v>248</v>
      </c>
      <c r="OF3" s="13" t="s">
        <v>248</v>
      </c>
      <c r="OG3" s="13" t="s">
        <v>249</v>
      </c>
      <c r="OH3" s="13" t="s">
        <v>250</v>
      </c>
      <c r="OI3" s="13" t="s">
        <v>251</v>
      </c>
      <c r="OJ3" s="13" t="s">
        <v>251</v>
      </c>
      <c r="OK3" s="13" t="s">
        <v>252</v>
      </c>
      <c r="OL3" s="13" t="s">
        <v>253</v>
      </c>
      <c r="OM3" s="13" t="s">
        <v>248</v>
      </c>
      <c r="ON3" s="13" t="s">
        <v>248</v>
      </c>
      <c r="OO3" s="13" t="s">
        <v>249</v>
      </c>
      <c r="OP3" s="13" t="s">
        <v>250</v>
      </c>
      <c r="OQ3" s="13" t="s">
        <v>251</v>
      </c>
      <c r="OR3" s="13" t="s">
        <v>251</v>
      </c>
      <c r="OS3" s="13" t="s">
        <v>252</v>
      </c>
      <c r="OT3" s="13" t="s">
        <v>253</v>
      </c>
      <c r="OU3" s="13" t="s">
        <v>254</v>
      </c>
      <c r="OV3" s="13" t="s">
        <v>255</v>
      </c>
      <c r="OW3" s="13" t="s">
        <v>256</v>
      </c>
      <c r="OX3" s="13" t="s">
        <v>250</v>
      </c>
      <c r="OY3" s="13" t="s">
        <v>251</v>
      </c>
      <c r="OZ3" s="13" t="s">
        <v>251</v>
      </c>
      <c r="PA3" s="13" t="s">
        <v>252</v>
      </c>
      <c r="PB3" s="13" t="s">
        <v>253</v>
      </c>
      <c r="PC3" s="13" t="s">
        <v>251</v>
      </c>
      <c r="PD3" s="13" t="s">
        <v>251</v>
      </c>
    </row>
  </sheetData>
  <mergeCells count="39">
    <mergeCell ref="BS1:BY1"/>
    <mergeCell ref="B1:Y1"/>
    <mergeCell ref="Z1:AG1"/>
    <mergeCell ref="AI1:AZ1"/>
    <mergeCell ref="BA1:BG1"/>
    <mergeCell ref="BH1:BR1"/>
    <mergeCell ref="FW1:GS1"/>
    <mergeCell ref="BZ1:CF1"/>
    <mergeCell ref="CG1:DC1"/>
    <mergeCell ref="DD1:DH1"/>
    <mergeCell ref="DI1:DL1"/>
    <mergeCell ref="DM1:DQ1"/>
    <mergeCell ref="DR1:DY1"/>
    <mergeCell ref="DZ1:EQ1"/>
    <mergeCell ref="ER1:EX1"/>
    <mergeCell ref="EY1:FI1"/>
    <mergeCell ref="FJ1:FP1"/>
    <mergeCell ref="FQ1:FV1"/>
    <mergeCell ref="KO1:KR1"/>
    <mergeCell ref="GT1:GX1"/>
    <mergeCell ref="GY1:HB1"/>
    <mergeCell ref="HC1:HG1"/>
    <mergeCell ref="HH1:HO1"/>
    <mergeCell ref="HP1:IG1"/>
    <mergeCell ref="IH1:IN1"/>
    <mergeCell ref="IO1:IY1"/>
    <mergeCell ref="IZ1:JF1"/>
    <mergeCell ref="JG1:JL1"/>
    <mergeCell ref="JM1:KI1"/>
    <mergeCell ref="KJ1:KN1"/>
    <mergeCell ref="MY1:NU1"/>
    <mergeCell ref="NV1:NZ1"/>
    <mergeCell ref="OA1:OD1"/>
    <mergeCell ref="KS1:LA1"/>
    <mergeCell ref="LB1:LS1"/>
    <mergeCell ref="LT1:LZ1"/>
    <mergeCell ref="MA1:MK1"/>
    <mergeCell ref="ML1:MR1"/>
    <mergeCell ref="MS1:MX1"/>
  </mergeCells>
  <conditionalFormatting sqref="F3">
    <cfRule type="duplicateValues" dxfId="3" priority="1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3"/>
  <sheetViews>
    <sheetView workbookViewId="0">
      <selection activeCell="C12" sqref="C12"/>
    </sheetView>
  </sheetViews>
  <sheetFormatPr defaultRowHeight="15" x14ac:dyDescent="0.25"/>
  <cols>
    <col min="1" max="1" width="8" bestFit="1" customWidth="1"/>
    <col min="2" max="2" width="15.28515625" bestFit="1" customWidth="1"/>
    <col min="3" max="3" width="22.7109375" bestFit="1" customWidth="1"/>
    <col min="4" max="4" width="15.5703125" bestFit="1" customWidth="1"/>
    <col min="5" max="5" width="9.5703125" bestFit="1" customWidth="1"/>
    <col min="6" max="6" width="6.140625" bestFit="1" customWidth="1"/>
    <col min="7" max="7" width="24.7109375" bestFit="1" customWidth="1"/>
    <col min="8" max="8" width="15.85546875" bestFit="1" customWidth="1"/>
    <col min="9" max="9" width="10" bestFit="1" customWidth="1"/>
    <col min="10" max="10" width="15.140625" bestFit="1" customWidth="1"/>
    <col min="11" max="11" width="38" bestFit="1" customWidth="1"/>
    <col min="12" max="12" width="25.28515625" bestFit="1" customWidth="1"/>
    <col min="13" max="13" width="20.85546875" bestFit="1" customWidth="1"/>
    <col min="14" max="14" width="21.140625" bestFit="1" customWidth="1"/>
    <col min="15" max="15" width="17.85546875" bestFit="1" customWidth="1"/>
    <col min="16" max="16" width="12" bestFit="1" customWidth="1"/>
    <col min="17" max="17" width="11.7109375" bestFit="1" customWidth="1"/>
    <col min="18" max="18" width="22.140625" bestFit="1" customWidth="1"/>
    <col min="19" max="19" width="20" bestFit="1" customWidth="1"/>
    <col min="20" max="20" width="16.7109375" bestFit="1" customWidth="1"/>
    <col min="21" max="21" width="20.85546875" bestFit="1" customWidth="1"/>
    <col min="22" max="22" width="20.5703125" bestFit="1" customWidth="1"/>
    <col min="23" max="23" width="22.7109375" bestFit="1" customWidth="1"/>
    <col min="24" max="24" width="37.140625" bestFit="1" customWidth="1"/>
    <col min="25" max="25" width="10.140625" bestFit="1" customWidth="1"/>
    <col min="26" max="26" width="38.42578125" bestFit="1" customWidth="1"/>
    <col min="27" max="27" width="15.42578125" bestFit="1" customWidth="1"/>
    <col min="28" max="28" width="15.140625" bestFit="1" customWidth="1"/>
    <col min="29" max="29" width="42.140625" bestFit="1" customWidth="1"/>
    <col min="30" max="30" width="18.7109375" bestFit="1" customWidth="1"/>
    <col min="31" max="31" width="30.42578125" bestFit="1" customWidth="1"/>
    <col min="32" max="32" width="26.7109375" bestFit="1" customWidth="1"/>
    <col min="33" max="33" width="23.85546875" bestFit="1" customWidth="1"/>
    <col min="34" max="34" width="33.28515625" bestFit="1" customWidth="1"/>
    <col min="35" max="35" width="42.140625" bestFit="1" customWidth="1"/>
    <col min="36" max="36" width="24.7109375" bestFit="1" customWidth="1"/>
    <col min="37" max="37" width="30.42578125" bestFit="1" customWidth="1"/>
    <col min="38" max="38" width="23.5703125" bestFit="1" customWidth="1"/>
    <col min="39" max="39" width="26" bestFit="1" customWidth="1"/>
    <col min="40" max="40" width="11" bestFit="1" customWidth="1"/>
    <col min="41" max="41" width="32" bestFit="1" customWidth="1"/>
    <col min="42" max="42" width="27.85546875" bestFit="1" customWidth="1"/>
    <col min="43" max="43" width="30.140625" bestFit="1" customWidth="1"/>
    <col min="44" max="44" width="26.28515625" bestFit="1" customWidth="1"/>
    <col min="45" max="45" width="23.42578125" bestFit="1" customWidth="1"/>
    <col min="46" max="46" width="47.5703125" bestFit="1" customWidth="1"/>
    <col min="47" max="47" width="15.140625" bestFit="1" customWidth="1"/>
    <col min="48" max="48" width="22.28515625" bestFit="1" customWidth="1"/>
    <col min="49" max="49" width="28.7109375" bestFit="1" customWidth="1"/>
    <col min="50" max="50" width="31.28515625" bestFit="1" customWidth="1"/>
    <col min="51" max="51" width="25.85546875" bestFit="1" customWidth="1"/>
    <col min="52" max="52" width="32.42578125" bestFit="1" customWidth="1"/>
    <col min="53" max="53" width="29.42578125" bestFit="1" customWidth="1"/>
    <col min="54" max="54" width="37.5703125" bestFit="1" customWidth="1"/>
    <col min="55" max="55" width="26.7109375" bestFit="1" customWidth="1"/>
    <col min="56" max="56" width="31.28515625" bestFit="1" customWidth="1"/>
    <col min="57" max="57" width="17.85546875" bestFit="1" customWidth="1"/>
    <col min="58" max="58" width="24.85546875" bestFit="1" customWidth="1"/>
    <col min="59" max="59" width="31.42578125" bestFit="1" customWidth="1"/>
    <col min="60" max="60" width="35.85546875" bestFit="1" customWidth="1"/>
    <col min="61" max="61" width="23.5703125" bestFit="1" customWidth="1"/>
    <col min="62" max="62" width="20.7109375" bestFit="1" customWidth="1"/>
    <col min="63" max="63" width="44.85546875" bestFit="1" customWidth="1"/>
    <col min="64" max="64" width="16.85546875" bestFit="1" customWidth="1"/>
    <col min="65" max="65" width="24" bestFit="1" customWidth="1"/>
    <col min="66" max="66" width="30.5703125" bestFit="1" customWidth="1"/>
    <col min="67" max="67" width="42.5703125" bestFit="1" customWidth="1"/>
    <col min="68" max="68" width="23" bestFit="1" customWidth="1"/>
    <col min="69" max="69" width="29.28515625" bestFit="1" customWidth="1"/>
    <col min="70" max="70" width="21" bestFit="1" customWidth="1"/>
    <col min="71" max="71" width="18.28515625" bestFit="1" customWidth="1"/>
    <col min="72" max="72" width="14.42578125" bestFit="1" customWidth="1"/>
    <col min="73" max="73" width="21.5703125" bestFit="1" customWidth="1"/>
    <col min="74" max="74" width="28" bestFit="1" customWidth="1"/>
    <col min="75" max="75" width="40" bestFit="1" customWidth="1"/>
    <col min="76" max="76" width="23.28515625" bestFit="1" customWidth="1"/>
    <col min="77" max="77" width="20.42578125" bestFit="1" customWidth="1"/>
    <col min="78" max="78" width="50.140625" bestFit="1" customWidth="1"/>
    <col min="79" max="79" width="16.5703125" bestFit="1" customWidth="1"/>
    <col min="80" max="80" width="23.7109375" bestFit="1" customWidth="1"/>
    <col min="81" max="81" width="30.28515625" bestFit="1" customWidth="1"/>
    <col min="82" max="82" width="42.28515625" bestFit="1" customWidth="1"/>
    <col min="83" max="83" width="24" bestFit="1" customWidth="1"/>
    <col min="84" max="84" width="21.140625" bestFit="1" customWidth="1"/>
    <col min="85" max="85" width="41.5703125" bestFit="1" customWidth="1"/>
    <col min="86" max="86" width="17.42578125" bestFit="1" customWidth="1"/>
    <col min="87" max="87" width="24.42578125" bestFit="1" customWidth="1"/>
    <col min="88" max="88" width="33.85546875" bestFit="1" customWidth="1"/>
    <col min="89" max="89" width="31" bestFit="1" customWidth="1"/>
    <col min="90" max="90" width="50" bestFit="1" customWidth="1"/>
    <col min="91" max="91" width="40.5703125" bestFit="1" customWidth="1"/>
    <col min="92" max="92" width="13.140625" bestFit="1" customWidth="1"/>
    <col min="93" max="93" width="26.7109375" bestFit="1" customWidth="1"/>
    <col min="94" max="94" width="21.42578125" bestFit="1" customWidth="1"/>
    <col min="95" max="95" width="21" bestFit="1" customWidth="1"/>
    <col min="96" max="96" width="23.7109375" bestFit="1" customWidth="1"/>
    <col min="97" max="97" width="11.28515625" bestFit="1" customWidth="1"/>
    <col min="98" max="98" width="19.140625" bestFit="1" customWidth="1"/>
    <col min="99" max="99" width="19.5703125" bestFit="1" customWidth="1"/>
    <col min="100" max="100" width="19.28515625" bestFit="1" customWidth="1"/>
    <col min="101" max="101" width="20.5703125" bestFit="1" customWidth="1"/>
    <col min="102" max="102" width="11.5703125" bestFit="1" customWidth="1"/>
    <col min="103" max="103" width="19.42578125" bestFit="1" customWidth="1"/>
    <col min="104" max="104" width="19.85546875" bestFit="1" customWidth="1"/>
    <col min="105" max="105" width="19.5703125" bestFit="1" customWidth="1"/>
    <col min="106" max="106" width="20.85546875" bestFit="1" customWidth="1"/>
    <col min="107" max="107" width="10.28515625" bestFit="1" customWidth="1"/>
    <col min="108" max="108" width="18.140625" bestFit="1" customWidth="1"/>
    <col min="109" max="109" width="18.5703125" bestFit="1" customWidth="1"/>
    <col min="110" max="110" width="18.28515625" bestFit="1" customWidth="1"/>
    <col min="111" max="111" width="19.5703125" bestFit="1" customWidth="1"/>
    <col min="112" max="112" width="12.42578125" bestFit="1" customWidth="1"/>
    <col min="113" max="113" width="20.28515625" bestFit="1" customWidth="1"/>
    <col min="114" max="114" width="20.7109375" bestFit="1" customWidth="1"/>
    <col min="115" max="115" width="20.42578125" bestFit="1" customWidth="1"/>
    <col min="116" max="116" width="21.85546875" bestFit="1" customWidth="1"/>
    <col min="117" max="117" width="13.28515625" bestFit="1" customWidth="1"/>
    <col min="118" max="118" width="21" bestFit="1" customWidth="1"/>
    <col min="119" max="119" width="21.5703125" bestFit="1" customWidth="1"/>
    <col min="120" max="120" width="21.140625" bestFit="1" customWidth="1"/>
    <col min="121" max="121" width="22.5703125" bestFit="1" customWidth="1"/>
    <col min="122" max="122" width="11.85546875" bestFit="1" customWidth="1"/>
    <col min="123" max="123" width="19.7109375" bestFit="1" customWidth="1"/>
    <col min="124" max="124" width="20.140625" bestFit="1" customWidth="1"/>
    <col min="125" max="125" width="19.85546875" bestFit="1" customWidth="1"/>
    <col min="126" max="126" width="21.140625" bestFit="1" customWidth="1"/>
    <col min="127" max="127" width="29.140625" bestFit="1" customWidth="1"/>
    <col min="128" max="128" width="32.7109375" bestFit="1" customWidth="1"/>
    <col min="129" max="129" width="35.5703125" bestFit="1" customWidth="1"/>
    <col min="130" max="130" width="13.5703125" bestFit="1" customWidth="1"/>
    <col min="131" max="131" width="25" bestFit="1" customWidth="1"/>
    <col min="132" max="132" width="24.140625" bestFit="1" customWidth="1"/>
    <col min="133" max="133" width="34.140625" bestFit="1" customWidth="1"/>
    <col min="134" max="134" width="23.85546875" bestFit="1" customWidth="1"/>
    <col min="135" max="135" width="39" bestFit="1" customWidth="1"/>
    <col min="136" max="136" width="39.5703125" bestFit="1" customWidth="1"/>
    <col min="137" max="137" width="18.5703125" bestFit="1" customWidth="1"/>
    <col min="138" max="138" width="20.140625" bestFit="1" customWidth="1"/>
    <col min="139" max="139" width="30" bestFit="1" customWidth="1"/>
    <col min="140" max="140" width="13.28515625" bestFit="1" customWidth="1"/>
    <col min="141" max="141" width="6.7109375" bestFit="1" customWidth="1"/>
    <col min="142" max="142" width="24.85546875" bestFit="1" customWidth="1"/>
    <col min="143" max="143" width="22.85546875" bestFit="1" customWidth="1"/>
    <col min="144" max="144" width="14.7109375" bestFit="1" customWidth="1"/>
    <col min="145" max="145" width="20.28515625" bestFit="1" customWidth="1"/>
    <col min="146" max="146" width="31" bestFit="1" customWidth="1"/>
    <col min="147" max="147" width="28.85546875" bestFit="1" customWidth="1"/>
    <col min="148" max="148" width="20.7109375" bestFit="1" customWidth="1"/>
    <col min="149" max="149" width="26.85546875" bestFit="1" customWidth="1"/>
    <col min="150" max="150" width="24" bestFit="1" customWidth="1"/>
    <col min="151" max="151" width="22" bestFit="1" customWidth="1"/>
    <col min="152" max="152" width="13.85546875" bestFit="1" customWidth="1"/>
    <col min="153" max="153" width="19.42578125" bestFit="1" customWidth="1"/>
    <col min="154" max="154" width="30.140625" bestFit="1" customWidth="1"/>
    <col min="155" max="155" width="28" bestFit="1" customWidth="1"/>
    <col min="156" max="156" width="19.85546875" bestFit="1" customWidth="1"/>
    <col min="157" max="157" width="26.85546875" bestFit="1" customWidth="1"/>
    <col min="158" max="158" width="24.7109375" bestFit="1" customWidth="1"/>
    <col min="159" max="159" width="22.7109375" bestFit="1" customWidth="1"/>
    <col min="160" max="160" width="14.5703125" bestFit="1" customWidth="1"/>
    <col min="161" max="161" width="20.140625" bestFit="1" customWidth="1"/>
    <col min="162" max="162" width="30.85546875" bestFit="1" customWidth="1"/>
    <col min="163" max="163" width="28.7109375" bestFit="1" customWidth="1"/>
    <col min="164" max="164" width="20.5703125" bestFit="1" customWidth="1"/>
    <col min="165" max="165" width="26.85546875" bestFit="1" customWidth="1"/>
    <col min="166" max="166" width="26.7109375" bestFit="1" customWidth="1"/>
    <col min="167" max="167" width="24.5703125" bestFit="1" customWidth="1"/>
  </cols>
  <sheetData>
    <row r="1" spans="1:180" s="17" customFormat="1" ht="16.5" thickBot="1" x14ac:dyDescent="0.3">
      <c r="A1" s="1" t="s">
        <v>0</v>
      </c>
      <c r="B1" s="54" t="s">
        <v>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 t="s">
        <v>1023</v>
      </c>
      <c r="X1" s="54"/>
      <c r="Y1" s="54" t="s">
        <v>1024</v>
      </c>
      <c r="Z1" s="54"/>
      <c r="AA1" s="54"/>
      <c r="AB1" s="54"/>
      <c r="AC1" s="54" t="s">
        <v>1025</v>
      </c>
      <c r="AD1" s="54"/>
      <c r="AE1" s="54" t="s">
        <v>1026</v>
      </c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 t="s">
        <v>1027</v>
      </c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 t="s">
        <v>1028</v>
      </c>
      <c r="BE1" s="54"/>
      <c r="BF1" s="54"/>
      <c r="BG1" s="54"/>
      <c r="BH1" s="54"/>
      <c r="BI1" s="54" t="s">
        <v>1029</v>
      </c>
      <c r="BJ1" s="54"/>
      <c r="BK1" s="54"/>
      <c r="BL1" s="54"/>
      <c r="BM1" s="54"/>
      <c r="BN1" s="54"/>
      <c r="BO1" s="54"/>
      <c r="BP1" s="54"/>
      <c r="BQ1" s="54"/>
      <c r="BR1" s="59" t="s">
        <v>1030</v>
      </c>
      <c r="BS1" s="59"/>
      <c r="BT1" s="59"/>
      <c r="BU1" s="59"/>
      <c r="BV1" s="59"/>
      <c r="BW1" s="59"/>
      <c r="BX1" s="54" t="s">
        <v>1031</v>
      </c>
      <c r="BY1" s="54"/>
      <c r="BZ1" s="54"/>
      <c r="CA1" s="54"/>
      <c r="CB1" s="54"/>
      <c r="CC1" s="54"/>
      <c r="CD1" s="54"/>
      <c r="CE1" s="54" t="s">
        <v>1032</v>
      </c>
      <c r="CF1" s="54"/>
      <c r="CG1" s="54"/>
      <c r="CH1" s="54"/>
      <c r="CI1" s="54"/>
      <c r="CJ1" s="54"/>
      <c r="CK1" s="54"/>
      <c r="CL1" s="54"/>
      <c r="CM1" s="2" t="s">
        <v>1033</v>
      </c>
      <c r="CN1" s="54" t="s">
        <v>1034</v>
      </c>
      <c r="CO1" s="54"/>
      <c r="CP1" s="54"/>
      <c r="CQ1" s="54"/>
      <c r="CR1" s="54"/>
      <c r="CS1" s="54" t="s">
        <v>1035</v>
      </c>
      <c r="CT1" s="54"/>
      <c r="CU1" s="54"/>
      <c r="CV1" s="54"/>
      <c r="CW1" s="54"/>
      <c r="CX1" s="54" t="s">
        <v>1036</v>
      </c>
      <c r="CY1" s="54"/>
      <c r="CZ1" s="54"/>
      <c r="DA1" s="54"/>
      <c r="DB1" s="54"/>
      <c r="DC1" s="59" t="s">
        <v>1037</v>
      </c>
      <c r="DD1" s="59"/>
      <c r="DE1" s="59"/>
      <c r="DF1" s="59"/>
      <c r="DG1" s="59"/>
      <c r="DH1" s="54" t="s">
        <v>1038</v>
      </c>
      <c r="DI1" s="54"/>
      <c r="DJ1" s="54"/>
      <c r="DK1" s="54"/>
      <c r="DL1" s="54"/>
      <c r="DM1" s="54" t="s">
        <v>1039</v>
      </c>
      <c r="DN1" s="54"/>
      <c r="DO1" s="54"/>
      <c r="DP1" s="54"/>
      <c r="DQ1" s="54"/>
      <c r="DR1" s="54" t="s">
        <v>1040</v>
      </c>
      <c r="DS1" s="54"/>
      <c r="DT1" s="54"/>
      <c r="DU1" s="54"/>
      <c r="DV1" s="54"/>
      <c r="DW1" s="2" t="s">
        <v>1041</v>
      </c>
      <c r="DX1" s="59" t="s">
        <v>1042</v>
      </c>
      <c r="DY1" s="59"/>
      <c r="DZ1" s="59"/>
      <c r="EA1" s="59"/>
      <c r="EB1" s="59"/>
      <c r="EC1" s="59"/>
      <c r="ED1" s="54" t="s">
        <v>1043</v>
      </c>
      <c r="EE1" s="54"/>
      <c r="EF1" s="54"/>
      <c r="EG1" s="54" t="s">
        <v>12</v>
      </c>
      <c r="EH1" s="54"/>
      <c r="EI1" s="54"/>
      <c r="EJ1" s="54"/>
      <c r="EK1" s="54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</row>
    <row r="2" spans="1:180" s="18" customFormat="1" ht="16.5" thickBot="1" x14ac:dyDescent="0.3">
      <c r="A2" s="3" t="s">
        <v>13</v>
      </c>
      <c r="B2" s="23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 t="s">
        <v>27</v>
      </c>
      <c r="P2" s="5" t="s">
        <v>28</v>
      </c>
      <c r="Q2" s="5" t="s">
        <v>29</v>
      </c>
      <c r="R2" s="5" t="s">
        <v>30</v>
      </c>
      <c r="S2" s="5" t="s">
        <v>31</v>
      </c>
      <c r="T2" s="5" t="s">
        <v>32</v>
      </c>
      <c r="U2" s="5" t="s">
        <v>33</v>
      </c>
      <c r="V2" s="5" t="s">
        <v>34</v>
      </c>
      <c r="W2" s="5" t="s">
        <v>279</v>
      </c>
      <c r="X2" s="5" t="s">
        <v>280</v>
      </c>
      <c r="Y2" s="5" t="s">
        <v>1044</v>
      </c>
      <c r="Z2" s="5" t="s">
        <v>1045</v>
      </c>
      <c r="AA2" s="5" t="s">
        <v>1046</v>
      </c>
      <c r="AB2" s="5" t="s">
        <v>1047</v>
      </c>
      <c r="AC2" s="5" t="s">
        <v>1048</v>
      </c>
      <c r="AD2" s="5" t="s">
        <v>1049</v>
      </c>
      <c r="AE2" s="5" t="s">
        <v>1050</v>
      </c>
      <c r="AF2" s="5" t="s">
        <v>1051</v>
      </c>
      <c r="AG2" s="5" t="s">
        <v>1052</v>
      </c>
      <c r="AH2" s="5" t="s">
        <v>1053</v>
      </c>
      <c r="AI2" s="5" t="s">
        <v>1054</v>
      </c>
      <c r="AJ2" s="5" t="s">
        <v>1055</v>
      </c>
      <c r="AK2" s="5" t="s">
        <v>1056</v>
      </c>
      <c r="AL2" s="5" t="s">
        <v>1057</v>
      </c>
      <c r="AM2" s="5" t="s">
        <v>1058</v>
      </c>
      <c r="AN2" s="5" t="s">
        <v>70</v>
      </c>
      <c r="AO2" s="5" t="s">
        <v>1059</v>
      </c>
      <c r="AP2" s="5" t="s">
        <v>1060</v>
      </c>
      <c r="AQ2" s="5" t="s">
        <v>1061</v>
      </c>
      <c r="AR2" s="5" t="s">
        <v>1062</v>
      </c>
      <c r="AS2" s="5" t="s">
        <v>1063</v>
      </c>
      <c r="AT2" s="5" t="s">
        <v>1064</v>
      </c>
      <c r="AU2" s="5" t="s">
        <v>1065</v>
      </c>
      <c r="AV2" s="5" t="s">
        <v>1066</v>
      </c>
      <c r="AW2" s="5" t="s">
        <v>1067</v>
      </c>
      <c r="AX2" s="5" t="s">
        <v>1068</v>
      </c>
      <c r="AY2" s="5" t="s">
        <v>1069</v>
      </c>
      <c r="AZ2" s="5" t="s">
        <v>1070</v>
      </c>
      <c r="BA2" s="5" t="s">
        <v>1071</v>
      </c>
      <c r="BB2" s="5" t="s">
        <v>1072</v>
      </c>
      <c r="BC2" s="5" t="s">
        <v>1073</v>
      </c>
      <c r="BD2" s="5" t="s">
        <v>1074</v>
      </c>
      <c r="BE2" s="5" t="s">
        <v>1075</v>
      </c>
      <c r="BF2" s="5" t="s">
        <v>1076</v>
      </c>
      <c r="BG2" s="5" t="s">
        <v>1077</v>
      </c>
      <c r="BH2" s="5" t="s">
        <v>1078</v>
      </c>
      <c r="BI2" s="5" t="s">
        <v>1079</v>
      </c>
      <c r="BJ2" s="5" t="s">
        <v>1080</v>
      </c>
      <c r="BK2" s="5" t="s">
        <v>1081</v>
      </c>
      <c r="BL2" s="5" t="s">
        <v>1082</v>
      </c>
      <c r="BM2" s="5" t="s">
        <v>1083</v>
      </c>
      <c r="BN2" s="5" t="s">
        <v>1084</v>
      </c>
      <c r="BO2" s="5" t="s">
        <v>1085</v>
      </c>
      <c r="BP2" s="5" t="s">
        <v>1086</v>
      </c>
      <c r="BQ2" s="5" t="s">
        <v>1087</v>
      </c>
      <c r="BR2" s="5" t="s">
        <v>1088</v>
      </c>
      <c r="BS2" s="5" t="s">
        <v>1089</v>
      </c>
      <c r="BT2" s="5" t="s">
        <v>1090</v>
      </c>
      <c r="BU2" s="5" t="s">
        <v>1091</v>
      </c>
      <c r="BV2" s="5" t="s">
        <v>1092</v>
      </c>
      <c r="BW2" s="5" t="s">
        <v>1093</v>
      </c>
      <c r="BX2" s="5" t="s">
        <v>1094</v>
      </c>
      <c r="BY2" s="5" t="s">
        <v>1095</v>
      </c>
      <c r="BZ2" s="5" t="s">
        <v>1096</v>
      </c>
      <c r="CA2" s="5" t="s">
        <v>1097</v>
      </c>
      <c r="CB2" s="5" t="s">
        <v>1098</v>
      </c>
      <c r="CC2" s="5" t="s">
        <v>1099</v>
      </c>
      <c r="CD2" s="5" t="s">
        <v>1100</v>
      </c>
      <c r="CE2" s="5" t="s">
        <v>1101</v>
      </c>
      <c r="CF2" s="5" t="s">
        <v>1102</v>
      </c>
      <c r="CG2" s="5" t="s">
        <v>1103</v>
      </c>
      <c r="CH2" s="5" t="s">
        <v>1104</v>
      </c>
      <c r="CI2" s="5" t="s">
        <v>1105</v>
      </c>
      <c r="CJ2" s="5" t="s">
        <v>1106</v>
      </c>
      <c r="CK2" s="5" t="s">
        <v>1107</v>
      </c>
      <c r="CL2" s="5" t="s">
        <v>1108</v>
      </c>
      <c r="CM2" s="5" t="s">
        <v>1109</v>
      </c>
      <c r="CN2" s="5" t="s">
        <v>1110</v>
      </c>
      <c r="CO2" s="5" t="s">
        <v>1111</v>
      </c>
      <c r="CP2" s="5" t="s">
        <v>1112</v>
      </c>
      <c r="CQ2" s="5" t="s">
        <v>1113</v>
      </c>
      <c r="CR2" s="5" t="s">
        <v>1114</v>
      </c>
      <c r="CS2" s="5" t="s">
        <v>1115</v>
      </c>
      <c r="CT2" s="5" t="s">
        <v>1116</v>
      </c>
      <c r="CU2" s="5" t="s">
        <v>1117</v>
      </c>
      <c r="CV2" s="5" t="s">
        <v>1118</v>
      </c>
      <c r="CW2" s="5" t="s">
        <v>1119</v>
      </c>
      <c r="CX2" s="5" t="s">
        <v>1120</v>
      </c>
      <c r="CY2" s="5" t="s">
        <v>1121</v>
      </c>
      <c r="CZ2" s="5" t="s">
        <v>1122</v>
      </c>
      <c r="DA2" s="5" t="s">
        <v>1123</v>
      </c>
      <c r="DB2" s="5" t="s">
        <v>1124</v>
      </c>
      <c r="DC2" s="5" t="s">
        <v>1125</v>
      </c>
      <c r="DD2" s="5" t="s">
        <v>1126</v>
      </c>
      <c r="DE2" s="5" t="s">
        <v>1127</v>
      </c>
      <c r="DF2" s="5" t="s">
        <v>1128</v>
      </c>
      <c r="DG2" s="5" t="s">
        <v>1129</v>
      </c>
      <c r="DH2" s="5" t="s">
        <v>1130</v>
      </c>
      <c r="DI2" s="5" t="s">
        <v>1131</v>
      </c>
      <c r="DJ2" s="5" t="s">
        <v>1132</v>
      </c>
      <c r="DK2" s="5" t="s">
        <v>1133</v>
      </c>
      <c r="DL2" s="5" t="s">
        <v>1134</v>
      </c>
      <c r="DM2" s="5" t="s">
        <v>1135</v>
      </c>
      <c r="DN2" s="5" t="s">
        <v>1136</v>
      </c>
      <c r="DO2" s="5" t="s">
        <v>1137</v>
      </c>
      <c r="DP2" s="5" t="s">
        <v>1138</v>
      </c>
      <c r="DQ2" s="5" t="s">
        <v>1139</v>
      </c>
      <c r="DR2" s="5" t="s">
        <v>1140</v>
      </c>
      <c r="DS2" s="5" t="s">
        <v>1141</v>
      </c>
      <c r="DT2" s="5" t="s">
        <v>1142</v>
      </c>
      <c r="DU2" s="5" t="s">
        <v>1143</v>
      </c>
      <c r="DV2" s="5" t="s">
        <v>1144</v>
      </c>
      <c r="DW2" s="5" t="s">
        <v>155</v>
      </c>
      <c r="DX2" s="5" t="s">
        <v>171</v>
      </c>
      <c r="DY2" s="5" t="s">
        <v>172</v>
      </c>
      <c r="DZ2" s="5" t="s">
        <v>173</v>
      </c>
      <c r="EA2" s="5" t="s">
        <v>174</v>
      </c>
      <c r="EB2" s="5" t="s">
        <v>175</v>
      </c>
      <c r="EC2" s="5" t="s">
        <v>176</v>
      </c>
      <c r="ED2" s="5" t="s">
        <v>156</v>
      </c>
      <c r="EE2" s="5" t="s">
        <v>157</v>
      </c>
      <c r="EF2" s="5" t="s">
        <v>158</v>
      </c>
      <c r="EG2" s="5" t="s">
        <v>178</v>
      </c>
      <c r="EH2" s="5" t="s">
        <v>179</v>
      </c>
      <c r="EI2" s="5" t="s">
        <v>180</v>
      </c>
      <c r="EJ2" s="5" t="s">
        <v>181</v>
      </c>
      <c r="EK2" s="5" t="s">
        <v>182</v>
      </c>
      <c r="EL2" s="5" t="s">
        <v>183</v>
      </c>
      <c r="EM2" s="5" t="s">
        <v>184</v>
      </c>
      <c r="EN2" s="5" t="s">
        <v>185</v>
      </c>
      <c r="EO2" s="5" t="s">
        <v>186</v>
      </c>
      <c r="EP2" s="5" t="s">
        <v>187</v>
      </c>
      <c r="EQ2" s="5" t="s">
        <v>188</v>
      </c>
      <c r="ER2" s="5" t="s">
        <v>189</v>
      </c>
      <c r="ES2" s="5" t="s">
        <v>190</v>
      </c>
      <c r="ET2" s="5" t="s">
        <v>191</v>
      </c>
      <c r="EU2" s="5" t="s">
        <v>192</v>
      </c>
      <c r="EV2" s="5" t="s">
        <v>193</v>
      </c>
      <c r="EW2" s="5" t="s">
        <v>194</v>
      </c>
      <c r="EX2" s="5" t="s">
        <v>195</v>
      </c>
      <c r="EY2" s="5" t="s">
        <v>196</v>
      </c>
      <c r="EZ2" s="5" t="s">
        <v>197</v>
      </c>
      <c r="FA2" s="5" t="s">
        <v>198</v>
      </c>
      <c r="FB2" s="5" t="s">
        <v>199</v>
      </c>
      <c r="FC2" s="5" t="s">
        <v>200</v>
      </c>
      <c r="FD2" s="5" t="s">
        <v>201</v>
      </c>
      <c r="FE2" s="5" t="s">
        <v>202</v>
      </c>
      <c r="FF2" s="5" t="s">
        <v>203</v>
      </c>
      <c r="FG2" s="5" t="s">
        <v>204</v>
      </c>
      <c r="FH2" s="5" t="s">
        <v>205</v>
      </c>
      <c r="FI2" s="5" t="s">
        <v>206</v>
      </c>
      <c r="FJ2" s="5" t="s">
        <v>207</v>
      </c>
      <c r="FK2" s="5" t="s">
        <v>208</v>
      </c>
    </row>
    <row r="3" spans="1:180" s="26" customFormat="1" ht="15.75" x14ac:dyDescent="0.25">
      <c r="A3" s="24" t="s">
        <v>1145</v>
      </c>
      <c r="B3" s="25" t="s">
        <v>1146</v>
      </c>
      <c r="C3" s="26" t="s">
        <v>210</v>
      </c>
      <c r="D3" s="26" t="s">
        <v>1147</v>
      </c>
      <c r="E3" s="26" t="s">
        <v>455</v>
      </c>
      <c r="F3" s="26" t="s">
        <v>1148</v>
      </c>
      <c r="G3" s="26" t="s">
        <v>1149</v>
      </c>
      <c r="H3" s="26" t="s">
        <v>1150</v>
      </c>
      <c r="I3" s="26" t="s">
        <v>1151</v>
      </c>
      <c r="J3" s="26" t="s">
        <v>217</v>
      </c>
      <c r="K3" s="26" t="s">
        <v>455</v>
      </c>
      <c r="L3" s="26" t="s">
        <v>218</v>
      </c>
      <c r="M3" s="26" t="s">
        <v>212</v>
      </c>
      <c r="N3" s="26" t="s">
        <v>212</v>
      </c>
      <c r="O3" s="26" t="s">
        <v>218</v>
      </c>
      <c r="P3" s="26" t="s">
        <v>1152</v>
      </c>
      <c r="Q3" s="26" t="s">
        <v>1153</v>
      </c>
      <c r="R3" s="26" t="s">
        <v>221</v>
      </c>
      <c r="S3" s="26" t="s">
        <v>222</v>
      </c>
      <c r="T3" s="26" t="s">
        <v>212</v>
      </c>
      <c r="U3" s="26" t="s">
        <v>455</v>
      </c>
      <c r="V3" s="26" t="s">
        <v>455</v>
      </c>
      <c r="W3" s="26" t="s">
        <v>453</v>
      </c>
      <c r="X3" s="26" t="s">
        <v>212</v>
      </c>
      <c r="Y3" s="26" t="s">
        <v>473</v>
      </c>
      <c r="Z3" s="26" t="s">
        <v>1154</v>
      </c>
      <c r="AA3" s="26" t="s">
        <v>1155</v>
      </c>
      <c r="AB3" s="26" t="s">
        <v>1156</v>
      </c>
      <c r="AC3" s="26" t="s">
        <v>1157</v>
      </c>
      <c r="AD3" s="26" t="s">
        <v>230</v>
      </c>
      <c r="AE3" s="26" t="s">
        <v>218</v>
      </c>
      <c r="AF3" s="26" t="s">
        <v>212</v>
      </c>
      <c r="AG3" s="26" t="s">
        <v>218</v>
      </c>
      <c r="AH3" s="26" t="s">
        <v>218</v>
      </c>
      <c r="AI3" s="26" t="s">
        <v>212</v>
      </c>
      <c r="AJ3" s="26" t="s">
        <v>212</v>
      </c>
      <c r="AK3" s="26" t="s">
        <v>235</v>
      </c>
      <c r="AL3" s="26" t="s">
        <v>234</v>
      </c>
      <c r="AR3" s="26" t="s">
        <v>1158</v>
      </c>
      <c r="AS3" s="26" t="s">
        <v>552</v>
      </c>
      <c r="AT3" s="26" t="s">
        <v>263</v>
      </c>
      <c r="AU3" s="26" t="s">
        <v>1159</v>
      </c>
      <c r="AV3" s="26" t="s">
        <v>1160</v>
      </c>
      <c r="AW3" s="26" t="s">
        <v>218</v>
      </c>
      <c r="AX3" s="26" t="s">
        <v>218</v>
      </c>
      <c r="AY3" s="26" t="s">
        <v>1161</v>
      </c>
      <c r="AZ3" s="26" t="s">
        <v>212</v>
      </c>
      <c r="BC3" s="26" t="s">
        <v>1162</v>
      </c>
      <c r="BD3" s="26" t="s">
        <v>552</v>
      </c>
      <c r="BE3" s="26" t="s">
        <v>552</v>
      </c>
      <c r="BF3" s="26" t="s">
        <v>1163</v>
      </c>
      <c r="BG3" s="26" t="s">
        <v>218</v>
      </c>
      <c r="BH3" s="26" t="s">
        <v>218</v>
      </c>
      <c r="BI3" s="26" t="s">
        <v>552</v>
      </c>
      <c r="BJ3" s="26" t="s">
        <v>552</v>
      </c>
      <c r="BK3" s="26" t="s">
        <v>263</v>
      </c>
      <c r="BL3" s="26" t="s">
        <v>552</v>
      </c>
      <c r="BM3" s="26" t="s">
        <v>1164</v>
      </c>
      <c r="BN3" s="26" t="s">
        <v>218</v>
      </c>
      <c r="BO3" s="26" t="s">
        <v>218</v>
      </c>
      <c r="BX3" s="26" t="s">
        <v>552</v>
      </c>
      <c r="BY3" s="26" t="s">
        <v>552</v>
      </c>
      <c r="BZ3" s="26" t="s">
        <v>263</v>
      </c>
      <c r="CA3" s="26" t="s">
        <v>1165</v>
      </c>
      <c r="CB3" s="26" t="s">
        <v>1164</v>
      </c>
      <c r="CC3" s="26" t="s">
        <v>218</v>
      </c>
      <c r="CD3" s="26" t="s">
        <v>218</v>
      </c>
      <c r="CE3" s="26" t="s">
        <v>552</v>
      </c>
      <c r="CF3" s="26" t="s">
        <v>552</v>
      </c>
      <c r="CG3" s="26" t="s">
        <v>263</v>
      </c>
      <c r="CH3" s="26" t="s">
        <v>552</v>
      </c>
      <c r="CI3" s="26" t="s">
        <v>1166</v>
      </c>
      <c r="CJ3" s="26" t="s">
        <v>218</v>
      </c>
      <c r="CK3" s="26" t="s">
        <v>218</v>
      </c>
      <c r="CL3" s="26" t="s">
        <v>218</v>
      </c>
      <c r="CM3" s="26" t="s">
        <v>552</v>
      </c>
      <c r="CN3" s="26" t="s">
        <v>232</v>
      </c>
      <c r="CO3" s="26" t="s">
        <v>1167</v>
      </c>
      <c r="CP3" s="26" t="s">
        <v>1168</v>
      </c>
      <c r="CQ3" s="26" t="s">
        <v>1169</v>
      </c>
      <c r="CR3" s="26" t="s">
        <v>1170</v>
      </c>
      <c r="CS3" s="26" t="s">
        <v>234</v>
      </c>
      <c r="CT3" s="26" t="s">
        <v>1171</v>
      </c>
      <c r="CU3" s="26" t="s">
        <v>552</v>
      </c>
      <c r="CV3" s="26" t="s">
        <v>218</v>
      </c>
      <c r="CW3" s="26" t="s">
        <v>1172</v>
      </c>
      <c r="CX3" s="26" t="s">
        <v>234</v>
      </c>
      <c r="CY3" s="26" t="s">
        <v>1171</v>
      </c>
      <c r="CZ3" s="26" t="s">
        <v>552</v>
      </c>
      <c r="DA3" s="26" t="s">
        <v>218</v>
      </c>
      <c r="DB3" s="26" t="s">
        <v>1172</v>
      </c>
      <c r="DC3" s="26" t="s">
        <v>234</v>
      </c>
      <c r="DD3" s="26" t="s">
        <v>1171</v>
      </c>
      <c r="DE3" s="26" t="s">
        <v>552</v>
      </c>
      <c r="DF3" s="26" t="s">
        <v>218</v>
      </c>
      <c r="DG3" s="26" t="s">
        <v>1172</v>
      </c>
      <c r="DH3" s="26" t="s">
        <v>234</v>
      </c>
      <c r="DI3" s="26" t="s">
        <v>1171</v>
      </c>
      <c r="DJ3" s="26" t="s">
        <v>552</v>
      </c>
      <c r="DK3" s="26" t="s">
        <v>218</v>
      </c>
      <c r="DL3" s="26" t="s">
        <v>1172</v>
      </c>
      <c r="DM3" s="26" t="s">
        <v>234</v>
      </c>
      <c r="DN3" s="26" t="s">
        <v>1171</v>
      </c>
      <c r="DO3" s="26" t="s">
        <v>552</v>
      </c>
      <c r="DP3" s="26" t="s">
        <v>218</v>
      </c>
      <c r="DQ3" s="26" t="s">
        <v>1172</v>
      </c>
      <c r="DR3" s="26" t="s">
        <v>234</v>
      </c>
      <c r="DS3" s="26" t="s">
        <v>1173</v>
      </c>
      <c r="DT3" s="26" t="s">
        <v>552</v>
      </c>
      <c r="DU3" s="26" t="s">
        <v>218</v>
      </c>
      <c r="DV3" s="26" t="s">
        <v>1172</v>
      </c>
      <c r="DW3" s="26" t="s">
        <v>212</v>
      </c>
      <c r="ED3" s="26" t="s">
        <v>212</v>
      </c>
      <c r="EE3" s="26" t="s">
        <v>212</v>
      </c>
      <c r="EF3" s="26" t="s">
        <v>212</v>
      </c>
      <c r="EG3" s="26" t="s">
        <v>12</v>
      </c>
      <c r="EH3" s="26" t="s">
        <v>236</v>
      </c>
      <c r="EI3" s="27" t="s">
        <v>1174</v>
      </c>
      <c r="EJ3" s="26" t="s">
        <v>12</v>
      </c>
      <c r="EK3" s="26" t="s">
        <v>182</v>
      </c>
      <c r="EL3" s="26" t="s">
        <v>248</v>
      </c>
      <c r="EM3" s="26" t="s">
        <v>248</v>
      </c>
      <c r="EN3" s="26" t="s">
        <v>249</v>
      </c>
      <c r="EO3" s="26" t="s">
        <v>250</v>
      </c>
      <c r="EP3" s="26" t="s">
        <v>251</v>
      </c>
      <c r="EQ3" s="26" t="s">
        <v>251</v>
      </c>
      <c r="ER3" s="26" t="s">
        <v>252</v>
      </c>
      <c r="ES3" s="26" t="s">
        <v>253</v>
      </c>
      <c r="ET3" s="26" t="s">
        <v>248</v>
      </c>
      <c r="EU3" s="26" t="s">
        <v>248</v>
      </c>
      <c r="EV3" s="26" t="s">
        <v>249</v>
      </c>
      <c r="EW3" s="26" t="s">
        <v>250</v>
      </c>
      <c r="EX3" s="26" t="s">
        <v>251</v>
      </c>
      <c r="EY3" s="26" t="s">
        <v>251</v>
      </c>
      <c r="EZ3" s="26" t="s">
        <v>252</v>
      </c>
      <c r="FA3" s="26" t="s">
        <v>253</v>
      </c>
      <c r="FB3" s="26" t="s">
        <v>254</v>
      </c>
      <c r="FC3" s="26" t="s">
        <v>255</v>
      </c>
      <c r="FD3" s="26" t="s">
        <v>256</v>
      </c>
      <c r="FE3" s="26" t="s">
        <v>250</v>
      </c>
      <c r="FF3" s="26" t="s">
        <v>251</v>
      </c>
      <c r="FG3" s="26" t="s">
        <v>251</v>
      </c>
      <c r="FH3" s="26" t="s">
        <v>252</v>
      </c>
      <c r="FI3" s="26" t="s">
        <v>253</v>
      </c>
      <c r="FJ3" s="26" t="s">
        <v>251</v>
      </c>
      <c r="FK3" s="26" t="s">
        <v>251</v>
      </c>
      <c r="FX3" s="28"/>
    </row>
  </sheetData>
  <mergeCells count="21">
    <mergeCell ref="CN1:CR1"/>
    <mergeCell ref="B1:V1"/>
    <mergeCell ref="W1:X1"/>
    <mergeCell ref="Y1:AB1"/>
    <mergeCell ref="AC1:AD1"/>
    <mergeCell ref="AE1:AQ1"/>
    <mergeCell ref="AR1:BC1"/>
    <mergeCell ref="BD1:BH1"/>
    <mergeCell ref="BI1:BQ1"/>
    <mergeCell ref="BR1:BW1"/>
    <mergeCell ref="BX1:CD1"/>
    <mergeCell ref="CE1:CL1"/>
    <mergeCell ref="DX1:EC1"/>
    <mergeCell ref="ED1:EF1"/>
    <mergeCell ref="EG1:EK1"/>
    <mergeCell ref="CS1:CW1"/>
    <mergeCell ref="CX1:DB1"/>
    <mergeCell ref="DC1:DG1"/>
    <mergeCell ref="DH1:DL1"/>
    <mergeCell ref="DM1:DQ1"/>
    <mergeCell ref="DR1:DV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"/>
  <sheetViews>
    <sheetView workbookViewId="0">
      <selection activeCell="C10" sqref="C10"/>
    </sheetView>
  </sheetViews>
  <sheetFormatPr defaultRowHeight="15" x14ac:dyDescent="0.25"/>
  <cols>
    <col min="1" max="1" width="7.5703125" bestFit="1" customWidth="1"/>
    <col min="2" max="2" width="15.28515625" bestFit="1" customWidth="1"/>
    <col min="3" max="3" width="22.7109375" bestFit="1" customWidth="1"/>
    <col min="4" max="4" width="19.42578125" bestFit="1" customWidth="1"/>
    <col min="5" max="5" width="9.5703125" bestFit="1" customWidth="1"/>
    <col min="6" max="6" width="6.140625" bestFit="1" customWidth="1"/>
    <col min="7" max="7" width="20.5703125" bestFit="1" customWidth="1"/>
    <col min="8" max="8" width="15.8554687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2.7109375" bestFit="1" customWidth="1"/>
    <col min="25" max="25" width="22.5703125" bestFit="1" customWidth="1"/>
    <col min="26" max="26" width="34.28515625" bestFit="1" customWidth="1"/>
    <col min="27" max="27" width="18.7109375" bestFit="1" customWidth="1"/>
    <col min="28" max="28" width="16.7109375" bestFit="1" customWidth="1"/>
    <col min="29" max="29" width="19.28515625" bestFit="1" customWidth="1"/>
    <col min="30" max="30" width="18.28515625" bestFit="1" customWidth="1"/>
    <col min="31" max="31" width="9.7109375" bestFit="1" customWidth="1"/>
    <col min="32" max="32" width="13.140625" bestFit="1" customWidth="1"/>
    <col min="33" max="33" width="10.28515625" bestFit="1" customWidth="1"/>
    <col min="34" max="34" width="20.42578125" bestFit="1" customWidth="1"/>
    <col min="35" max="35" width="15.5703125" bestFit="1" customWidth="1"/>
    <col min="36" max="36" width="22.7109375" bestFit="1" customWidth="1"/>
    <col min="37" max="37" width="24.140625" bestFit="1" customWidth="1"/>
    <col min="38" max="38" width="24.7109375" bestFit="1" customWidth="1"/>
    <col min="39" max="39" width="30.42578125" bestFit="1" customWidth="1"/>
    <col min="40" max="40" width="19.7109375" bestFit="1" customWidth="1"/>
    <col min="41" max="41" width="33" bestFit="1" customWidth="1"/>
    <col min="42" max="42" width="26.42578125" bestFit="1" customWidth="1"/>
    <col min="43" max="43" width="44.85546875" bestFit="1" customWidth="1"/>
    <col min="44" max="44" width="39.85546875" bestFit="1" customWidth="1"/>
    <col min="45" max="45" width="24.7109375" bestFit="1" customWidth="1"/>
    <col min="46" max="46" width="11" bestFit="1" customWidth="1"/>
    <col min="47" max="47" width="17.42578125" bestFit="1" customWidth="1"/>
    <col min="48" max="48" width="17" bestFit="1" customWidth="1"/>
    <col min="49" max="49" width="19.7109375" bestFit="1" customWidth="1"/>
    <col min="50" max="50" width="24.42578125" bestFit="1" customWidth="1"/>
    <col min="51" max="51" width="19.7109375" bestFit="1" customWidth="1"/>
    <col min="52" max="52" width="21.140625" bestFit="1" customWidth="1"/>
    <col min="53" max="53" width="12.7109375" bestFit="1" customWidth="1"/>
    <col min="54" max="54" width="16.42578125" bestFit="1" customWidth="1"/>
    <col min="55" max="55" width="19.140625" bestFit="1" customWidth="1"/>
    <col min="56" max="56" width="30.5703125" bestFit="1" customWidth="1"/>
    <col min="57" max="57" width="56.85546875" bestFit="1" customWidth="1"/>
    <col min="58" max="58" width="15.42578125" bestFit="1" customWidth="1"/>
    <col min="59" max="59" width="23.85546875" bestFit="1" customWidth="1"/>
    <col min="60" max="60" width="24.7109375" bestFit="1" customWidth="1"/>
    <col min="61" max="61" width="11.5703125" bestFit="1" customWidth="1"/>
    <col min="62" max="62" width="15.28515625" bestFit="1" customWidth="1"/>
    <col min="63" max="63" width="23.85546875" bestFit="1" customWidth="1"/>
    <col min="64" max="64" width="32.140625" bestFit="1" customWidth="1"/>
    <col min="65" max="65" width="18" bestFit="1" customWidth="1"/>
    <col min="66" max="66" width="15.5703125" bestFit="1" customWidth="1"/>
    <col min="67" max="67" width="12.42578125" bestFit="1" customWidth="1"/>
    <col min="68" max="68" width="22.28515625" bestFit="1" customWidth="1"/>
    <col min="69" max="69" width="27.42578125" bestFit="1" customWidth="1"/>
    <col min="70" max="70" width="42.7109375" bestFit="1" customWidth="1"/>
    <col min="71" max="71" width="23.85546875" bestFit="1" customWidth="1"/>
    <col min="72" max="72" width="39.5703125" bestFit="1" customWidth="1"/>
    <col min="73" max="73" width="38.28515625" bestFit="1" customWidth="1"/>
    <col min="74" max="74" width="17.5703125" bestFit="1" customWidth="1"/>
    <col min="75" max="75" width="21" bestFit="1" customWidth="1"/>
    <col min="76" max="76" width="26.28515625" bestFit="1" customWidth="1"/>
    <col min="77" max="77" width="25.85546875" bestFit="1" customWidth="1"/>
    <col min="78" max="79" width="26.85546875" bestFit="1" customWidth="1"/>
    <col min="80" max="80" width="26.42578125" bestFit="1" customWidth="1"/>
    <col min="81" max="81" width="20.5703125" bestFit="1" customWidth="1"/>
    <col min="82" max="82" width="23.42578125" bestFit="1" customWidth="1"/>
    <col min="83" max="83" width="10.140625" bestFit="1" customWidth="1"/>
    <col min="84" max="84" width="12" bestFit="1" customWidth="1"/>
    <col min="85" max="85" width="8" bestFit="1" customWidth="1"/>
    <col min="86" max="86" width="6.140625" bestFit="1" customWidth="1"/>
    <col min="87" max="87" width="31.42578125" bestFit="1" customWidth="1"/>
    <col min="88" max="88" width="26.28515625" bestFit="1" customWidth="1"/>
    <col min="89" max="89" width="23.42578125" bestFit="1" customWidth="1"/>
    <col min="90" max="90" width="47.5703125" bestFit="1" customWidth="1"/>
    <col min="91" max="91" width="15.140625" bestFit="1" customWidth="1"/>
    <col min="92" max="92" width="22.28515625" bestFit="1" customWidth="1"/>
    <col min="93" max="93" width="13.140625" bestFit="1" customWidth="1"/>
    <col min="94" max="94" width="18.5703125" bestFit="1" customWidth="1"/>
    <col min="95" max="95" width="22.28515625" bestFit="1" customWidth="1"/>
    <col min="100" max="100" width="18.5703125" bestFit="1" customWidth="1"/>
    <col min="101" max="101" width="20.140625" bestFit="1" customWidth="1"/>
    <col min="102" max="102" width="30" bestFit="1" customWidth="1"/>
    <col min="103" max="103" width="13.28515625" bestFit="1" customWidth="1"/>
    <col min="104" max="104" width="6.7109375" bestFit="1" customWidth="1"/>
    <col min="105" max="105" width="31.140625" bestFit="1" customWidth="1"/>
    <col min="109" max="109" width="24.85546875" bestFit="1" customWidth="1"/>
    <col min="110" max="110" width="22.85546875" bestFit="1" customWidth="1"/>
    <col min="111" max="111" width="14.7109375" bestFit="1" customWidth="1"/>
    <col min="112" max="112" width="20.28515625" bestFit="1" customWidth="1"/>
    <col min="113" max="113" width="31" bestFit="1" customWidth="1"/>
    <col min="114" max="114" width="28.85546875" bestFit="1" customWidth="1"/>
    <col min="115" max="115" width="20.7109375" bestFit="1" customWidth="1"/>
    <col min="116" max="116" width="26.85546875" bestFit="1" customWidth="1"/>
    <col min="117" max="117" width="24" bestFit="1" customWidth="1"/>
    <col min="118" max="118" width="22" bestFit="1" customWidth="1"/>
    <col min="119" max="119" width="13.85546875" bestFit="1" customWidth="1"/>
    <col min="120" max="120" width="19.42578125" bestFit="1" customWidth="1"/>
    <col min="121" max="121" width="30.140625" bestFit="1" customWidth="1"/>
    <col min="122" max="122" width="28" bestFit="1" customWidth="1"/>
    <col min="123" max="123" width="19.85546875" bestFit="1" customWidth="1"/>
    <col min="124" max="124" width="26.85546875" bestFit="1" customWidth="1"/>
    <col min="125" max="125" width="24.7109375" bestFit="1" customWidth="1"/>
    <col min="126" max="126" width="22.7109375" bestFit="1" customWidth="1"/>
    <col min="127" max="127" width="14.5703125" bestFit="1" customWidth="1"/>
    <col min="128" max="128" width="20.140625" bestFit="1" customWidth="1"/>
    <col min="129" max="129" width="30.85546875" bestFit="1" customWidth="1"/>
    <col min="130" max="130" width="28.7109375" bestFit="1" customWidth="1"/>
    <col min="131" max="131" width="20.5703125" bestFit="1" customWidth="1"/>
    <col min="132" max="132" width="26.85546875" bestFit="1" customWidth="1"/>
    <col min="133" max="133" width="26.7109375" bestFit="1" customWidth="1"/>
    <col min="134" max="134" width="24.5703125" bestFit="1" customWidth="1"/>
  </cols>
  <sheetData>
    <row r="1" spans="1:146" s="17" customFormat="1" ht="16.5" thickBot="1" x14ac:dyDescent="0.3">
      <c r="A1" s="1" t="s">
        <v>0</v>
      </c>
      <c r="B1" s="54" t="s">
        <v>1175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 t="s">
        <v>1176</v>
      </c>
      <c r="Y1" s="54"/>
      <c r="Z1" s="54" t="s">
        <v>1177</v>
      </c>
      <c r="AA1" s="54"/>
      <c r="AB1" s="54" t="s">
        <v>1178</v>
      </c>
      <c r="AC1" s="54"/>
      <c r="AD1" s="54"/>
      <c r="AE1" s="54"/>
      <c r="AF1" s="54"/>
      <c r="AG1" s="54"/>
      <c r="AH1" s="54"/>
      <c r="AI1" s="54"/>
      <c r="AJ1" s="54"/>
      <c r="AK1" s="54"/>
      <c r="AL1" s="2" t="s">
        <v>1179</v>
      </c>
      <c r="AM1" s="54" t="s">
        <v>1180</v>
      </c>
      <c r="AN1" s="54"/>
      <c r="AO1" s="54"/>
      <c r="AP1" s="54"/>
      <c r="AQ1" s="54"/>
      <c r="AR1" s="54"/>
      <c r="AS1" s="54"/>
      <c r="AT1" s="54" t="s">
        <v>1181</v>
      </c>
      <c r="AU1" s="54"/>
      <c r="AV1" s="54"/>
      <c r="AW1" s="54"/>
      <c r="AX1" s="54"/>
      <c r="AY1" s="54"/>
      <c r="AZ1" s="2"/>
      <c r="BA1" s="54" t="s">
        <v>1182</v>
      </c>
      <c r="BB1" s="54"/>
      <c r="BC1" s="54"/>
      <c r="BD1" s="54"/>
      <c r="BE1" s="54"/>
      <c r="BF1" s="54"/>
      <c r="BG1" s="54"/>
      <c r="BH1" s="54"/>
      <c r="BI1" s="54" t="s">
        <v>1183</v>
      </c>
      <c r="BJ1" s="54"/>
      <c r="BK1" s="54"/>
      <c r="BL1" s="54"/>
      <c r="BM1" s="54" t="s">
        <v>1184</v>
      </c>
      <c r="BN1" s="54"/>
      <c r="BO1" s="54"/>
      <c r="BP1" s="54" t="s">
        <v>1185</v>
      </c>
      <c r="BQ1" s="54"/>
      <c r="BR1" s="2" t="s">
        <v>1186</v>
      </c>
      <c r="BS1" s="54" t="s">
        <v>1187</v>
      </c>
      <c r="BT1" s="54"/>
      <c r="BU1" s="54"/>
      <c r="BV1" s="54"/>
      <c r="BW1" s="54" t="s">
        <v>1188</v>
      </c>
      <c r="BX1" s="54"/>
      <c r="BY1" s="54"/>
      <c r="BZ1" s="54"/>
      <c r="CA1" s="54" t="s">
        <v>1189</v>
      </c>
      <c r="CB1" s="54"/>
      <c r="CC1" s="54"/>
      <c r="CD1" s="54"/>
      <c r="CE1" s="54"/>
      <c r="CF1" s="54"/>
      <c r="CG1" s="54"/>
      <c r="CH1" s="54"/>
      <c r="CI1" s="54"/>
      <c r="CJ1" s="54" t="s">
        <v>1190</v>
      </c>
      <c r="CK1" s="54"/>
      <c r="CL1" s="54"/>
      <c r="CM1" s="54"/>
      <c r="CN1" s="54"/>
      <c r="CO1" s="54" t="s">
        <v>1191</v>
      </c>
      <c r="CP1" s="54"/>
      <c r="CQ1" s="54"/>
      <c r="CR1" s="54" t="s">
        <v>1192</v>
      </c>
      <c r="CS1" s="54"/>
      <c r="CT1" s="54"/>
      <c r="CU1" s="54"/>
      <c r="CV1" s="54" t="s">
        <v>12</v>
      </c>
      <c r="CW1" s="54"/>
      <c r="CX1" s="54"/>
      <c r="CY1" s="54"/>
      <c r="CZ1" s="54"/>
      <c r="DA1" s="54" t="s">
        <v>1193</v>
      </c>
      <c r="DB1" s="54"/>
      <c r="DC1" s="54"/>
      <c r="DD1" s="54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</row>
    <row r="2" spans="1:146" s="18" customFormat="1" ht="16.5" thickBot="1" x14ac:dyDescent="0.3">
      <c r="A2" s="3" t="s">
        <v>13</v>
      </c>
      <c r="B2" s="23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1194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5" t="s">
        <v>29</v>
      </c>
      <c r="S2" s="5" t="s">
        <v>30</v>
      </c>
      <c r="T2" s="5" t="s">
        <v>31</v>
      </c>
      <c r="U2" s="5" t="s">
        <v>32</v>
      </c>
      <c r="V2" s="5" t="s">
        <v>33</v>
      </c>
      <c r="W2" s="5" t="s">
        <v>34</v>
      </c>
      <c r="X2" s="5" t="s">
        <v>279</v>
      </c>
      <c r="Y2" s="5" t="s">
        <v>1195</v>
      </c>
      <c r="Z2" s="5" t="s">
        <v>1196</v>
      </c>
      <c r="AA2" s="5" t="s">
        <v>1049</v>
      </c>
      <c r="AB2" s="5" t="s">
        <v>35</v>
      </c>
      <c r="AC2" s="5" t="s">
        <v>36</v>
      </c>
      <c r="AD2" s="5" t="s">
        <v>37</v>
      </c>
      <c r="AE2" s="5" t="s">
        <v>38</v>
      </c>
      <c r="AF2" s="5" t="s">
        <v>39</v>
      </c>
      <c r="AG2" s="5" t="s">
        <v>40</v>
      </c>
      <c r="AH2" s="5" t="s">
        <v>52</v>
      </c>
      <c r="AI2" s="5" t="s">
        <v>43</v>
      </c>
      <c r="AJ2" s="5" t="s">
        <v>51</v>
      </c>
      <c r="AK2" s="5" t="s">
        <v>48</v>
      </c>
      <c r="AL2" s="5" t="s">
        <v>54</v>
      </c>
      <c r="AM2" s="5" t="s">
        <v>58</v>
      </c>
      <c r="AN2" s="5" t="s">
        <v>59</v>
      </c>
      <c r="AO2" s="5" t="s">
        <v>62</v>
      </c>
      <c r="AP2" s="5" t="s">
        <v>63</v>
      </c>
      <c r="AQ2" s="5" t="s">
        <v>64</v>
      </c>
      <c r="AR2" s="5" t="s">
        <v>65</v>
      </c>
      <c r="AS2" s="5" t="s">
        <v>66</v>
      </c>
      <c r="AT2" s="5" t="s">
        <v>70</v>
      </c>
      <c r="AU2" s="5" t="s">
        <v>71</v>
      </c>
      <c r="AV2" s="5" t="s">
        <v>72</v>
      </c>
      <c r="AW2" s="5" t="s">
        <v>75</v>
      </c>
      <c r="AX2" s="5" t="s">
        <v>76</v>
      </c>
      <c r="AY2" s="5" t="s">
        <v>73</v>
      </c>
      <c r="AZ2" s="5" t="s">
        <v>77</v>
      </c>
      <c r="BA2" s="5" t="s">
        <v>83</v>
      </c>
      <c r="BB2" s="5" t="s">
        <v>1197</v>
      </c>
      <c r="BC2" s="5" t="s">
        <v>1198</v>
      </c>
      <c r="BD2" s="5" t="s">
        <v>89</v>
      </c>
      <c r="BE2" s="5" t="s">
        <v>94</v>
      </c>
      <c r="BF2" s="5" t="s">
        <v>84</v>
      </c>
      <c r="BG2" s="5" t="s">
        <v>90</v>
      </c>
      <c r="BH2" s="5" t="s">
        <v>88</v>
      </c>
      <c r="BI2" s="5" t="s">
        <v>96</v>
      </c>
      <c r="BJ2" s="5" t="s">
        <v>97</v>
      </c>
      <c r="BK2" s="5" t="s">
        <v>98</v>
      </c>
      <c r="BL2" s="5" t="s">
        <v>93</v>
      </c>
      <c r="BM2" s="5" t="s">
        <v>102</v>
      </c>
      <c r="BN2" s="5" t="s">
        <v>103</v>
      </c>
      <c r="BO2" s="5" t="s">
        <v>1199</v>
      </c>
      <c r="BP2" s="5" t="s">
        <v>1200</v>
      </c>
      <c r="BQ2" s="5" t="s">
        <v>1201</v>
      </c>
      <c r="BR2" s="5" t="s">
        <v>155</v>
      </c>
      <c r="BS2" s="5" t="s">
        <v>156</v>
      </c>
      <c r="BT2" s="5" t="s">
        <v>158</v>
      </c>
      <c r="BU2" s="5" t="s">
        <v>1202</v>
      </c>
      <c r="BV2" s="5" t="s">
        <v>159</v>
      </c>
      <c r="BW2" s="5" t="s">
        <v>160</v>
      </c>
      <c r="BX2" s="5" t="s">
        <v>161</v>
      </c>
      <c r="BY2" s="5" t="s">
        <v>162</v>
      </c>
      <c r="BZ2" s="5" t="s">
        <v>163</v>
      </c>
      <c r="CA2" s="5" t="s">
        <v>1203</v>
      </c>
      <c r="CB2" s="5" t="s">
        <v>1204</v>
      </c>
      <c r="CC2" s="5" t="s">
        <v>1205</v>
      </c>
      <c r="CD2" s="5" t="s">
        <v>1206</v>
      </c>
      <c r="CE2" s="5" t="s">
        <v>1207</v>
      </c>
      <c r="CF2" s="5" t="s">
        <v>1208</v>
      </c>
      <c r="CG2" s="5" t="s">
        <v>1209</v>
      </c>
      <c r="CH2" s="5" t="s">
        <v>1210</v>
      </c>
      <c r="CI2" s="5" t="s">
        <v>1211</v>
      </c>
      <c r="CJ2" s="5" t="s">
        <v>1062</v>
      </c>
      <c r="CK2" s="5" t="s">
        <v>1063</v>
      </c>
      <c r="CL2" s="5" t="s">
        <v>1064</v>
      </c>
      <c r="CM2" s="5" t="s">
        <v>1065</v>
      </c>
      <c r="CN2" s="5" t="s">
        <v>1066</v>
      </c>
      <c r="CO2" s="5" t="s">
        <v>1110</v>
      </c>
      <c r="CP2" s="5" t="s">
        <v>1212</v>
      </c>
      <c r="CQ2" s="5" t="s">
        <v>1213</v>
      </c>
      <c r="CR2" s="5"/>
      <c r="CS2" s="5"/>
      <c r="CT2" s="5"/>
      <c r="CU2" s="5"/>
      <c r="CV2" s="5" t="s">
        <v>178</v>
      </c>
      <c r="CW2" s="5" t="s">
        <v>179</v>
      </c>
      <c r="CX2" s="5" t="s">
        <v>180</v>
      </c>
      <c r="CY2" s="5" t="s">
        <v>181</v>
      </c>
      <c r="CZ2" s="5" t="s">
        <v>182</v>
      </c>
      <c r="DA2" s="5" t="s">
        <v>110</v>
      </c>
      <c r="DB2" s="5"/>
      <c r="DC2" s="5"/>
      <c r="DD2" s="5"/>
      <c r="DE2" s="5" t="s">
        <v>183</v>
      </c>
      <c r="DF2" s="5" t="s">
        <v>184</v>
      </c>
      <c r="DG2" s="5" t="s">
        <v>185</v>
      </c>
      <c r="DH2" s="5" t="s">
        <v>186</v>
      </c>
      <c r="DI2" s="5" t="s">
        <v>187</v>
      </c>
      <c r="DJ2" s="5" t="s">
        <v>188</v>
      </c>
      <c r="DK2" s="5" t="s">
        <v>189</v>
      </c>
      <c r="DL2" s="5" t="s">
        <v>190</v>
      </c>
      <c r="DM2" s="5" t="s">
        <v>191</v>
      </c>
      <c r="DN2" s="5" t="s">
        <v>192</v>
      </c>
      <c r="DO2" s="5" t="s">
        <v>193</v>
      </c>
      <c r="DP2" s="5" t="s">
        <v>194</v>
      </c>
      <c r="DQ2" s="5" t="s">
        <v>195</v>
      </c>
      <c r="DR2" s="5" t="s">
        <v>196</v>
      </c>
      <c r="DS2" s="5" t="s">
        <v>197</v>
      </c>
      <c r="DT2" s="5" t="s">
        <v>198</v>
      </c>
      <c r="DU2" s="5" t="s">
        <v>199</v>
      </c>
      <c r="DV2" s="5" t="s">
        <v>200</v>
      </c>
      <c r="DW2" s="5" t="s">
        <v>201</v>
      </c>
      <c r="DX2" s="5" t="s">
        <v>202</v>
      </c>
      <c r="DY2" s="5" t="s">
        <v>203</v>
      </c>
      <c r="DZ2" s="5" t="s">
        <v>204</v>
      </c>
      <c r="EA2" s="5" t="s">
        <v>205</v>
      </c>
      <c r="EB2" s="5" t="s">
        <v>206</v>
      </c>
      <c r="EC2" s="5" t="s">
        <v>207</v>
      </c>
      <c r="ED2" s="5" t="s">
        <v>208</v>
      </c>
    </row>
    <row r="3" spans="1:146" s="8" customFormat="1" ht="15.75" x14ac:dyDescent="0.25">
      <c r="A3" s="6" t="s">
        <v>979</v>
      </c>
      <c r="B3" s="7" t="str">
        <f t="shared" ref="B3" ca="1" si="0">TEXT(TODAY(), "mm/dd/yyyy")</f>
        <v>05/08/2023</v>
      </c>
      <c r="C3" s="8" t="s">
        <v>1214</v>
      </c>
      <c r="D3" s="8" t="s">
        <v>1215</v>
      </c>
      <c r="E3" s="8" t="s">
        <v>212</v>
      </c>
      <c r="F3" s="8" t="s">
        <v>981</v>
      </c>
      <c r="G3" s="8" t="s">
        <v>1216</v>
      </c>
      <c r="H3" s="8" t="s">
        <v>1217</v>
      </c>
      <c r="I3" s="8" t="s">
        <v>1218</v>
      </c>
      <c r="J3" s="8" t="s">
        <v>1219</v>
      </c>
      <c r="K3" s="8" t="s">
        <v>217</v>
      </c>
      <c r="L3" s="8" t="s">
        <v>455</v>
      </c>
      <c r="M3" s="8" t="s">
        <v>218</v>
      </c>
      <c r="N3" s="8" t="s">
        <v>212</v>
      </c>
      <c r="O3" s="8" t="s">
        <v>212</v>
      </c>
      <c r="P3" s="8" t="s">
        <v>218</v>
      </c>
      <c r="Q3" s="8" t="s">
        <v>1152</v>
      </c>
      <c r="R3" s="8" t="s">
        <v>1220</v>
      </c>
      <c r="S3" s="8" t="s">
        <v>221</v>
      </c>
      <c r="T3" s="8" t="s">
        <v>222</v>
      </c>
      <c r="U3" s="8" t="s">
        <v>212</v>
      </c>
      <c r="V3" s="8" t="s">
        <v>455</v>
      </c>
      <c r="W3" s="8" t="s">
        <v>455</v>
      </c>
      <c r="X3" s="8" t="s">
        <v>453</v>
      </c>
      <c r="Y3" s="8" t="s">
        <v>1221</v>
      </c>
      <c r="Z3" s="8" t="s">
        <v>1157</v>
      </c>
      <c r="AA3" s="8" t="s">
        <v>230</v>
      </c>
      <c r="AB3" s="8" t="s">
        <v>211</v>
      </c>
      <c r="AC3" s="8" t="s">
        <v>1158</v>
      </c>
      <c r="AE3" s="8" t="s">
        <v>1222</v>
      </c>
      <c r="AF3" s="8" t="s">
        <v>470</v>
      </c>
      <c r="AG3" s="8" t="s">
        <v>470</v>
      </c>
      <c r="AK3" s="8" t="s">
        <v>1223</v>
      </c>
      <c r="AL3" s="8" t="s">
        <v>1224</v>
      </c>
      <c r="AM3" s="8" t="s">
        <v>218</v>
      </c>
      <c r="AN3" s="8" t="s">
        <v>212</v>
      </c>
      <c r="AO3" s="8" t="s">
        <v>212</v>
      </c>
      <c r="AP3" s="8" t="s">
        <v>212</v>
      </c>
      <c r="AQ3" s="8" t="s">
        <v>212</v>
      </c>
      <c r="AR3" s="8" t="s">
        <v>1225</v>
      </c>
      <c r="AS3" s="8" t="s">
        <v>1222</v>
      </c>
      <c r="AT3" s="8" t="s">
        <v>264</v>
      </c>
      <c r="AU3" s="8" t="s">
        <v>1226</v>
      </c>
      <c r="AV3" s="8" t="s">
        <v>1227</v>
      </c>
      <c r="AW3" s="8" t="s">
        <v>235</v>
      </c>
      <c r="AX3" s="8" t="s">
        <v>236</v>
      </c>
      <c r="AY3" s="8" t="s">
        <v>1228</v>
      </c>
      <c r="AZ3" s="8" t="s">
        <v>212</v>
      </c>
      <c r="BA3" s="8" t="s">
        <v>1229</v>
      </c>
      <c r="BD3" s="8" t="s">
        <v>218</v>
      </c>
      <c r="BE3" s="8" t="s">
        <v>1230</v>
      </c>
      <c r="BF3" s="8" t="s">
        <v>1231</v>
      </c>
      <c r="BG3" s="8" t="s">
        <v>1232</v>
      </c>
      <c r="BH3" s="8" t="s">
        <v>1233</v>
      </c>
      <c r="BI3" s="8" t="s">
        <v>218</v>
      </c>
      <c r="BJ3" s="8" t="s">
        <v>218</v>
      </c>
      <c r="BK3" s="8" t="s">
        <v>1234</v>
      </c>
      <c r="BL3" s="8" t="s">
        <v>240</v>
      </c>
      <c r="BM3" s="8" t="s">
        <v>212</v>
      </c>
      <c r="BN3" s="8" t="s">
        <v>218</v>
      </c>
      <c r="BP3" s="8" t="s">
        <v>212</v>
      </c>
      <c r="BQ3" s="8" t="s">
        <v>212</v>
      </c>
      <c r="BR3" s="8" t="s">
        <v>212</v>
      </c>
      <c r="BS3" s="8" t="s">
        <v>212</v>
      </c>
      <c r="BT3" s="8" t="s">
        <v>212</v>
      </c>
      <c r="BU3" s="8" t="s">
        <v>212</v>
      </c>
      <c r="BV3" s="8" t="s">
        <v>212</v>
      </c>
      <c r="BX3" s="8" t="s">
        <v>1235</v>
      </c>
      <c r="BY3" s="8" t="s">
        <v>1236</v>
      </c>
      <c r="BZ3" s="8" t="s">
        <v>1237</v>
      </c>
      <c r="CA3" s="8" t="s">
        <v>218</v>
      </c>
      <c r="CB3" s="8" t="s">
        <v>1238</v>
      </c>
      <c r="CC3" s="8" t="s">
        <v>218</v>
      </c>
      <c r="CD3" s="8" t="s">
        <v>212</v>
      </c>
      <c r="CE3" s="8" t="s">
        <v>212</v>
      </c>
      <c r="CF3" s="8" t="s">
        <v>212</v>
      </c>
      <c r="CG3" s="8" t="s">
        <v>212</v>
      </c>
      <c r="CH3" s="8" t="s">
        <v>212</v>
      </c>
      <c r="CI3" s="8" t="s">
        <v>212</v>
      </c>
      <c r="CJ3" s="8" t="s">
        <v>552</v>
      </c>
      <c r="CK3" s="8" t="s">
        <v>552</v>
      </c>
      <c r="CL3" s="8" t="s">
        <v>470</v>
      </c>
      <c r="CM3" s="8" t="s">
        <v>552</v>
      </c>
      <c r="CN3" s="8" t="s">
        <v>1239</v>
      </c>
      <c r="CO3" s="8" t="s">
        <v>234</v>
      </c>
      <c r="CP3" s="8" t="s">
        <v>1240</v>
      </c>
      <c r="CQ3" s="8" t="s">
        <v>552</v>
      </c>
      <c r="CV3" s="8" t="s">
        <v>12</v>
      </c>
      <c r="CW3" s="8" t="s">
        <v>236</v>
      </c>
      <c r="CX3" s="19" t="str">
        <f t="shared" ref="CX3" ca="1" si="1">TEXT((TODAY()+1), "mm/dd/yyyy")</f>
        <v>05/09/2023</v>
      </c>
      <c r="CY3" s="8" t="s">
        <v>12</v>
      </c>
      <c r="CZ3" s="8" t="s">
        <v>182</v>
      </c>
      <c r="DE3" s="8" t="s">
        <v>248</v>
      </c>
      <c r="DF3" s="8" t="s">
        <v>248</v>
      </c>
      <c r="DG3" s="8" t="s">
        <v>249</v>
      </c>
      <c r="DH3" s="8" t="s">
        <v>250</v>
      </c>
      <c r="DI3" s="8" t="s">
        <v>251</v>
      </c>
      <c r="DJ3" s="8" t="s">
        <v>251</v>
      </c>
      <c r="DK3" s="8" t="s">
        <v>252</v>
      </c>
      <c r="DL3" s="8" t="s">
        <v>253</v>
      </c>
      <c r="DM3" s="8" t="s">
        <v>248</v>
      </c>
      <c r="DN3" s="8" t="s">
        <v>248</v>
      </c>
      <c r="DO3" s="8" t="s">
        <v>249</v>
      </c>
      <c r="DP3" s="8" t="s">
        <v>250</v>
      </c>
      <c r="DQ3" s="8" t="s">
        <v>251</v>
      </c>
      <c r="DR3" s="8" t="s">
        <v>251</v>
      </c>
      <c r="DS3" s="8" t="s">
        <v>252</v>
      </c>
      <c r="DT3" s="8" t="s">
        <v>253</v>
      </c>
      <c r="DU3" s="8" t="s">
        <v>254</v>
      </c>
      <c r="DV3" s="8" t="s">
        <v>255</v>
      </c>
      <c r="DW3" s="8" t="s">
        <v>256</v>
      </c>
      <c r="DX3" s="8" t="s">
        <v>250</v>
      </c>
      <c r="DY3" s="8" t="s">
        <v>251</v>
      </c>
      <c r="DZ3" s="8" t="s">
        <v>251</v>
      </c>
      <c r="EA3" s="8" t="s">
        <v>252</v>
      </c>
      <c r="EB3" s="8" t="s">
        <v>253</v>
      </c>
      <c r="EC3" s="8" t="s">
        <v>251</v>
      </c>
      <c r="ED3" s="8" t="s">
        <v>251</v>
      </c>
      <c r="EP3" s="10"/>
    </row>
  </sheetData>
  <mergeCells count="18">
    <mergeCell ref="AT1:AY1"/>
    <mergeCell ref="B1:W1"/>
    <mergeCell ref="X1:Y1"/>
    <mergeCell ref="Z1:AA1"/>
    <mergeCell ref="AB1:AK1"/>
    <mergeCell ref="AM1:AS1"/>
    <mergeCell ref="DA1:DD1"/>
    <mergeCell ref="BA1:BH1"/>
    <mergeCell ref="BI1:BL1"/>
    <mergeCell ref="BM1:BO1"/>
    <mergeCell ref="BP1:BQ1"/>
    <mergeCell ref="BS1:BV1"/>
    <mergeCell ref="BW1:BZ1"/>
    <mergeCell ref="CA1:CI1"/>
    <mergeCell ref="CJ1:CN1"/>
    <mergeCell ref="CO1:CQ1"/>
    <mergeCell ref="CR1:CU1"/>
    <mergeCell ref="CV1:CZ1"/>
  </mergeCells>
  <conditionalFormatting sqref="F3">
    <cfRule type="duplicateValues" dxfId="2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"/>
  <sheetViews>
    <sheetView workbookViewId="0">
      <selection activeCell="H17" sqref="H17"/>
    </sheetView>
  </sheetViews>
  <sheetFormatPr defaultRowHeight="15" x14ac:dyDescent="0.25"/>
  <cols>
    <col min="1" max="1" width="8.28515625" bestFit="1" customWidth="1"/>
    <col min="2" max="2" width="15.28515625" bestFit="1" customWidth="1"/>
    <col min="3" max="3" width="22.7109375" bestFit="1" customWidth="1"/>
    <col min="4" max="4" width="15.5703125" bestFit="1" customWidth="1"/>
    <col min="5" max="5" width="9.5703125" bestFit="1" customWidth="1"/>
    <col min="6" max="6" width="6.140625" bestFit="1" customWidth="1"/>
    <col min="7" max="7" width="20.5703125" bestFit="1" customWidth="1"/>
    <col min="8" max="8" width="15.8554687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2.7109375" bestFit="1" customWidth="1"/>
    <col min="25" max="25" width="21" bestFit="1" customWidth="1"/>
    <col min="26" max="26" width="33.42578125" bestFit="1" customWidth="1"/>
    <col min="27" max="27" width="18.7109375" bestFit="1" customWidth="1"/>
    <col min="28" max="28" width="14.42578125" bestFit="1" customWidth="1"/>
    <col min="29" max="29" width="17.42578125" bestFit="1" customWidth="1"/>
    <col min="30" max="30" width="8.140625" bestFit="1" customWidth="1"/>
    <col min="31" max="31" width="22.140625" bestFit="1" customWidth="1"/>
    <col min="32" max="32" width="40.42578125" bestFit="1" customWidth="1"/>
    <col min="33" max="33" width="16.85546875" bestFit="1" customWidth="1"/>
    <col min="34" max="34" width="8" bestFit="1" customWidth="1"/>
    <col min="35" max="35" width="15.42578125" bestFit="1" customWidth="1"/>
    <col min="36" max="36" width="21.85546875" bestFit="1" customWidth="1"/>
    <col min="37" max="37" width="32.140625" bestFit="1" customWidth="1"/>
    <col min="38" max="38" width="22" bestFit="1" customWidth="1"/>
    <col min="39" max="39" width="23" bestFit="1" customWidth="1"/>
    <col min="40" max="40" width="22.28515625" bestFit="1" customWidth="1"/>
    <col min="41" max="41" width="11" bestFit="1" customWidth="1"/>
    <col min="42" max="42" width="29.85546875" bestFit="1" customWidth="1"/>
    <col min="43" max="43" width="19.7109375" bestFit="1" customWidth="1"/>
    <col min="44" max="44" width="18.5703125" bestFit="1" customWidth="1"/>
    <col min="45" max="45" width="20.140625" bestFit="1" customWidth="1"/>
    <col min="46" max="46" width="30" bestFit="1" customWidth="1"/>
    <col min="47" max="47" width="13.28515625" bestFit="1" customWidth="1"/>
    <col min="48" max="48" width="6.7109375" bestFit="1" customWidth="1"/>
    <col min="49" max="49" width="24.85546875" bestFit="1" customWidth="1"/>
    <col min="50" max="50" width="22.85546875" bestFit="1" customWidth="1"/>
    <col min="51" max="51" width="14.7109375" bestFit="1" customWidth="1"/>
    <col min="52" max="52" width="20.28515625" bestFit="1" customWidth="1"/>
    <col min="53" max="53" width="31" bestFit="1" customWidth="1"/>
    <col min="54" max="54" width="28.85546875" bestFit="1" customWidth="1"/>
    <col min="55" max="55" width="20.7109375" bestFit="1" customWidth="1"/>
    <col min="56" max="56" width="26.85546875" bestFit="1" customWidth="1"/>
    <col min="57" max="57" width="24" bestFit="1" customWidth="1"/>
    <col min="58" max="58" width="22" bestFit="1" customWidth="1"/>
    <col min="59" max="59" width="13.85546875" bestFit="1" customWidth="1"/>
    <col min="60" max="60" width="19.42578125" bestFit="1" customWidth="1"/>
    <col min="61" max="61" width="30.140625" bestFit="1" customWidth="1"/>
    <col min="62" max="62" width="28" bestFit="1" customWidth="1"/>
    <col min="63" max="63" width="19.85546875" bestFit="1" customWidth="1"/>
    <col min="64" max="64" width="26.85546875" bestFit="1" customWidth="1"/>
    <col min="65" max="65" width="24.7109375" bestFit="1" customWidth="1"/>
    <col min="66" max="66" width="22.7109375" bestFit="1" customWidth="1"/>
    <col min="67" max="67" width="14.5703125" bestFit="1" customWidth="1"/>
    <col min="68" max="68" width="20.140625" bestFit="1" customWidth="1"/>
    <col min="69" max="69" width="30.85546875" bestFit="1" customWidth="1"/>
    <col min="70" max="70" width="28.7109375" bestFit="1" customWidth="1"/>
    <col min="71" max="71" width="20.5703125" bestFit="1" customWidth="1"/>
    <col min="72" max="72" width="26.85546875" bestFit="1" customWidth="1"/>
    <col min="73" max="73" width="26.7109375" bestFit="1" customWidth="1"/>
    <col min="74" max="74" width="24.5703125" bestFit="1" customWidth="1"/>
  </cols>
  <sheetData>
    <row r="1" spans="1:146" s="17" customFormat="1" ht="16.5" thickBot="1" x14ac:dyDescent="0.3">
      <c r="A1" s="1" t="s">
        <v>0</v>
      </c>
      <c r="B1" s="54" t="s">
        <v>1241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 t="s">
        <v>1242</v>
      </c>
      <c r="Y1" s="54"/>
      <c r="Z1" s="54" t="s">
        <v>1243</v>
      </c>
      <c r="AA1" s="54"/>
      <c r="AB1" s="54" t="s">
        <v>1244</v>
      </c>
      <c r="AC1" s="54"/>
      <c r="AD1" s="54"/>
      <c r="AE1" s="54" t="s">
        <v>1245</v>
      </c>
      <c r="AF1" s="54"/>
      <c r="AG1" s="54" t="s">
        <v>1246</v>
      </c>
      <c r="AH1" s="54"/>
      <c r="AI1" s="54"/>
      <c r="AJ1" s="54"/>
      <c r="AK1" s="54" t="s">
        <v>1247</v>
      </c>
      <c r="AL1" s="54"/>
      <c r="AM1" s="54"/>
      <c r="AN1" s="54" t="s">
        <v>1248</v>
      </c>
      <c r="AO1" s="54"/>
      <c r="AP1" s="54"/>
      <c r="AQ1" s="54"/>
      <c r="AR1" s="54" t="s">
        <v>12</v>
      </c>
      <c r="AS1" s="54"/>
      <c r="AT1" s="54"/>
      <c r="AU1" s="54"/>
      <c r="AV1" s="54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 spans="1:146" s="18" customFormat="1" ht="16.5" thickBot="1" x14ac:dyDescent="0.3">
      <c r="A2" s="3" t="s">
        <v>13</v>
      </c>
      <c r="B2" s="23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1194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5" t="s">
        <v>29</v>
      </c>
      <c r="S2" s="5" t="s">
        <v>30</v>
      </c>
      <c r="T2" s="5" t="s">
        <v>31</v>
      </c>
      <c r="U2" s="5" t="s">
        <v>32</v>
      </c>
      <c r="V2" s="5" t="s">
        <v>33</v>
      </c>
      <c r="W2" s="5" t="s">
        <v>34</v>
      </c>
      <c r="X2" s="5" t="s">
        <v>279</v>
      </c>
      <c r="Y2" s="5" t="s">
        <v>1195</v>
      </c>
      <c r="Z2" s="5" t="s">
        <v>1249</v>
      </c>
      <c r="AA2" s="5" t="s">
        <v>1049</v>
      </c>
      <c r="AB2" s="5" t="s">
        <v>626</v>
      </c>
      <c r="AC2" s="5" t="s">
        <v>627</v>
      </c>
      <c r="AD2" s="5" t="s">
        <v>500</v>
      </c>
      <c r="AE2" s="5" t="s">
        <v>1250</v>
      </c>
      <c r="AF2" s="5" t="s">
        <v>1251</v>
      </c>
      <c r="AG2" s="5" t="s">
        <v>651</v>
      </c>
      <c r="AH2" s="5" t="s">
        <v>5</v>
      </c>
      <c r="AI2" s="5" t="s">
        <v>652</v>
      </c>
      <c r="AJ2" s="5" t="s">
        <v>1252</v>
      </c>
      <c r="AK2" s="5" t="s">
        <v>1253</v>
      </c>
      <c r="AL2" s="5" t="s">
        <v>622</v>
      </c>
      <c r="AM2" s="5" t="s">
        <v>1254</v>
      </c>
      <c r="AN2" s="5" t="s">
        <v>668</v>
      </c>
      <c r="AO2" s="5" t="s">
        <v>669</v>
      </c>
      <c r="AP2" s="5" t="s">
        <v>673</v>
      </c>
      <c r="AQ2" s="5" t="s">
        <v>1255</v>
      </c>
      <c r="AR2" s="5" t="s">
        <v>178</v>
      </c>
      <c r="AS2" s="5" t="s">
        <v>179</v>
      </c>
      <c r="AT2" s="5" t="s">
        <v>180</v>
      </c>
      <c r="AU2" s="5" t="s">
        <v>181</v>
      </c>
      <c r="AV2" s="5" t="s">
        <v>182</v>
      </c>
      <c r="AW2" s="5" t="s">
        <v>183</v>
      </c>
      <c r="AX2" s="5" t="s">
        <v>184</v>
      </c>
      <c r="AY2" s="5" t="s">
        <v>185</v>
      </c>
      <c r="AZ2" s="5" t="s">
        <v>186</v>
      </c>
      <c r="BA2" s="5" t="s">
        <v>187</v>
      </c>
      <c r="BB2" s="5" t="s">
        <v>188</v>
      </c>
      <c r="BC2" s="5" t="s">
        <v>189</v>
      </c>
      <c r="BD2" s="5" t="s">
        <v>190</v>
      </c>
      <c r="BE2" s="5" t="s">
        <v>191</v>
      </c>
      <c r="BF2" s="5" t="s">
        <v>192</v>
      </c>
      <c r="BG2" s="5" t="s">
        <v>193</v>
      </c>
      <c r="BH2" s="5" t="s">
        <v>194</v>
      </c>
      <c r="BI2" s="5" t="s">
        <v>195</v>
      </c>
      <c r="BJ2" s="5" t="s">
        <v>196</v>
      </c>
      <c r="BK2" s="5" t="s">
        <v>197</v>
      </c>
      <c r="BL2" s="5" t="s">
        <v>198</v>
      </c>
      <c r="BM2" s="5" t="s">
        <v>199</v>
      </c>
      <c r="BN2" s="5" t="s">
        <v>200</v>
      </c>
      <c r="BO2" s="5" t="s">
        <v>201</v>
      </c>
      <c r="BP2" s="5" t="s">
        <v>202</v>
      </c>
      <c r="BQ2" s="5" t="s">
        <v>203</v>
      </c>
      <c r="BR2" s="5" t="s">
        <v>204</v>
      </c>
      <c r="BS2" s="5" t="s">
        <v>205</v>
      </c>
      <c r="BT2" s="5" t="s">
        <v>206</v>
      </c>
      <c r="BU2" s="5" t="s">
        <v>207</v>
      </c>
      <c r="BV2" s="5" t="s">
        <v>208</v>
      </c>
    </row>
    <row r="3" spans="1:146" s="26" customFormat="1" ht="15.75" x14ac:dyDescent="0.25">
      <c r="A3" s="24" t="s">
        <v>257</v>
      </c>
      <c r="B3" s="25" t="str">
        <f t="shared" ref="B3" ca="1" si="0">TEXT(TODAY(), "mm/dd/yyyy")</f>
        <v>05/08/2023</v>
      </c>
      <c r="C3" s="26" t="s">
        <v>1214</v>
      </c>
      <c r="D3" s="26" t="s">
        <v>980</v>
      </c>
      <c r="E3" s="26" t="s">
        <v>455</v>
      </c>
      <c r="F3" s="26" t="s">
        <v>258</v>
      </c>
      <c r="G3" s="26" t="s">
        <v>1256</v>
      </c>
      <c r="H3" s="26" t="s">
        <v>1257</v>
      </c>
      <c r="I3" s="26" t="s">
        <v>1258</v>
      </c>
      <c r="J3" s="26" t="s">
        <v>1219</v>
      </c>
      <c r="K3" s="26" t="s">
        <v>217</v>
      </c>
      <c r="L3" s="26" t="s">
        <v>455</v>
      </c>
      <c r="M3" s="26" t="s">
        <v>218</v>
      </c>
      <c r="N3" s="26" t="s">
        <v>212</v>
      </c>
      <c r="O3" s="26" t="s">
        <v>212</v>
      </c>
      <c r="P3" s="26" t="s">
        <v>218</v>
      </c>
      <c r="Q3" s="26" t="s">
        <v>1152</v>
      </c>
      <c r="R3" s="26" t="s">
        <v>1259</v>
      </c>
      <c r="S3" s="26" t="s">
        <v>221</v>
      </c>
      <c r="T3" s="26" t="s">
        <v>222</v>
      </c>
      <c r="U3" s="26" t="s">
        <v>212</v>
      </c>
      <c r="V3" s="26" t="s">
        <v>455</v>
      </c>
      <c r="W3" s="26" t="s">
        <v>455</v>
      </c>
      <c r="X3" s="26" t="s">
        <v>453</v>
      </c>
      <c r="Y3" s="26" t="s">
        <v>1260</v>
      </c>
      <c r="Z3" s="26" t="s">
        <v>1157</v>
      </c>
      <c r="AA3" s="26" t="s">
        <v>230</v>
      </c>
      <c r="AB3" s="26" t="s">
        <v>258</v>
      </c>
      <c r="AC3" s="26" t="s">
        <v>1261</v>
      </c>
      <c r="AD3" s="26" t="s">
        <v>457</v>
      </c>
      <c r="AE3" s="26" t="str">
        <f t="shared" ref="AE3" si="1">CONCATENATE(Q3, " ", R3)</f>
        <v>Automation ES Row 1</v>
      </c>
      <c r="AF3" s="26" t="str">
        <f t="shared" ref="AF3" si="2">CONCATENATE(G3, "  -   , ", H3, "  , ",F3,"  , ",I3)</f>
        <v>145 E 39th St  -   , New York  , NY  , 10016</v>
      </c>
      <c r="AG3" s="26" t="s">
        <v>212</v>
      </c>
      <c r="AH3" s="26" t="s">
        <v>559</v>
      </c>
      <c r="AI3" s="26" t="s">
        <v>211</v>
      </c>
      <c r="AJ3" s="26" t="s">
        <v>212</v>
      </c>
      <c r="AK3" s="26" t="s">
        <v>212</v>
      </c>
      <c r="AL3" s="26" t="s">
        <v>212</v>
      </c>
      <c r="AM3" s="26" t="s">
        <v>212</v>
      </c>
      <c r="AN3" s="26" t="s">
        <v>1001</v>
      </c>
      <c r="AO3" s="26" t="s">
        <v>1001</v>
      </c>
      <c r="AP3" s="26" t="s">
        <v>468</v>
      </c>
      <c r="AQ3" s="26" t="s">
        <v>1262</v>
      </c>
      <c r="AR3" s="26" t="s">
        <v>12</v>
      </c>
      <c r="AS3" s="26" t="s">
        <v>236</v>
      </c>
      <c r="AT3" s="27" t="str">
        <f t="shared" ref="AT3" ca="1" si="3">TEXT((TODAY()+1), "mm/dd/yyyy")</f>
        <v>05/09/2023</v>
      </c>
      <c r="AU3" s="26" t="s">
        <v>12</v>
      </c>
      <c r="AV3" s="26" t="s">
        <v>182</v>
      </c>
      <c r="AW3" s="26" t="s">
        <v>248</v>
      </c>
      <c r="AX3" s="26" t="s">
        <v>248</v>
      </c>
      <c r="AY3" s="26" t="s">
        <v>249</v>
      </c>
      <c r="AZ3" s="26" t="s">
        <v>250</v>
      </c>
      <c r="BA3" s="26" t="s">
        <v>251</v>
      </c>
      <c r="BB3" s="26" t="s">
        <v>251</v>
      </c>
      <c r="BC3" s="26" t="s">
        <v>252</v>
      </c>
      <c r="BD3" s="26" t="s">
        <v>253</v>
      </c>
      <c r="BE3" s="26" t="s">
        <v>248</v>
      </c>
      <c r="BF3" s="26" t="s">
        <v>248</v>
      </c>
      <c r="BG3" s="26" t="s">
        <v>249</v>
      </c>
      <c r="BH3" s="26" t="s">
        <v>250</v>
      </c>
      <c r="BI3" s="26" t="s">
        <v>251</v>
      </c>
      <c r="BJ3" s="26" t="s">
        <v>251</v>
      </c>
      <c r="BK3" s="26" t="s">
        <v>252</v>
      </c>
      <c r="BL3" s="26" t="s">
        <v>253</v>
      </c>
      <c r="BM3" s="26" t="s">
        <v>254</v>
      </c>
      <c r="BN3" s="26" t="s">
        <v>255</v>
      </c>
      <c r="BO3" s="26" t="s">
        <v>256</v>
      </c>
      <c r="BP3" s="26" t="s">
        <v>250</v>
      </c>
      <c r="BQ3" s="26" t="s">
        <v>251</v>
      </c>
      <c r="BR3" s="26" t="s">
        <v>251</v>
      </c>
      <c r="BS3" s="26" t="s">
        <v>252</v>
      </c>
      <c r="BT3" s="26" t="s">
        <v>253</v>
      </c>
      <c r="BU3" s="26" t="s">
        <v>251</v>
      </c>
      <c r="BV3" s="26" t="s">
        <v>251</v>
      </c>
      <c r="EP3" s="28"/>
    </row>
  </sheetData>
  <mergeCells count="9">
    <mergeCell ref="AK1:AM1"/>
    <mergeCell ref="AN1:AQ1"/>
    <mergeCell ref="AR1:AV1"/>
    <mergeCell ref="B1:W1"/>
    <mergeCell ref="X1:Y1"/>
    <mergeCell ref="Z1:AA1"/>
    <mergeCell ref="AB1:AD1"/>
    <mergeCell ref="AE1:AF1"/>
    <mergeCell ref="AG1:AJ1"/>
  </mergeCells>
  <conditionalFormatting sqref="F3">
    <cfRule type="duplicateValues" dxfId="1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3"/>
  <sheetViews>
    <sheetView workbookViewId="0">
      <selection activeCell="D13" sqref="D13"/>
    </sheetView>
  </sheetViews>
  <sheetFormatPr defaultRowHeight="15" x14ac:dyDescent="0.25"/>
  <cols>
    <col min="1" max="1" width="7.57031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0.5703125" bestFit="1" customWidth="1"/>
    <col min="8" max="8" width="15.8554687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2.7109375" bestFit="1" customWidth="1"/>
    <col min="25" max="25" width="22.5703125" bestFit="1" customWidth="1"/>
    <col min="26" max="26" width="34.28515625" bestFit="1" customWidth="1"/>
    <col min="27" max="27" width="18.7109375" bestFit="1" customWidth="1"/>
    <col min="28" max="28" width="16.7109375" bestFit="1" customWidth="1"/>
    <col min="29" max="29" width="19.28515625" bestFit="1" customWidth="1"/>
    <col min="30" max="30" width="18.28515625" bestFit="1" customWidth="1"/>
    <col min="31" max="31" width="9.7109375" bestFit="1" customWidth="1"/>
    <col min="32" max="32" width="13.140625" bestFit="1" customWidth="1"/>
    <col min="33" max="33" width="10.28515625" bestFit="1" customWidth="1"/>
    <col min="34" max="34" width="20.42578125" bestFit="1" customWidth="1"/>
    <col min="35" max="35" width="15.5703125" bestFit="1" customWidth="1"/>
    <col min="36" max="36" width="22.7109375" bestFit="1" customWidth="1"/>
    <col min="37" max="37" width="24.140625" bestFit="1" customWidth="1"/>
    <col min="38" max="38" width="24.7109375" bestFit="1" customWidth="1"/>
    <col min="39" max="39" width="30.42578125" bestFit="1" customWidth="1"/>
    <col min="40" max="40" width="19.7109375" bestFit="1" customWidth="1"/>
    <col min="41" max="41" width="33" bestFit="1" customWidth="1"/>
    <col min="42" max="42" width="26.42578125" bestFit="1" customWidth="1"/>
    <col min="43" max="43" width="44.85546875" bestFit="1" customWidth="1"/>
    <col min="44" max="44" width="39.85546875" bestFit="1" customWidth="1"/>
    <col min="45" max="45" width="24.7109375" bestFit="1" customWidth="1"/>
    <col min="46" max="46" width="11" bestFit="1" customWidth="1"/>
    <col min="47" max="47" width="17.42578125" bestFit="1" customWidth="1"/>
    <col min="48" max="48" width="17" bestFit="1" customWidth="1"/>
    <col min="49" max="49" width="19.7109375" bestFit="1" customWidth="1"/>
    <col min="50" max="50" width="24.42578125" bestFit="1" customWidth="1"/>
    <col min="51" max="51" width="19.7109375" bestFit="1" customWidth="1"/>
    <col min="52" max="52" width="21.140625" bestFit="1" customWidth="1"/>
    <col min="53" max="53" width="12.7109375" bestFit="1" customWidth="1"/>
    <col min="54" max="54" width="16.42578125" bestFit="1" customWidth="1"/>
    <col min="55" max="55" width="19.140625" bestFit="1" customWidth="1"/>
    <col min="56" max="56" width="30.5703125" bestFit="1" customWidth="1"/>
    <col min="57" max="57" width="56.85546875" bestFit="1" customWidth="1"/>
    <col min="58" max="58" width="15.42578125" bestFit="1" customWidth="1"/>
    <col min="59" max="59" width="23.85546875" bestFit="1" customWidth="1"/>
    <col min="60" max="60" width="24.7109375" bestFit="1" customWidth="1"/>
    <col min="61" max="61" width="11.5703125" bestFit="1" customWidth="1"/>
    <col min="62" max="62" width="15.28515625" bestFit="1" customWidth="1"/>
    <col min="63" max="63" width="23.85546875" bestFit="1" customWidth="1"/>
    <col min="64" max="64" width="32.140625" bestFit="1" customWidth="1"/>
    <col min="65" max="65" width="18" bestFit="1" customWidth="1"/>
    <col min="66" max="66" width="15.5703125" bestFit="1" customWidth="1"/>
    <col min="67" max="67" width="12.42578125" bestFit="1" customWidth="1"/>
    <col min="68" max="68" width="22.28515625" bestFit="1" customWidth="1"/>
    <col min="69" max="69" width="27.42578125" bestFit="1" customWidth="1"/>
    <col min="70" max="70" width="42.7109375" bestFit="1" customWidth="1"/>
    <col min="71" max="71" width="23.85546875" bestFit="1" customWidth="1"/>
    <col min="72" max="72" width="39.5703125" bestFit="1" customWidth="1"/>
    <col min="73" max="73" width="38.28515625" bestFit="1" customWidth="1"/>
    <col min="74" max="74" width="17.5703125" bestFit="1" customWidth="1"/>
    <col min="75" max="75" width="21" bestFit="1" customWidth="1"/>
    <col min="76" max="76" width="26.28515625" bestFit="1" customWidth="1"/>
    <col min="77" max="77" width="25.85546875" bestFit="1" customWidth="1"/>
    <col min="78" max="79" width="26.85546875" bestFit="1" customWidth="1"/>
    <col min="80" max="80" width="26.42578125" bestFit="1" customWidth="1"/>
    <col min="81" max="81" width="20.5703125" bestFit="1" customWidth="1"/>
    <col min="82" max="82" width="23.42578125" bestFit="1" customWidth="1"/>
    <col min="83" max="83" width="10.140625" bestFit="1" customWidth="1"/>
    <col min="84" max="84" width="12" bestFit="1" customWidth="1"/>
    <col min="85" max="85" width="8" bestFit="1" customWidth="1"/>
    <col min="86" max="86" width="6.140625" bestFit="1" customWidth="1"/>
    <col min="87" max="87" width="31.42578125" bestFit="1" customWidth="1"/>
    <col min="88" max="88" width="26.28515625" bestFit="1" customWidth="1"/>
    <col min="89" max="89" width="23.42578125" bestFit="1" customWidth="1"/>
    <col min="90" max="90" width="47.5703125" bestFit="1" customWidth="1"/>
    <col min="91" max="91" width="15.140625" bestFit="1" customWidth="1"/>
    <col min="92" max="92" width="22.28515625" bestFit="1" customWidth="1"/>
    <col min="93" max="93" width="13.140625" bestFit="1" customWidth="1"/>
    <col min="94" max="94" width="18.5703125" bestFit="1" customWidth="1"/>
    <col min="95" max="95" width="22.28515625" bestFit="1" customWidth="1"/>
    <col min="100" max="100" width="18.5703125" bestFit="1" customWidth="1"/>
    <col min="101" max="101" width="20.140625" bestFit="1" customWidth="1"/>
    <col min="102" max="102" width="30" bestFit="1" customWidth="1"/>
    <col min="103" max="103" width="13.28515625" bestFit="1" customWidth="1"/>
    <col min="104" max="104" width="6.7109375" bestFit="1" customWidth="1"/>
    <col min="105" max="105" width="31.140625" bestFit="1" customWidth="1"/>
    <col min="109" max="109" width="24.85546875" bestFit="1" customWidth="1"/>
    <col min="110" max="110" width="22.85546875" bestFit="1" customWidth="1"/>
    <col min="111" max="111" width="14.7109375" bestFit="1" customWidth="1"/>
    <col min="112" max="112" width="20.28515625" bestFit="1" customWidth="1"/>
    <col min="113" max="113" width="31" bestFit="1" customWidth="1"/>
    <col min="114" max="114" width="28.85546875" bestFit="1" customWidth="1"/>
    <col min="115" max="115" width="20.7109375" bestFit="1" customWidth="1"/>
    <col min="116" max="116" width="26.85546875" bestFit="1" customWidth="1"/>
    <col min="117" max="117" width="24" bestFit="1" customWidth="1"/>
    <col min="118" max="118" width="22" bestFit="1" customWidth="1"/>
    <col min="119" max="119" width="13.85546875" bestFit="1" customWidth="1"/>
    <col min="120" max="120" width="19.42578125" bestFit="1" customWidth="1"/>
    <col min="121" max="121" width="30.140625" bestFit="1" customWidth="1"/>
    <col min="122" max="122" width="28" bestFit="1" customWidth="1"/>
    <col min="123" max="123" width="19.85546875" bestFit="1" customWidth="1"/>
    <col min="124" max="124" width="26.85546875" bestFit="1" customWidth="1"/>
    <col min="125" max="125" width="24.7109375" bestFit="1" customWidth="1"/>
    <col min="126" max="126" width="22.7109375" bestFit="1" customWidth="1"/>
    <col min="127" max="127" width="14.5703125" bestFit="1" customWidth="1"/>
    <col min="128" max="128" width="20.140625" bestFit="1" customWidth="1"/>
    <col min="129" max="129" width="30.85546875" bestFit="1" customWidth="1"/>
    <col min="130" max="130" width="28.7109375" bestFit="1" customWidth="1"/>
    <col min="131" max="131" width="20.5703125" bestFit="1" customWidth="1"/>
    <col min="132" max="132" width="26.85546875" bestFit="1" customWidth="1"/>
    <col min="133" max="133" width="26.7109375" bestFit="1" customWidth="1"/>
    <col min="134" max="134" width="24.5703125" bestFit="1" customWidth="1"/>
  </cols>
  <sheetData>
    <row r="1" spans="1:146" s="53" customFormat="1" ht="16.5" thickBot="1" x14ac:dyDescent="0.3">
      <c r="A1" s="1" t="s">
        <v>0</v>
      </c>
      <c r="B1" s="54" t="s">
        <v>1372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 t="s">
        <v>1176</v>
      </c>
      <c r="Y1" s="54"/>
      <c r="Z1" s="54" t="s">
        <v>1177</v>
      </c>
      <c r="AA1" s="54"/>
      <c r="AB1" s="54" t="s">
        <v>1178</v>
      </c>
      <c r="AC1" s="54"/>
      <c r="AD1" s="54"/>
      <c r="AE1" s="54"/>
      <c r="AF1" s="54"/>
      <c r="AG1" s="54"/>
      <c r="AH1" s="54"/>
      <c r="AI1" s="54"/>
      <c r="AJ1" s="54"/>
      <c r="AK1" s="54"/>
      <c r="AL1" s="52" t="s">
        <v>1179</v>
      </c>
      <c r="AM1" s="54" t="s">
        <v>1180</v>
      </c>
      <c r="AN1" s="54"/>
      <c r="AO1" s="54"/>
      <c r="AP1" s="54"/>
      <c r="AQ1" s="54"/>
      <c r="AR1" s="54"/>
      <c r="AS1" s="54"/>
      <c r="AT1" s="54" t="s">
        <v>1181</v>
      </c>
      <c r="AU1" s="54"/>
      <c r="AV1" s="54"/>
      <c r="AW1" s="54"/>
      <c r="AX1" s="54"/>
      <c r="AY1" s="54"/>
      <c r="AZ1" s="52"/>
      <c r="BA1" s="54" t="s">
        <v>1182</v>
      </c>
      <c r="BB1" s="54"/>
      <c r="BC1" s="54"/>
      <c r="BD1" s="54"/>
      <c r="BE1" s="54"/>
      <c r="BF1" s="54"/>
      <c r="BG1" s="54"/>
      <c r="BH1" s="54"/>
      <c r="BI1" s="54" t="s">
        <v>1183</v>
      </c>
      <c r="BJ1" s="54"/>
      <c r="BK1" s="54"/>
      <c r="BL1" s="54"/>
      <c r="BM1" s="54" t="s">
        <v>1184</v>
      </c>
      <c r="BN1" s="54"/>
      <c r="BO1" s="54"/>
      <c r="BP1" s="54" t="s">
        <v>1185</v>
      </c>
      <c r="BQ1" s="54"/>
      <c r="BR1" s="52" t="s">
        <v>1186</v>
      </c>
      <c r="BS1" s="54" t="s">
        <v>1187</v>
      </c>
      <c r="BT1" s="54"/>
      <c r="BU1" s="54"/>
      <c r="BV1" s="54"/>
      <c r="BW1" s="54" t="s">
        <v>1188</v>
      </c>
      <c r="BX1" s="54"/>
      <c r="BY1" s="54"/>
      <c r="BZ1" s="54"/>
      <c r="CA1" s="54" t="s">
        <v>1189</v>
      </c>
      <c r="CB1" s="54"/>
      <c r="CC1" s="54"/>
      <c r="CD1" s="54"/>
      <c r="CE1" s="54"/>
      <c r="CF1" s="54"/>
      <c r="CG1" s="54"/>
      <c r="CH1" s="54"/>
      <c r="CI1" s="54"/>
      <c r="CJ1" s="54" t="s">
        <v>1190</v>
      </c>
      <c r="CK1" s="54"/>
      <c r="CL1" s="54"/>
      <c r="CM1" s="54"/>
      <c r="CN1" s="54"/>
      <c r="CO1" s="54" t="s">
        <v>1191</v>
      </c>
      <c r="CP1" s="54"/>
      <c r="CQ1" s="54"/>
      <c r="CR1" s="54" t="s">
        <v>1192</v>
      </c>
      <c r="CS1" s="54"/>
      <c r="CT1" s="54"/>
      <c r="CU1" s="54"/>
      <c r="CV1" s="54" t="s">
        <v>12</v>
      </c>
      <c r="CW1" s="54"/>
      <c r="CX1" s="54"/>
      <c r="CY1" s="54"/>
      <c r="CZ1" s="54"/>
      <c r="DA1" s="54" t="s">
        <v>1193</v>
      </c>
      <c r="DB1" s="54"/>
      <c r="DC1" s="54"/>
      <c r="DD1" s="54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</row>
    <row r="2" spans="1:146" s="18" customFormat="1" ht="16.5" thickBot="1" x14ac:dyDescent="0.3">
      <c r="A2" s="3" t="s">
        <v>13</v>
      </c>
      <c r="B2" s="23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1194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5" t="s">
        <v>29</v>
      </c>
      <c r="S2" s="5" t="s">
        <v>30</v>
      </c>
      <c r="T2" s="5" t="s">
        <v>31</v>
      </c>
      <c r="U2" s="5" t="s">
        <v>32</v>
      </c>
      <c r="V2" s="5" t="s">
        <v>33</v>
      </c>
      <c r="W2" s="5" t="s">
        <v>34</v>
      </c>
      <c r="X2" s="5" t="s">
        <v>279</v>
      </c>
      <c r="Y2" s="5" t="s">
        <v>1195</v>
      </c>
      <c r="Z2" s="5" t="s">
        <v>1196</v>
      </c>
      <c r="AA2" s="5" t="s">
        <v>1049</v>
      </c>
      <c r="AB2" s="5" t="s">
        <v>35</v>
      </c>
      <c r="AC2" s="5" t="s">
        <v>36</v>
      </c>
      <c r="AD2" s="5" t="s">
        <v>37</v>
      </c>
      <c r="AE2" s="5" t="s">
        <v>38</v>
      </c>
      <c r="AF2" s="5" t="s">
        <v>39</v>
      </c>
      <c r="AG2" s="5" t="s">
        <v>40</v>
      </c>
      <c r="AH2" s="5" t="s">
        <v>52</v>
      </c>
      <c r="AI2" s="5" t="s">
        <v>43</v>
      </c>
      <c r="AJ2" s="5" t="s">
        <v>51</v>
      </c>
      <c r="AK2" s="5" t="s">
        <v>48</v>
      </c>
      <c r="AL2" s="5" t="s">
        <v>54</v>
      </c>
      <c r="AM2" s="5" t="s">
        <v>58</v>
      </c>
      <c r="AN2" s="5" t="s">
        <v>59</v>
      </c>
      <c r="AO2" s="5" t="s">
        <v>62</v>
      </c>
      <c r="AP2" s="5" t="s">
        <v>63</v>
      </c>
      <c r="AQ2" s="5" t="s">
        <v>64</v>
      </c>
      <c r="AR2" s="5" t="s">
        <v>65</v>
      </c>
      <c r="AS2" s="5" t="s">
        <v>66</v>
      </c>
      <c r="AT2" s="5" t="s">
        <v>70</v>
      </c>
      <c r="AU2" s="5" t="s">
        <v>71</v>
      </c>
      <c r="AV2" s="5" t="s">
        <v>72</v>
      </c>
      <c r="AW2" s="5" t="s">
        <v>75</v>
      </c>
      <c r="AX2" s="5" t="s">
        <v>76</v>
      </c>
      <c r="AY2" s="5" t="s">
        <v>73</v>
      </c>
      <c r="AZ2" s="5" t="s">
        <v>77</v>
      </c>
      <c r="BA2" s="5" t="s">
        <v>83</v>
      </c>
      <c r="BB2" s="5" t="s">
        <v>1197</v>
      </c>
      <c r="BC2" s="5" t="s">
        <v>1198</v>
      </c>
      <c r="BD2" s="5" t="s">
        <v>89</v>
      </c>
      <c r="BE2" s="5" t="s">
        <v>94</v>
      </c>
      <c r="BF2" s="5" t="s">
        <v>84</v>
      </c>
      <c r="BG2" s="5" t="s">
        <v>90</v>
      </c>
      <c r="BH2" s="5" t="s">
        <v>88</v>
      </c>
      <c r="BI2" s="5" t="s">
        <v>96</v>
      </c>
      <c r="BJ2" s="5" t="s">
        <v>97</v>
      </c>
      <c r="BK2" s="5" t="s">
        <v>98</v>
      </c>
      <c r="BL2" s="5" t="s">
        <v>93</v>
      </c>
      <c r="BM2" s="5" t="s">
        <v>102</v>
      </c>
      <c r="BN2" s="5" t="s">
        <v>103</v>
      </c>
      <c r="BO2" s="5" t="s">
        <v>1199</v>
      </c>
      <c r="BP2" s="5" t="s">
        <v>1200</v>
      </c>
      <c r="BQ2" s="5" t="s">
        <v>1201</v>
      </c>
      <c r="BR2" s="5" t="s">
        <v>155</v>
      </c>
      <c r="BS2" s="5" t="s">
        <v>156</v>
      </c>
      <c r="BT2" s="5" t="s">
        <v>158</v>
      </c>
      <c r="BU2" s="5" t="s">
        <v>1202</v>
      </c>
      <c r="BV2" s="5" t="s">
        <v>159</v>
      </c>
      <c r="BW2" s="5" t="s">
        <v>160</v>
      </c>
      <c r="BX2" s="5" t="s">
        <v>161</v>
      </c>
      <c r="BY2" s="5" t="s">
        <v>162</v>
      </c>
      <c r="BZ2" s="5" t="s">
        <v>163</v>
      </c>
      <c r="CA2" s="5" t="s">
        <v>1203</v>
      </c>
      <c r="CB2" s="5" t="s">
        <v>1204</v>
      </c>
      <c r="CC2" s="5" t="s">
        <v>1205</v>
      </c>
      <c r="CD2" s="5" t="s">
        <v>1206</v>
      </c>
      <c r="CE2" s="5" t="s">
        <v>1207</v>
      </c>
      <c r="CF2" s="5" t="s">
        <v>1208</v>
      </c>
      <c r="CG2" s="5" t="s">
        <v>1209</v>
      </c>
      <c r="CH2" s="5" t="s">
        <v>1210</v>
      </c>
      <c r="CI2" s="5" t="s">
        <v>1211</v>
      </c>
      <c r="CJ2" s="5" t="s">
        <v>1062</v>
      </c>
      <c r="CK2" s="5" t="s">
        <v>1063</v>
      </c>
      <c r="CL2" s="5" t="s">
        <v>1064</v>
      </c>
      <c r="CM2" s="5" t="s">
        <v>1065</v>
      </c>
      <c r="CN2" s="5" t="s">
        <v>1066</v>
      </c>
      <c r="CO2" s="5" t="s">
        <v>1110</v>
      </c>
      <c r="CP2" s="5" t="s">
        <v>1212</v>
      </c>
      <c r="CQ2" s="5" t="s">
        <v>1213</v>
      </c>
      <c r="CR2" s="5"/>
      <c r="CS2" s="5"/>
      <c r="CT2" s="5"/>
      <c r="CU2" s="5"/>
      <c r="CV2" s="5" t="s">
        <v>178</v>
      </c>
      <c r="CW2" s="5" t="s">
        <v>179</v>
      </c>
      <c r="CX2" s="5" t="s">
        <v>180</v>
      </c>
      <c r="CY2" s="5" t="s">
        <v>181</v>
      </c>
      <c r="CZ2" s="5" t="s">
        <v>182</v>
      </c>
      <c r="DA2" s="5" t="s">
        <v>110</v>
      </c>
      <c r="DB2" s="5"/>
      <c r="DC2" s="5"/>
      <c r="DD2" s="5"/>
      <c r="DE2" s="5" t="s">
        <v>183</v>
      </c>
      <c r="DF2" s="5" t="s">
        <v>184</v>
      </c>
      <c r="DG2" s="5" t="s">
        <v>185</v>
      </c>
      <c r="DH2" s="5" t="s">
        <v>186</v>
      </c>
      <c r="DI2" s="5" t="s">
        <v>187</v>
      </c>
      <c r="DJ2" s="5" t="s">
        <v>188</v>
      </c>
      <c r="DK2" s="5" t="s">
        <v>189</v>
      </c>
      <c r="DL2" s="5" t="s">
        <v>190</v>
      </c>
      <c r="DM2" s="5" t="s">
        <v>191</v>
      </c>
      <c r="DN2" s="5" t="s">
        <v>192</v>
      </c>
      <c r="DO2" s="5" t="s">
        <v>193</v>
      </c>
      <c r="DP2" s="5" t="s">
        <v>194</v>
      </c>
      <c r="DQ2" s="5" t="s">
        <v>195</v>
      </c>
      <c r="DR2" s="5" t="s">
        <v>196</v>
      </c>
      <c r="DS2" s="5" t="s">
        <v>197</v>
      </c>
      <c r="DT2" s="5" t="s">
        <v>198</v>
      </c>
      <c r="DU2" s="5" t="s">
        <v>199</v>
      </c>
      <c r="DV2" s="5" t="s">
        <v>200</v>
      </c>
      <c r="DW2" s="5" t="s">
        <v>201</v>
      </c>
      <c r="DX2" s="5" t="s">
        <v>202</v>
      </c>
      <c r="DY2" s="5" t="s">
        <v>203</v>
      </c>
      <c r="DZ2" s="5" t="s">
        <v>204</v>
      </c>
      <c r="EA2" s="5" t="s">
        <v>205</v>
      </c>
      <c r="EB2" s="5" t="s">
        <v>206</v>
      </c>
      <c r="EC2" s="5" t="s">
        <v>207</v>
      </c>
      <c r="ED2" s="5" t="s">
        <v>208</v>
      </c>
    </row>
    <row r="3" spans="1:146" s="8" customFormat="1" ht="15.75" x14ac:dyDescent="0.25">
      <c r="A3" s="6" t="s">
        <v>979</v>
      </c>
      <c r="B3" s="7" t="str">
        <f t="shared" ref="B3" ca="1" si="0">TEXT(TODAY(), "mm/dd/yyyy")</f>
        <v>05/08/2023</v>
      </c>
      <c r="C3" s="8" t="s">
        <v>1214</v>
      </c>
      <c r="D3" s="8" t="s">
        <v>1371</v>
      </c>
      <c r="E3" s="8" t="s">
        <v>212</v>
      </c>
      <c r="F3" s="8" t="s">
        <v>981</v>
      </c>
      <c r="G3" s="8" t="s">
        <v>1216</v>
      </c>
      <c r="H3" s="8" t="s">
        <v>1217</v>
      </c>
      <c r="I3" s="8" t="s">
        <v>1218</v>
      </c>
      <c r="J3" s="8" t="s">
        <v>1219</v>
      </c>
      <c r="K3" s="8" t="s">
        <v>217</v>
      </c>
      <c r="L3" s="8" t="s">
        <v>455</v>
      </c>
      <c r="M3" s="8" t="s">
        <v>218</v>
      </c>
      <c r="N3" s="8" t="s">
        <v>212</v>
      </c>
      <c r="O3" s="8" t="s">
        <v>212</v>
      </c>
      <c r="P3" s="8" t="s">
        <v>218</v>
      </c>
      <c r="Q3" s="8" t="s">
        <v>1152</v>
      </c>
      <c r="R3" s="8" t="s">
        <v>1220</v>
      </c>
      <c r="S3" s="8" t="s">
        <v>221</v>
      </c>
      <c r="T3" s="8" t="s">
        <v>222</v>
      </c>
      <c r="U3" s="8" t="s">
        <v>212</v>
      </c>
      <c r="V3" s="8" t="s">
        <v>455</v>
      </c>
      <c r="W3" s="8" t="s">
        <v>455</v>
      </c>
      <c r="X3" s="8" t="s">
        <v>453</v>
      </c>
      <c r="Y3" s="8" t="s">
        <v>1221</v>
      </c>
      <c r="Z3" s="8" t="s">
        <v>1157</v>
      </c>
      <c r="AA3" s="8" t="s">
        <v>230</v>
      </c>
      <c r="AB3" s="8" t="s">
        <v>211</v>
      </c>
      <c r="AC3" s="8" t="s">
        <v>1158</v>
      </c>
      <c r="AE3" s="8" t="s">
        <v>1222</v>
      </c>
      <c r="AF3" s="8" t="s">
        <v>470</v>
      </c>
      <c r="AG3" s="8" t="s">
        <v>470</v>
      </c>
      <c r="AK3" s="8" t="s">
        <v>1223</v>
      </c>
      <c r="AL3" s="8" t="s">
        <v>1224</v>
      </c>
      <c r="AM3" s="8" t="s">
        <v>218</v>
      </c>
      <c r="AN3" s="8" t="s">
        <v>212</v>
      </c>
      <c r="AO3" s="8" t="s">
        <v>212</v>
      </c>
      <c r="AP3" s="8" t="s">
        <v>212</v>
      </c>
      <c r="AQ3" s="8" t="s">
        <v>212</v>
      </c>
      <c r="AR3" s="8" t="s">
        <v>1225</v>
      </c>
      <c r="AS3" s="8" t="s">
        <v>1222</v>
      </c>
      <c r="AT3" s="8" t="s">
        <v>264</v>
      </c>
      <c r="AU3" s="8" t="s">
        <v>1226</v>
      </c>
      <c r="AV3" s="8" t="s">
        <v>1227</v>
      </c>
      <c r="AW3" s="8" t="s">
        <v>235</v>
      </c>
      <c r="AX3" s="8" t="s">
        <v>236</v>
      </c>
      <c r="AY3" s="8" t="s">
        <v>1228</v>
      </c>
      <c r="AZ3" s="8" t="s">
        <v>212</v>
      </c>
      <c r="BA3" s="8" t="s">
        <v>1229</v>
      </c>
      <c r="BD3" s="8" t="s">
        <v>218</v>
      </c>
      <c r="BE3" s="8" t="s">
        <v>1230</v>
      </c>
      <c r="BF3" s="8" t="s">
        <v>1231</v>
      </c>
      <c r="BG3" s="8" t="s">
        <v>1232</v>
      </c>
      <c r="BH3" s="8" t="s">
        <v>1233</v>
      </c>
      <c r="BI3" s="8" t="s">
        <v>218</v>
      </c>
      <c r="BJ3" s="8" t="s">
        <v>218</v>
      </c>
      <c r="BK3" s="8" t="s">
        <v>1234</v>
      </c>
      <c r="BL3" s="8" t="s">
        <v>240</v>
      </c>
      <c r="BM3" s="8" t="s">
        <v>212</v>
      </c>
      <c r="BN3" s="8" t="s">
        <v>218</v>
      </c>
      <c r="BP3" s="8" t="s">
        <v>212</v>
      </c>
      <c r="BQ3" s="8" t="s">
        <v>212</v>
      </c>
      <c r="BR3" s="8" t="s">
        <v>212</v>
      </c>
      <c r="BS3" s="8" t="s">
        <v>212</v>
      </c>
      <c r="BT3" s="8" t="s">
        <v>212</v>
      </c>
      <c r="BU3" s="8" t="s">
        <v>212</v>
      </c>
      <c r="BV3" s="8" t="s">
        <v>212</v>
      </c>
      <c r="BX3" s="8" t="s">
        <v>1235</v>
      </c>
      <c r="BY3" s="8" t="s">
        <v>1236</v>
      </c>
      <c r="BZ3" s="8" t="s">
        <v>1237</v>
      </c>
      <c r="CA3" s="8" t="s">
        <v>218</v>
      </c>
      <c r="CB3" s="8" t="s">
        <v>1238</v>
      </c>
      <c r="CC3" s="8" t="s">
        <v>218</v>
      </c>
      <c r="CD3" s="8" t="s">
        <v>212</v>
      </c>
      <c r="CE3" s="8" t="s">
        <v>212</v>
      </c>
      <c r="CF3" s="8" t="s">
        <v>212</v>
      </c>
      <c r="CG3" s="8" t="s">
        <v>212</v>
      </c>
      <c r="CH3" s="8" t="s">
        <v>212</v>
      </c>
      <c r="CI3" s="8" t="s">
        <v>212</v>
      </c>
      <c r="CJ3" s="8" t="s">
        <v>552</v>
      </c>
      <c r="CK3" s="8" t="s">
        <v>552</v>
      </c>
      <c r="CL3" s="8" t="s">
        <v>470</v>
      </c>
      <c r="CM3" s="8" t="s">
        <v>552</v>
      </c>
      <c r="CN3" s="8" t="s">
        <v>1239</v>
      </c>
      <c r="CO3" s="8" t="s">
        <v>234</v>
      </c>
      <c r="CP3" s="8" t="s">
        <v>1240</v>
      </c>
      <c r="CQ3" s="8" t="s">
        <v>552</v>
      </c>
      <c r="CV3" s="8" t="s">
        <v>12</v>
      </c>
      <c r="CW3" s="8" t="s">
        <v>236</v>
      </c>
      <c r="CX3" s="19" t="str">
        <f t="shared" ref="CX3" ca="1" si="1">TEXT((TODAY()+1), "mm/dd/yyyy")</f>
        <v>05/09/2023</v>
      </c>
      <c r="CY3" s="8" t="s">
        <v>12</v>
      </c>
      <c r="CZ3" s="8" t="s">
        <v>182</v>
      </c>
      <c r="DE3" s="8" t="s">
        <v>248</v>
      </c>
      <c r="DF3" s="8" t="s">
        <v>248</v>
      </c>
      <c r="DG3" s="8" t="s">
        <v>249</v>
      </c>
      <c r="DH3" s="8" t="s">
        <v>250</v>
      </c>
      <c r="DI3" s="8" t="s">
        <v>251</v>
      </c>
      <c r="DJ3" s="8" t="s">
        <v>251</v>
      </c>
      <c r="DK3" s="8" t="s">
        <v>252</v>
      </c>
      <c r="DL3" s="8" t="s">
        <v>253</v>
      </c>
      <c r="DM3" s="8" t="s">
        <v>248</v>
      </c>
      <c r="DN3" s="8" t="s">
        <v>248</v>
      </c>
      <c r="DO3" s="8" t="s">
        <v>249</v>
      </c>
      <c r="DP3" s="8" t="s">
        <v>250</v>
      </c>
      <c r="DQ3" s="8" t="s">
        <v>251</v>
      </c>
      <c r="DR3" s="8" t="s">
        <v>251</v>
      </c>
      <c r="DS3" s="8" t="s">
        <v>252</v>
      </c>
      <c r="DT3" s="8" t="s">
        <v>253</v>
      </c>
      <c r="DU3" s="8" t="s">
        <v>254</v>
      </c>
      <c r="DV3" s="8" t="s">
        <v>255</v>
      </c>
      <c r="DW3" s="8" t="s">
        <v>256</v>
      </c>
      <c r="DX3" s="8" t="s">
        <v>250</v>
      </c>
      <c r="DY3" s="8" t="s">
        <v>251</v>
      </c>
      <c r="DZ3" s="8" t="s">
        <v>251</v>
      </c>
      <c r="EA3" s="8" t="s">
        <v>252</v>
      </c>
      <c r="EB3" s="8" t="s">
        <v>253</v>
      </c>
      <c r="EC3" s="8" t="s">
        <v>251</v>
      </c>
      <c r="ED3" s="8" t="s">
        <v>251</v>
      </c>
      <c r="EP3" s="10"/>
    </row>
  </sheetData>
  <mergeCells count="18">
    <mergeCell ref="AT1:AY1"/>
    <mergeCell ref="B1:W1"/>
    <mergeCell ref="X1:Y1"/>
    <mergeCell ref="Z1:AA1"/>
    <mergeCell ref="AB1:AK1"/>
    <mergeCell ref="AM1:AS1"/>
    <mergeCell ref="DA1:DD1"/>
    <mergeCell ref="BA1:BH1"/>
    <mergeCell ref="BI1:BL1"/>
    <mergeCell ref="BM1:BO1"/>
    <mergeCell ref="BP1:BQ1"/>
    <mergeCell ref="BS1:BV1"/>
    <mergeCell ref="BW1:BZ1"/>
    <mergeCell ref="CA1:CI1"/>
    <mergeCell ref="CJ1:CN1"/>
    <mergeCell ref="CO1:CQ1"/>
    <mergeCell ref="CR1:CU1"/>
    <mergeCell ref="CV1:CZ1"/>
  </mergeCells>
  <conditionalFormatting sqref="F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SmokeHO</vt:lpstr>
      <vt:lpstr>HO_AdditionalLocations</vt:lpstr>
      <vt:lpstr>SmokePA</vt:lpstr>
      <vt:lpstr>PA_AdditionalOperators</vt:lpstr>
      <vt:lpstr>PA_DriverIncidents</vt:lpstr>
      <vt:lpstr>PA_AdditionalVehicles</vt:lpstr>
      <vt:lpstr>SmokePW</vt:lpstr>
      <vt:lpstr>SmokeEX</vt:lpstr>
      <vt:lpstr>SmokeCO</vt:lpstr>
      <vt:lpstr>SmokeHS</vt:lpstr>
      <vt:lpstr>SmokeES</vt:lpstr>
      <vt:lpstr>SmokeCC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2023-05-08T17:45:24Z</dcterms:modified>
</cp:coreProperties>
</file>
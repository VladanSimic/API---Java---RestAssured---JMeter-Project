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inforceSheets/"/>
    </mc:Choice>
  </mc:AlternateContent>
  <xr:revisionPtr revIDLastSave="0" documentId="11_146EA4A0E0DF5FF8E1CC6395B09D7653D4368CA0" xr6:coauthVersionLast="47" xr6:coauthVersionMax="47" xr10:uidLastSave="{00000000-0000-0000-0000-000000000000}"/>
  <bookViews>
    <workbookView xWindow="-120" yWindow="-120" windowWidth="28800" windowHeight="14535" xr2:uid="{00000000-000D-0000-FFFF-FFFF00000000}"/>
  </bookViews>
  <sheets>
    <sheet name="Sample" sheetId="1" r:id="rId1"/>
    <sheet name="Sheet1" sheetId="4" state="hidden" r:id="rId2"/>
    <sheet name="Sheet3" sheetId="3" state="hidden" r:id="rId3"/>
  </sheets>
  <definedNames>
    <definedName name="_xlnm._FilterDatabase" localSheetId="0" hidden="1">Sample!$A$2:$Z$543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3" i="3" l="1"/>
  <c r="BG4" i="3" s="1"/>
  <c r="BG5" i="3" s="1"/>
  <c r="BG6" i="3" s="1"/>
  <c r="BG7" i="3" s="1"/>
  <c r="BG8" i="3" s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384" i="1"/>
  <c r="BM385" i="1"/>
  <c r="BM386" i="1"/>
  <c r="BM387" i="1"/>
  <c r="BM388" i="1"/>
  <c r="BM389" i="1"/>
  <c r="BM390" i="1"/>
  <c r="BM391" i="1"/>
  <c r="BM392" i="1"/>
  <c r="BM393" i="1"/>
  <c r="BM394" i="1"/>
  <c r="BM395" i="1"/>
  <c r="BM396" i="1"/>
  <c r="BM397" i="1"/>
  <c r="BM398" i="1"/>
  <c r="BM399" i="1"/>
  <c r="BM400" i="1"/>
  <c r="BM401" i="1"/>
  <c r="BM402" i="1"/>
  <c r="BM403" i="1"/>
  <c r="BM404" i="1"/>
  <c r="BM405" i="1"/>
  <c r="BM406" i="1"/>
  <c r="BM407" i="1"/>
  <c r="BM408" i="1"/>
  <c r="BM409" i="1"/>
  <c r="BM410" i="1"/>
  <c r="BM411" i="1"/>
  <c r="BM412" i="1"/>
  <c r="BM413" i="1"/>
  <c r="BM414" i="1"/>
  <c r="BM415" i="1"/>
  <c r="BM416" i="1"/>
  <c r="BM417" i="1"/>
  <c r="BM418" i="1"/>
  <c r="BM419" i="1"/>
  <c r="BM420" i="1"/>
  <c r="BM421" i="1"/>
  <c r="BM422" i="1"/>
  <c r="BM423" i="1"/>
  <c r="BM424" i="1"/>
  <c r="BM425" i="1"/>
  <c r="BM426" i="1"/>
  <c r="BM427" i="1"/>
  <c r="BM428" i="1"/>
  <c r="BM429" i="1"/>
  <c r="BM430" i="1"/>
  <c r="BM431" i="1"/>
  <c r="BM432" i="1"/>
  <c r="BM433" i="1"/>
  <c r="BM434" i="1"/>
  <c r="BM435" i="1"/>
  <c r="BM436" i="1"/>
  <c r="BM437" i="1"/>
  <c r="BM438" i="1"/>
  <c r="BM439" i="1"/>
  <c r="BM440" i="1"/>
  <c r="BM441" i="1"/>
  <c r="BM442" i="1"/>
  <c r="BM443" i="1"/>
  <c r="BM444" i="1"/>
  <c r="BM445" i="1"/>
  <c r="BM446" i="1"/>
  <c r="BM447" i="1"/>
  <c r="BM448" i="1"/>
  <c r="BM449" i="1"/>
  <c r="BM450" i="1"/>
  <c r="BM451" i="1"/>
  <c r="BM452" i="1"/>
  <c r="BM453" i="1"/>
  <c r="BM454" i="1"/>
  <c r="BM455" i="1"/>
  <c r="BM456" i="1"/>
  <c r="BM457" i="1"/>
  <c r="BM458" i="1"/>
  <c r="BM459" i="1"/>
  <c r="BM460" i="1"/>
  <c r="BM461" i="1"/>
  <c r="BM462" i="1"/>
  <c r="BM463" i="1"/>
  <c r="BM464" i="1"/>
  <c r="BM465" i="1"/>
  <c r="BM466" i="1"/>
  <c r="BM467" i="1"/>
  <c r="BM468" i="1"/>
  <c r="BM469" i="1"/>
  <c r="BM470" i="1"/>
  <c r="BM471" i="1"/>
  <c r="BM472" i="1"/>
  <c r="BM473" i="1"/>
  <c r="BM474" i="1"/>
  <c r="BM475" i="1"/>
  <c r="BM476" i="1"/>
  <c r="BM477" i="1"/>
  <c r="BM478" i="1"/>
  <c r="BM479" i="1"/>
  <c r="BM480" i="1"/>
  <c r="BM481" i="1"/>
  <c r="BM482" i="1"/>
  <c r="BM483" i="1"/>
  <c r="BM484" i="1"/>
  <c r="BM485" i="1"/>
  <c r="BM486" i="1"/>
  <c r="BM487" i="1"/>
  <c r="BM488" i="1"/>
  <c r="BM489" i="1"/>
  <c r="BM490" i="1"/>
  <c r="BM491" i="1"/>
  <c r="BM492" i="1"/>
  <c r="BM493" i="1"/>
  <c r="BM494" i="1"/>
  <c r="BM495" i="1"/>
  <c r="BM496" i="1"/>
  <c r="BM497" i="1"/>
  <c r="BM498" i="1"/>
  <c r="BM499" i="1"/>
  <c r="BM500" i="1"/>
  <c r="BM501" i="1"/>
  <c r="BM502" i="1"/>
  <c r="BM503" i="1"/>
  <c r="BM504" i="1"/>
  <c r="BM505" i="1"/>
  <c r="BM506" i="1"/>
  <c r="BM507" i="1"/>
  <c r="BM508" i="1"/>
  <c r="BM509" i="1"/>
  <c r="BM510" i="1"/>
  <c r="BM511" i="1"/>
  <c r="BM512" i="1"/>
  <c r="BM513" i="1"/>
  <c r="BM514" i="1"/>
  <c r="BM515" i="1"/>
  <c r="BM516" i="1"/>
  <c r="BM517" i="1"/>
  <c r="BM518" i="1"/>
  <c r="BM519" i="1"/>
  <c r="BM520" i="1"/>
  <c r="BM521" i="1"/>
  <c r="BM522" i="1"/>
  <c r="BM523" i="1"/>
  <c r="BM524" i="1"/>
  <c r="BM525" i="1"/>
  <c r="BM526" i="1"/>
  <c r="BM527" i="1"/>
  <c r="BM528" i="1"/>
  <c r="BM529" i="1"/>
  <c r="BM530" i="1"/>
  <c r="BM531" i="1"/>
  <c r="BM532" i="1"/>
  <c r="BM533" i="1"/>
  <c r="BM534" i="1"/>
  <c r="BM535" i="1"/>
  <c r="BM536" i="1"/>
  <c r="BM537" i="1"/>
  <c r="BM538" i="1"/>
  <c r="BM539" i="1"/>
  <c r="BM540" i="1"/>
  <c r="BM541" i="1"/>
  <c r="BM542" i="1"/>
  <c r="BM543" i="1"/>
  <c r="BM544" i="1"/>
  <c r="BM545" i="1"/>
  <c r="BM546" i="1"/>
  <c r="BM547" i="1"/>
  <c r="BM548" i="1"/>
  <c r="BM549" i="1"/>
  <c r="BM550" i="1"/>
  <c r="BM551" i="1"/>
  <c r="BM552" i="1"/>
  <c r="BM553" i="1"/>
  <c r="BM554" i="1"/>
  <c r="BM555" i="1"/>
  <c r="BM556" i="1"/>
  <c r="BM557" i="1"/>
  <c r="BM558" i="1"/>
  <c r="BM559" i="1"/>
  <c r="BM560" i="1"/>
  <c r="BM561" i="1"/>
  <c r="BM562" i="1"/>
  <c r="BM563" i="1"/>
  <c r="BM564" i="1"/>
  <c r="BM565" i="1"/>
  <c r="BM566" i="1"/>
  <c r="BM567" i="1"/>
  <c r="BM568" i="1"/>
  <c r="BM569" i="1"/>
  <c r="BM570" i="1"/>
  <c r="BM571" i="1"/>
  <c r="BM572" i="1"/>
  <c r="BM573" i="1"/>
  <c r="BM574" i="1"/>
  <c r="BM575" i="1"/>
  <c r="BM576" i="1"/>
  <c r="BM577" i="1"/>
  <c r="BM578" i="1"/>
  <c r="BM579" i="1"/>
  <c r="BM580" i="1"/>
  <c r="BM581" i="1"/>
  <c r="BM582" i="1"/>
  <c r="BM583" i="1"/>
  <c r="BM584" i="1"/>
  <c r="BM585" i="1"/>
  <c r="BM586" i="1"/>
  <c r="BM587" i="1"/>
  <c r="BM588" i="1"/>
  <c r="BM589" i="1"/>
  <c r="BM590" i="1"/>
  <c r="BM591" i="1"/>
  <c r="BM592" i="1"/>
  <c r="BM593" i="1"/>
  <c r="BM594" i="1"/>
  <c r="BM595" i="1"/>
  <c r="BM596" i="1"/>
  <c r="BM597" i="1"/>
  <c r="BM598" i="1"/>
  <c r="BM599" i="1"/>
  <c r="BM600" i="1"/>
  <c r="BM601" i="1"/>
  <c r="BM602" i="1"/>
  <c r="BM603" i="1"/>
  <c r="BM604" i="1"/>
  <c r="BM605" i="1"/>
  <c r="BM606" i="1"/>
  <c r="BM607" i="1"/>
  <c r="BM608" i="1"/>
  <c r="BM609" i="1"/>
  <c r="BM610" i="1"/>
  <c r="BM611" i="1"/>
  <c r="BM612" i="1"/>
  <c r="BM613" i="1"/>
  <c r="BM614" i="1"/>
  <c r="BM615" i="1"/>
  <c r="BM616" i="1"/>
  <c r="BM617" i="1"/>
  <c r="BM618" i="1"/>
  <c r="BM619" i="1"/>
  <c r="BM620" i="1"/>
  <c r="BM621" i="1"/>
  <c r="BM622" i="1"/>
  <c r="BM623" i="1"/>
  <c r="BM624" i="1"/>
  <c r="BM625" i="1"/>
  <c r="BM626" i="1"/>
  <c r="BM627" i="1"/>
  <c r="BM628" i="1"/>
  <c r="BM629" i="1"/>
  <c r="BM630" i="1"/>
  <c r="BM631" i="1"/>
  <c r="BM632" i="1"/>
  <c r="BM633" i="1"/>
  <c r="BM634" i="1"/>
  <c r="BM635" i="1"/>
  <c r="BM636" i="1"/>
  <c r="BM637" i="1"/>
  <c r="BM638" i="1"/>
  <c r="BM639" i="1"/>
  <c r="BM640" i="1"/>
  <c r="BM641" i="1"/>
  <c r="BM642" i="1"/>
  <c r="BM643" i="1"/>
  <c r="BM644" i="1"/>
  <c r="BM645" i="1"/>
  <c r="BM646" i="1"/>
  <c r="BM647" i="1"/>
  <c r="BM648" i="1"/>
  <c r="BM649" i="1"/>
  <c r="BM650" i="1"/>
  <c r="BM651" i="1"/>
  <c r="BM652" i="1"/>
  <c r="BM653" i="1"/>
  <c r="BM654" i="1"/>
  <c r="BM655" i="1"/>
  <c r="BM656" i="1"/>
  <c r="BM657" i="1"/>
  <c r="BM658" i="1"/>
  <c r="BM659" i="1"/>
  <c r="BM660" i="1"/>
  <c r="BM661" i="1"/>
  <c r="BM662" i="1"/>
  <c r="BM663" i="1"/>
  <c r="BM664" i="1"/>
  <c r="BM665" i="1"/>
  <c r="BM666" i="1"/>
  <c r="BM667" i="1"/>
  <c r="BM668" i="1"/>
  <c r="BM669" i="1"/>
  <c r="BM670" i="1"/>
  <c r="BM671" i="1"/>
  <c r="BM672" i="1"/>
  <c r="BM673" i="1"/>
  <c r="BM674" i="1"/>
  <c r="BM675" i="1"/>
  <c r="BM676" i="1"/>
  <c r="BM677" i="1"/>
  <c r="BM678" i="1"/>
  <c r="BM679" i="1"/>
  <c r="BM680" i="1"/>
  <c r="BM681" i="1"/>
  <c r="BM682" i="1"/>
  <c r="BM683" i="1"/>
  <c r="BM684" i="1"/>
  <c r="BM685" i="1"/>
  <c r="BM686" i="1"/>
  <c r="BM687" i="1"/>
  <c r="BM688" i="1"/>
  <c r="BM689" i="1"/>
  <c r="BM690" i="1"/>
  <c r="BM691" i="1"/>
  <c r="BM692" i="1"/>
  <c r="BM693" i="1"/>
  <c r="BM694" i="1"/>
  <c r="BM695" i="1"/>
  <c r="BM696" i="1"/>
  <c r="BM697" i="1"/>
  <c r="BM698" i="1"/>
  <c r="BM699" i="1"/>
  <c r="BM700" i="1"/>
  <c r="BM701" i="1"/>
  <c r="BM702" i="1"/>
  <c r="BM703" i="1"/>
  <c r="BM704" i="1"/>
  <c r="BM705" i="1"/>
  <c r="BM706" i="1"/>
  <c r="BM707" i="1"/>
  <c r="BM708" i="1"/>
  <c r="BM709" i="1"/>
  <c r="BM710" i="1"/>
  <c r="BM711" i="1"/>
  <c r="BM712" i="1"/>
  <c r="BM713" i="1"/>
  <c r="BM714" i="1"/>
  <c r="BM715" i="1"/>
  <c r="BM716" i="1"/>
  <c r="BM717" i="1"/>
  <c r="BM718" i="1"/>
  <c r="BM719" i="1"/>
  <c r="BM720" i="1"/>
  <c r="BM721" i="1"/>
  <c r="BM722" i="1"/>
  <c r="BM723" i="1"/>
  <c r="BM724" i="1"/>
  <c r="BM725" i="1"/>
  <c r="BM726" i="1"/>
  <c r="BM727" i="1"/>
  <c r="BM728" i="1"/>
  <c r="BM729" i="1"/>
  <c r="BM730" i="1"/>
  <c r="BM731" i="1"/>
  <c r="BM732" i="1"/>
  <c r="BM733" i="1"/>
  <c r="BM734" i="1"/>
  <c r="BM735" i="1"/>
  <c r="BM736" i="1"/>
  <c r="BM737" i="1"/>
  <c r="BM738" i="1"/>
  <c r="BM739" i="1"/>
  <c r="BM740" i="1"/>
  <c r="BM741" i="1"/>
  <c r="BM742" i="1"/>
  <c r="BM743" i="1"/>
  <c r="BM744" i="1"/>
  <c r="BM745" i="1"/>
  <c r="BM746" i="1"/>
  <c r="BM747" i="1"/>
  <c r="BM748" i="1"/>
  <c r="BM749" i="1"/>
  <c r="BM750" i="1"/>
  <c r="BM751" i="1"/>
  <c r="BM752" i="1"/>
  <c r="BM753" i="1"/>
  <c r="BM754" i="1"/>
  <c r="BM755" i="1"/>
  <c r="BM756" i="1"/>
  <c r="BM757" i="1"/>
  <c r="BM758" i="1"/>
  <c r="BM759" i="1"/>
  <c r="BM760" i="1"/>
  <c r="BM761" i="1"/>
  <c r="BM762" i="1"/>
  <c r="BM763" i="1"/>
  <c r="BM764" i="1"/>
  <c r="BM765" i="1"/>
  <c r="BM766" i="1"/>
  <c r="BM767" i="1"/>
  <c r="BM768" i="1"/>
  <c r="BM769" i="1"/>
  <c r="BM770" i="1"/>
  <c r="BM771" i="1"/>
  <c r="BM772" i="1"/>
  <c r="BM773" i="1"/>
  <c r="BM774" i="1"/>
  <c r="BM775" i="1"/>
  <c r="BM776" i="1"/>
  <c r="BM777" i="1"/>
  <c r="BM778" i="1"/>
  <c r="BM779" i="1"/>
  <c r="BM780" i="1"/>
  <c r="BM781" i="1"/>
  <c r="BM782" i="1"/>
  <c r="BM783" i="1"/>
  <c r="BM784" i="1"/>
  <c r="BM785" i="1"/>
  <c r="BM786" i="1"/>
  <c r="BM787" i="1"/>
  <c r="BM788" i="1"/>
  <c r="BM789" i="1"/>
  <c r="BM790" i="1"/>
  <c r="BM791" i="1"/>
  <c r="BM792" i="1"/>
  <c r="BM793" i="1"/>
  <c r="BM794" i="1"/>
  <c r="BM795" i="1"/>
  <c r="BM796" i="1"/>
  <c r="BM797" i="1"/>
  <c r="BM798" i="1"/>
  <c r="BM799" i="1"/>
  <c r="BM800" i="1"/>
  <c r="BM801" i="1"/>
  <c r="BM802" i="1"/>
  <c r="BM803" i="1"/>
  <c r="BM804" i="1"/>
  <c r="BM805" i="1"/>
  <c r="BM806" i="1"/>
  <c r="BM807" i="1"/>
  <c r="BM808" i="1"/>
  <c r="BM809" i="1"/>
  <c r="BM810" i="1"/>
  <c r="BM811" i="1"/>
  <c r="BM812" i="1"/>
  <c r="BM813" i="1"/>
  <c r="BM814" i="1"/>
  <c r="BM815" i="1"/>
  <c r="BM816" i="1"/>
  <c r="BM817" i="1"/>
  <c r="BM818" i="1"/>
  <c r="BM819" i="1"/>
  <c r="BM820" i="1"/>
  <c r="BM821" i="1"/>
  <c r="BM822" i="1"/>
  <c r="BM823" i="1"/>
  <c r="BM824" i="1"/>
  <c r="BM825" i="1"/>
  <c r="BM826" i="1"/>
  <c r="BM827" i="1"/>
  <c r="BM828" i="1"/>
  <c r="BM829" i="1"/>
  <c r="BM830" i="1"/>
  <c r="BM831" i="1"/>
  <c r="BM832" i="1"/>
  <c r="BM833" i="1"/>
  <c r="BM834" i="1"/>
  <c r="BM835" i="1"/>
  <c r="BM836" i="1"/>
  <c r="BM837" i="1"/>
  <c r="BM838" i="1"/>
  <c r="BM839" i="1"/>
  <c r="BM840" i="1"/>
  <c r="BM841" i="1"/>
  <c r="BM842" i="1"/>
  <c r="BM843" i="1"/>
  <c r="BM844" i="1"/>
  <c r="BM845" i="1"/>
  <c r="BM846" i="1"/>
  <c r="BM847" i="1"/>
  <c r="BM848" i="1"/>
  <c r="BM849" i="1"/>
  <c r="BM850" i="1"/>
  <c r="BM851" i="1"/>
  <c r="BM852" i="1"/>
  <c r="BM853" i="1"/>
  <c r="BM854" i="1"/>
  <c r="BM855" i="1"/>
  <c r="BM856" i="1"/>
  <c r="BM857" i="1"/>
  <c r="BM858" i="1"/>
  <c r="BM859" i="1"/>
  <c r="BM860" i="1"/>
  <c r="BM861" i="1"/>
  <c r="BM862" i="1"/>
  <c r="BM863" i="1"/>
  <c r="BM864" i="1"/>
  <c r="BM865" i="1"/>
  <c r="BM866" i="1"/>
  <c r="BM867" i="1"/>
  <c r="BM868" i="1"/>
  <c r="BM869" i="1"/>
  <c r="BM870" i="1"/>
  <c r="BM871" i="1"/>
  <c r="BM872" i="1"/>
  <c r="BM873" i="1"/>
  <c r="BM874" i="1"/>
  <c r="BM875" i="1"/>
  <c r="BM876" i="1"/>
  <c r="BM877" i="1"/>
  <c r="BM878" i="1"/>
  <c r="BM879" i="1"/>
  <c r="BM880" i="1"/>
  <c r="BM881" i="1"/>
  <c r="BM882" i="1"/>
  <c r="BM883" i="1"/>
  <c r="BM884" i="1"/>
  <c r="BM885" i="1"/>
  <c r="BM886" i="1"/>
  <c r="BM887" i="1"/>
  <c r="BM888" i="1"/>
  <c r="BM889" i="1"/>
  <c r="BM890" i="1"/>
  <c r="BM3" i="1"/>
  <c r="BB4" i="3"/>
  <c r="BB5" i="3" s="1"/>
  <c r="BB6" i="3" s="1"/>
  <c r="BB7" i="3" s="1"/>
  <c r="BB8" i="3" s="1"/>
  <c r="BB3" i="3"/>
  <c r="AW3" i="3"/>
  <c r="AW4" i="3" s="1"/>
  <c r="AW5" i="3" s="1"/>
  <c r="AS3" i="3"/>
  <c r="AS4" i="3" s="1"/>
  <c r="AS5" i="3" s="1"/>
  <c r="AS6" i="3" s="1"/>
  <c r="AS7" i="3" s="1"/>
  <c r="AS8" i="3" s="1"/>
  <c r="AS9" i="3" s="1"/>
  <c r="AY3" i="1"/>
  <c r="AQ3" i="1"/>
  <c r="AR3" i="1" s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8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4" i="1"/>
  <c r="AP325" i="1"/>
  <c r="AP326" i="1"/>
  <c r="AP327" i="1"/>
  <c r="AP328" i="1"/>
  <c r="AP329" i="1"/>
  <c r="AP330" i="1"/>
  <c r="AP331" i="1"/>
  <c r="AP332" i="1"/>
  <c r="AP333" i="1"/>
  <c r="AP334" i="1"/>
  <c r="AP335" i="1"/>
  <c r="AP336" i="1"/>
  <c r="AP337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2" i="1"/>
  <c r="AP393" i="1"/>
  <c r="AP394" i="1"/>
  <c r="AP395" i="1"/>
  <c r="AP396" i="1"/>
  <c r="AP397" i="1"/>
  <c r="AP398" i="1"/>
  <c r="AP399" i="1"/>
  <c r="AP400" i="1"/>
  <c r="AP401" i="1"/>
  <c r="AP402" i="1"/>
  <c r="AP403" i="1"/>
  <c r="AP404" i="1"/>
  <c r="AP405" i="1"/>
  <c r="AP406" i="1"/>
  <c r="AP407" i="1"/>
  <c r="AP408" i="1"/>
  <c r="AP409" i="1"/>
  <c r="AP410" i="1"/>
  <c r="AP411" i="1"/>
  <c r="AP412" i="1"/>
  <c r="AP413" i="1"/>
  <c r="AP414" i="1"/>
  <c r="AP415" i="1"/>
  <c r="AP416" i="1"/>
  <c r="AP417" i="1"/>
  <c r="AP418" i="1"/>
  <c r="AP419" i="1"/>
  <c r="AP420" i="1"/>
  <c r="AP421" i="1"/>
  <c r="AP422" i="1"/>
  <c r="AP423" i="1"/>
  <c r="AP424" i="1"/>
  <c r="AP425" i="1"/>
  <c r="AP426" i="1"/>
  <c r="AP427" i="1"/>
  <c r="AP428" i="1"/>
  <c r="AP429" i="1"/>
  <c r="AP430" i="1"/>
  <c r="AP431" i="1"/>
  <c r="AP432" i="1"/>
  <c r="AP433" i="1"/>
  <c r="AP434" i="1"/>
  <c r="AP435" i="1"/>
  <c r="AP436" i="1"/>
  <c r="AP437" i="1"/>
  <c r="AP438" i="1"/>
  <c r="AP439" i="1"/>
  <c r="AP440" i="1"/>
  <c r="AP441" i="1"/>
  <c r="AP442" i="1"/>
  <c r="AP443" i="1"/>
  <c r="AP444" i="1"/>
  <c r="AP445" i="1"/>
  <c r="AP446" i="1"/>
  <c r="AP447" i="1"/>
  <c r="AP448" i="1"/>
  <c r="AP449" i="1"/>
  <c r="AP450" i="1"/>
  <c r="AP451" i="1"/>
  <c r="AP452" i="1"/>
  <c r="AP453" i="1"/>
  <c r="AP454" i="1"/>
  <c r="AP455" i="1"/>
  <c r="AP456" i="1"/>
  <c r="AP457" i="1"/>
  <c r="AP458" i="1"/>
  <c r="AP459" i="1"/>
  <c r="AP460" i="1"/>
  <c r="AP461" i="1"/>
  <c r="AP462" i="1"/>
  <c r="AP463" i="1"/>
  <c r="AP464" i="1"/>
  <c r="AP465" i="1"/>
  <c r="AP466" i="1"/>
  <c r="AP467" i="1"/>
  <c r="AP468" i="1"/>
  <c r="AP469" i="1"/>
  <c r="AP470" i="1"/>
  <c r="AP471" i="1"/>
  <c r="AP472" i="1"/>
  <c r="AP473" i="1"/>
  <c r="AP474" i="1"/>
  <c r="AP475" i="1"/>
  <c r="AP476" i="1"/>
  <c r="AP477" i="1"/>
  <c r="AP478" i="1"/>
  <c r="AP479" i="1"/>
  <c r="AP480" i="1"/>
  <c r="AP481" i="1"/>
  <c r="AP482" i="1"/>
  <c r="AP483" i="1"/>
  <c r="AP484" i="1"/>
  <c r="AP485" i="1"/>
  <c r="AP486" i="1"/>
  <c r="AP487" i="1"/>
  <c r="AP488" i="1"/>
  <c r="AP489" i="1"/>
  <c r="AP490" i="1"/>
  <c r="AP491" i="1"/>
  <c r="AP492" i="1"/>
  <c r="AP493" i="1"/>
  <c r="AP494" i="1"/>
  <c r="AP495" i="1"/>
  <c r="AP496" i="1"/>
  <c r="AP497" i="1"/>
  <c r="AP498" i="1"/>
  <c r="AP499" i="1"/>
  <c r="AP500" i="1"/>
  <c r="AP501" i="1"/>
  <c r="AP502" i="1"/>
  <c r="AP503" i="1"/>
  <c r="AP504" i="1"/>
  <c r="AP505" i="1"/>
  <c r="AP506" i="1"/>
  <c r="AP507" i="1"/>
  <c r="AP508" i="1"/>
  <c r="AP509" i="1"/>
  <c r="AP510" i="1"/>
  <c r="AP511" i="1"/>
  <c r="AP512" i="1"/>
  <c r="AP513" i="1"/>
  <c r="AP514" i="1"/>
  <c r="AP515" i="1"/>
  <c r="AP516" i="1"/>
  <c r="AP517" i="1"/>
  <c r="AP518" i="1"/>
  <c r="AP519" i="1"/>
  <c r="AP520" i="1"/>
  <c r="AP521" i="1"/>
  <c r="AP522" i="1"/>
  <c r="AP523" i="1"/>
  <c r="AP524" i="1"/>
  <c r="AP525" i="1"/>
  <c r="AP526" i="1"/>
  <c r="AP527" i="1"/>
  <c r="AP528" i="1"/>
  <c r="AP529" i="1"/>
  <c r="AP530" i="1"/>
  <c r="AP531" i="1"/>
  <c r="AP532" i="1"/>
  <c r="AP533" i="1"/>
  <c r="AP534" i="1"/>
  <c r="AP535" i="1"/>
  <c r="AP536" i="1"/>
  <c r="AP537" i="1"/>
  <c r="AP538" i="1"/>
  <c r="AP539" i="1"/>
  <c r="AP540" i="1"/>
  <c r="AP541" i="1"/>
  <c r="AP542" i="1"/>
  <c r="AP543" i="1"/>
  <c r="AP544" i="1"/>
  <c r="AP545" i="1"/>
  <c r="AP546" i="1"/>
  <c r="AP547" i="1"/>
  <c r="AP548" i="1"/>
  <c r="AP549" i="1"/>
  <c r="AP550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1" i="1"/>
  <c r="AP572" i="1"/>
  <c r="AP573" i="1"/>
  <c r="AP574" i="1"/>
  <c r="AP575" i="1"/>
  <c r="AP576" i="1"/>
  <c r="AP577" i="1"/>
  <c r="AP578" i="1"/>
  <c r="AP579" i="1"/>
  <c r="AP580" i="1"/>
  <c r="AP581" i="1"/>
  <c r="AP582" i="1"/>
  <c r="AP583" i="1"/>
  <c r="AP584" i="1"/>
  <c r="AP585" i="1"/>
  <c r="AP586" i="1"/>
  <c r="AP587" i="1"/>
  <c r="AP588" i="1"/>
  <c r="AP589" i="1"/>
  <c r="AP590" i="1"/>
  <c r="AP591" i="1"/>
  <c r="AP592" i="1"/>
  <c r="AP593" i="1"/>
  <c r="AP594" i="1"/>
  <c r="AP595" i="1"/>
  <c r="AP596" i="1"/>
  <c r="AP597" i="1"/>
  <c r="AP598" i="1"/>
  <c r="AP599" i="1"/>
  <c r="AP600" i="1"/>
  <c r="AP601" i="1"/>
  <c r="AP602" i="1"/>
  <c r="AP603" i="1"/>
  <c r="AP604" i="1"/>
  <c r="AP605" i="1"/>
  <c r="AP606" i="1"/>
  <c r="AP607" i="1"/>
  <c r="AP608" i="1"/>
  <c r="AP609" i="1"/>
  <c r="AP610" i="1"/>
  <c r="AP611" i="1"/>
  <c r="AP612" i="1"/>
  <c r="AP613" i="1"/>
  <c r="AP614" i="1"/>
  <c r="AP615" i="1"/>
  <c r="AP616" i="1"/>
  <c r="AP617" i="1"/>
  <c r="AP618" i="1"/>
  <c r="AP619" i="1"/>
  <c r="AP620" i="1"/>
  <c r="AP621" i="1"/>
  <c r="AP622" i="1"/>
  <c r="AP623" i="1"/>
  <c r="AP624" i="1"/>
  <c r="AP625" i="1"/>
  <c r="AP626" i="1"/>
  <c r="AP627" i="1"/>
  <c r="AP628" i="1"/>
  <c r="AP629" i="1"/>
  <c r="AP630" i="1"/>
  <c r="AP631" i="1"/>
  <c r="AP632" i="1"/>
  <c r="AP633" i="1"/>
  <c r="AP634" i="1"/>
  <c r="AP635" i="1"/>
  <c r="AP636" i="1"/>
  <c r="AP637" i="1"/>
  <c r="AP638" i="1"/>
  <c r="AP639" i="1"/>
  <c r="AP640" i="1"/>
  <c r="AP641" i="1"/>
  <c r="AP642" i="1"/>
  <c r="AP643" i="1"/>
  <c r="AP644" i="1"/>
  <c r="AP645" i="1"/>
  <c r="AP646" i="1"/>
  <c r="AP647" i="1"/>
  <c r="AP648" i="1"/>
  <c r="AP649" i="1"/>
  <c r="AP650" i="1"/>
  <c r="AP651" i="1"/>
  <c r="AP652" i="1"/>
  <c r="AP653" i="1"/>
  <c r="AP654" i="1"/>
  <c r="AP655" i="1"/>
  <c r="AP656" i="1"/>
  <c r="AP657" i="1"/>
  <c r="AP658" i="1"/>
  <c r="AP659" i="1"/>
  <c r="AP660" i="1"/>
  <c r="AP661" i="1"/>
  <c r="AP662" i="1"/>
  <c r="AP663" i="1"/>
  <c r="AP664" i="1"/>
  <c r="AP665" i="1"/>
  <c r="AP666" i="1"/>
  <c r="AP667" i="1"/>
  <c r="AP668" i="1"/>
  <c r="AP669" i="1"/>
  <c r="AP670" i="1"/>
  <c r="AP671" i="1"/>
  <c r="AP672" i="1"/>
  <c r="AP673" i="1"/>
  <c r="AP674" i="1"/>
  <c r="AP675" i="1"/>
  <c r="AP676" i="1"/>
  <c r="AP677" i="1"/>
  <c r="AP678" i="1"/>
  <c r="AP679" i="1"/>
  <c r="AP680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3" i="1"/>
  <c r="AP694" i="1"/>
  <c r="AP695" i="1"/>
  <c r="AP696" i="1"/>
  <c r="AP697" i="1"/>
  <c r="AP698" i="1"/>
  <c r="AP699" i="1"/>
  <c r="AP700" i="1"/>
  <c r="AP701" i="1"/>
  <c r="AP702" i="1"/>
  <c r="AP703" i="1"/>
  <c r="AP704" i="1"/>
  <c r="AP705" i="1"/>
  <c r="AP706" i="1"/>
  <c r="AP707" i="1"/>
  <c r="AP708" i="1"/>
  <c r="AP709" i="1"/>
  <c r="AP710" i="1"/>
  <c r="AP711" i="1"/>
  <c r="AP712" i="1"/>
  <c r="AP713" i="1"/>
  <c r="AP714" i="1"/>
  <c r="AP715" i="1"/>
  <c r="AP716" i="1"/>
  <c r="AP717" i="1"/>
  <c r="AP718" i="1"/>
  <c r="AP719" i="1"/>
  <c r="AP720" i="1"/>
  <c r="AP721" i="1"/>
  <c r="AP722" i="1"/>
  <c r="AP723" i="1"/>
  <c r="AP724" i="1"/>
  <c r="AP725" i="1"/>
  <c r="AP726" i="1"/>
  <c r="AP727" i="1"/>
  <c r="AP728" i="1"/>
  <c r="AP729" i="1"/>
  <c r="AP730" i="1"/>
  <c r="AP731" i="1"/>
  <c r="AP732" i="1"/>
  <c r="AP733" i="1"/>
  <c r="AP734" i="1"/>
  <c r="AP735" i="1"/>
  <c r="AP736" i="1"/>
  <c r="AP737" i="1"/>
  <c r="AP738" i="1"/>
  <c r="AP739" i="1"/>
  <c r="AP740" i="1"/>
  <c r="AP741" i="1"/>
  <c r="AP742" i="1"/>
  <c r="AP743" i="1"/>
  <c r="AP744" i="1"/>
  <c r="AP745" i="1"/>
  <c r="AP746" i="1"/>
  <c r="AP747" i="1"/>
  <c r="AP748" i="1"/>
  <c r="AP749" i="1"/>
  <c r="AP750" i="1"/>
  <c r="AP751" i="1"/>
  <c r="AP752" i="1"/>
  <c r="AP753" i="1"/>
  <c r="AP754" i="1"/>
  <c r="AP755" i="1"/>
  <c r="AP756" i="1"/>
  <c r="AP757" i="1"/>
  <c r="AP758" i="1"/>
  <c r="AP759" i="1"/>
  <c r="AP760" i="1"/>
  <c r="AP761" i="1"/>
  <c r="AP762" i="1"/>
  <c r="AP763" i="1"/>
  <c r="AP764" i="1"/>
  <c r="AP765" i="1"/>
  <c r="AP766" i="1"/>
  <c r="AP767" i="1"/>
  <c r="AP768" i="1"/>
  <c r="AP769" i="1"/>
  <c r="AP770" i="1"/>
  <c r="AP771" i="1"/>
  <c r="AP772" i="1"/>
  <c r="AP773" i="1"/>
  <c r="AP774" i="1"/>
  <c r="AP775" i="1"/>
  <c r="AP776" i="1"/>
  <c r="AP777" i="1"/>
  <c r="AP778" i="1"/>
  <c r="AP779" i="1"/>
  <c r="AP780" i="1"/>
  <c r="AP781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09" i="1"/>
  <c r="AP810" i="1"/>
  <c r="AP811" i="1"/>
  <c r="AP812" i="1"/>
  <c r="AP813" i="1"/>
  <c r="AP814" i="1"/>
  <c r="AP815" i="1"/>
  <c r="AP816" i="1"/>
  <c r="AP817" i="1"/>
  <c r="AP818" i="1"/>
  <c r="AP819" i="1"/>
  <c r="AP820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7" i="1"/>
  <c r="AP838" i="1"/>
  <c r="AP839" i="1"/>
  <c r="AP840" i="1"/>
  <c r="AP841" i="1"/>
  <c r="AP842" i="1"/>
  <c r="AP843" i="1"/>
  <c r="AP844" i="1"/>
  <c r="AP845" i="1"/>
  <c r="AP846" i="1"/>
  <c r="AP847" i="1"/>
  <c r="AP848" i="1"/>
  <c r="AP849" i="1"/>
  <c r="AP850" i="1"/>
  <c r="AP851" i="1"/>
  <c r="AP852" i="1"/>
  <c r="AP853" i="1"/>
  <c r="AP854" i="1"/>
  <c r="AP855" i="1"/>
  <c r="AP856" i="1"/>
  <c r="AP857" i="1"/>
  <c r="AP858" i="1"/>
  <c r="AP859" i="1"/>
  <c r="AP860" i="1"/>
  <c r="AP861" i="1"/>
  <c r="AP862" i="1"/>
  <c r="AP863" i="1"/>
  <c r="AP864" i="1"/>
  <c r="AP865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B3" i="4"/>
  <c r="C3" i="4" s="1"/>
  <c r="D3" i="4" s="1"/>
  <c r="B2" i="4"/>
  <c r="C2" i="4" s="1"/>
  <c r="D2" i="4" s="1"/>
  <c r="B4" i="4"/>
  <c r="C4" i="4" s="1"/>
  <c r="D4" i="4" s="1"/>
  <c r="B5" i="4"/>
  <c r="C5" i="4" s="1"/>
  <c r="D5" i="4" s="1"/>
  <c r="B6" i="4"/>
  <c r="C6" i="4" s="1"/>
  <c r="D6" i="4" s="1"/>
  <c r="B7" i="4"/>
  <c r="C7" i="4" s="1"/>
  <c r="D7" i="4" s="1"/>
  <c r="B8" i="4"/>
  <c r="C8" i="4" s="1"/>
  <c r="D8" i="4" s="1"/>
  <c r="B9" i="4"/>
  <c r="C9" i="4" s="1"/>
  <c r="D9" i="4" s="1"/>
  <c r="B10" i="4"/>
  <c r="C10" i="4" s="1"/>
  <c r="D10" i="4" s="1"/>
  <c r="B11" i="4"/>
  <c r="C11" i="4" s="1"/>
  <c r="D11" i="4" s="1"/>
  <c r="B12" i="4"/>
  <c r="C12" i="4" s="1"/>
  <c r="D12" i="4" s="1"/>
  <c r="B13" i="4"/>
  <c r="C13" i="4" s="1"/>
  <c r="D13" i="4" s="1"/>
  <c r="B14" i="4"/>
  <c r="C14" i="4" s="1"/>
  <c r="D14" i="4" s="1"/>
  <c r="B15" i="4"/>
  <c r="C15" i="4" s="1"/>
  <c r="D15" i="4" s="1"/>
  <c r="B16" i="4"/>
  <c r="C16" i="4" s="1"/>
  <c r="D16" i="4" s="1"/>
  <c r="B17" i="4"/>
  <c r="C17" i="4" s="1"/>
  <c r="D17" i="4" s="1"/>
  <c r="B18" i="4"/>
  <c r="C18" i="4" s="1"/>
  <c r="D18" i="4" s="1"/>
  <c r="B19" i="4"/>
  <c r="C19" i="4" s="1"/>
  <c r="D19" i="4" s="1"/>
  <c r="B20" i="4"/>
  <c r="C20" i="4" s="1"/>
  <c r="D20" i="4" s="1"/>
  <c r="B21" i="4"/>
  <c r="C21" i="4" s="1"/>
  <c r="D21" i="4" s="1"/>
  <c r="B22" i="4"/>
  <c r="C22" i="4" s="1"/>
  <c r="D22" i="4" s="1"/>
  <c r="B23" i="4"/>
  <c r="C23" i="4" s="1"/>
  <c r="D23" i="4" s="1"/>
  <c r="B24" i="4"/>
  <c r="C24" i="4" s="1"/>
  <c r="D24" i="4" s="1"/>
  <c r="B25" i="4"/>
  <c r="C25" i="4" s="1"/>
  <c r="D25" i="4" s="1"/>
  <c r="B26" i="4"/>
  <c r="C26" i="4" s="1"/>
  <c r="D26" i="4" s="1"/>
  <c r="B27" i="4"/>
  <c r="C27" i="4" s="1"/>
  <c r="D27" i="4" s="1"/>
  <c r="B28" i="4"/>
  <c r="C28" i="4" s="1"/>
  <c r="D28" i="4" s="1"/>
  <c r="B29" i="4"/>
  <c r="C29" i="4" s="1"/>
  <c r="D29" i="4" s="1"/>
  <c r="B30" i="4"/>
  <c r="C30" i="4" s="1"/>
  <c r="D30" i="4" s="1"/>
  <c r="B31" i="4"/>
  <c r="C31" i="4" s="1"/>
  <c r="D31" i="4" s="1"/>
  <c r="B32" i="4"/>
  <c r="C32" i="4" s="1"/>
  <c r="D32" i="4" s="1"/>
  <c r="B33" i="4"/>
  <c r="C33" i="4" s="1"/>
  <c r="D33" i="4" s="1"/>
  <c r="B34" i="4"/>
  <c r="C34" i="4" s="1"/>
  <c r="D34" i="4" s="1"/>
  <c r="B35" i="4"/>
  <c r="C35" i="4" s="1"/>
  <c r="D35" i="4" s="1"/>
  <c r="B36" i="4"/>
  <c r="C36" i="4" s="1"/>
  <c r="D36" i="4" s="1"/>
  <c r="B37" i="4"/>
  <c r="C37" i="4" s="1"/>
  <c r="D37" i="4" s="1"/>
  <c r="B38" i="4"/>
  <c r="C38" i="4" s="1"/>
  <c r="D38" i="4" s="1"/>
  <c r="B39" i="4"/>
  <c r="C39" i="4" s="1"/>
  <c r="D39" i="4" s="1"/>
  <c r="B40" i="4"/>
  <c r="C40" i="4" s="1"/>
  <c r="D40" i="4" s="1"/>
  <c r="B41" i="4"/>
  <c r="C41" i="4" s="1"/>
  <c r="D41" i="4" s="1"/>
  <c r="B42" i="4"/>
  <c r="C42" i="4" s="1"/>
  <c r="D42" i="4" s="1"/>
  <c r="B43" i="4"/>
  <c r="C43" i="4" s="1"/>
  <c r="D43" i="4" s="1"/>
  <c r="B44" i="4"/>
  <c r="C44" i="4" s="1"/>
  <c r="D44" i="4" s="1"/>
  <c r="B45" i="4"/>
  <c r="C45" i="4" s="1"/>
  <c r="D45" i="4" s="1"/>
  <c r="B46" i="4"/>
  <c r="C46" i="4" s="1"/>
  <c r="D46" i="4" s="1"/>
  <c r="B47" i="4"/>
  <c r="C47" i="4" s="1"/>
  <c r="D47" i="4" s="1"/>
  <c r="B48" i="4"/>
  <c r="C48" i="4" s="1"/>
  <c r="D48" i="4" s="1"/>
  <c r="B49" i="4"/>
  <c r="C49" i="4" s="1"/>
  <c r="D49" i="4" s="1"/>
  <c r="B50" i="4"/>
  <c r="C50" i="4" s="1"/>
  <c r="D50" i="4" s="1"/>
  <c r="B51" i="4"/>
  <c r="C51" i="4" s="1"/>
  <c r="D51" i="4" s="1"/>
  <c r="B52" i="4"/>
  <c r="C52" i="4" s="1"/>
  <c r="D52" i="4" s="1"/>
  <c r="B53" i="4"/>
  <c r="C53" i="4" s="1"/>
  <c r="D53" i="4" s="1"/>
  <c r="B54" i="4"/>
  <c r="C54" i="4" s="1"/>
  <c r="D54" i="4" s="1"/>
  <c r="B55" i="4"/>
  <c r="C55" i="4" s="1"/>
  <c r="D55" i="4" s="1"/>
  <c r="B56" i="4"/>
  <c r="C56" i="4" s="1"/>
  <c r="D56" i="4" s="1"/>
  <c r="B57" i="4"/>
  <c r="C57" i="4" s="1"/>
  <c r="D57" i="4" s="1"/>
  <c r="B58" i="4"/>
  <c r="C58" i="4" s="1"/>
  <c r="D58" i="4" s="1"/>
  <c r="B59" i="4"/>
  <c r="C59" i="4" s="1"/>
  <c r="D59" i="4" s="1"/>
  <c r="B60" i="4"/>
  <c r="C60" i="4" s="1"/>
  <c r="D60" i="4" s="1"/>
  <c r="B61" i="4"/>
  <c r="C61" i="4" s="1"/>
  <c r="D61" i="4" s="1"/>
  <c r="B62" i="4"/>
  <c r="C62" i="4" s="1"/>
  <c r="D62" i="4" s="1"/>
  <c r="B63" i="4"/>
  <c r="C63" i="4" s="1"/>
  <c r="D63" i="4" s="1"/>
  <c r="B64" i="4"/>
  <c r="C64" i="4" s="1"/>
  <c r="D64" i="4" s="1"/>
  <c r="B65" i="4"/>
  <c r="C65" i="4" s="1"/>
  <c r="D65" i="4" s="1"/>
  <c r="B66" i="4"/>
  <c r="C66" i="4" s="1"/>
  <c r="D66" i="4" s="1"/>
  <c r="B67" i="4"/>
  <c r="C67" i="4" s="1"/>
  <c r="D67" i="4" s="1"/>
  <c r="B68" i="4"/>
  <c r="C68" i="4" s="1"/>
  <c r="D68" i="4" s="1"/>
  <c r="B69" i="4"/>
  <c r="C69" i="4" s="1"/>
  <c r="D69" i="4" s="1"/>
  <c r="B70" i="4"/>
  <c r="C70" i="4" s="1"/>
  <c r="D70" i="4" s="1"/>
  <c r="B71" i="4"/>
  <c r="C71" i="4" s="1"/>
  <c r="D71" i="4" s="1"/>
  <c r="B72" i="4"/>
  <c r="C72" i="4" s="1"/>
  <c r="D72" i="4" s="1"/>
  <c r="B73" i="4"/>
  <c r="C73" i="4" s="1"/>
  <c r="D73" i="4" s="1"/>
  <c r="B74" i="4"/>
  <c r="C74" i="4" s="1"/>
  <c r="D74" i="4" s="1"/>
  <c r="B75" i="4"/>
  <c r="C75" i="4" s="1"/>
  <c r="D75" i="4" s="1"/>
  <c r="B76" i="4"/>
  <c r="C76" i="4" s="1"/>
  <c r="D76" i="4" s="1"/>
  <c r="B77" i="4"/>
  <c r="C77" i="4" s="1"/>
  <c r="D77" i="4" s="1"/>
  <c r="B78" i="4"/>
  <c r="C78" i="4" s="1"/>
  <c r="D78" i="4" s="1"/>
  <c r="B79" i="4"/>
  <c r="C79" i="4" s="1"/>
  <c r="D79" i="4" s="1"/>
  <c r="B80" i="4"/>
  <c r="C80" i="4" s="1"/>
  <c r="D80" i="4" s="1"/>
  <c r="B81" i="4"/>
  <c r="C81" i="4" s="1"/>
  <c r="D81" i="4" s="1"/>
  <c r="B82" i="4"/>
  <c r="C82" i="4" s="1"/>
  <c r="D82" i="4" s="1"/>
  <c r="B83" i="4"/>
  <c r="C83" i="4" s="1"/>
  <c r="D83" i="4" s="1"/>
  <c r="B84" i="4"/>
  <c r="C84" i="4" s="1"/>
  <c r="D84" i="4" s="1"/>
  <c r="B85" i="4"/>
  <c r="C85" i="4" s="1"/>
  <c r="D85" i="4" s="1"/>
  <c r="B86" i="4"/>
  <c r="C86" i="4" s="1"/>
  <c r="D86" i="4" s="1"/>
  <c r="B87" i="4"/>
  <c r="C87" i="4" s="1"/>
  <c r="D87" i="4" s="1"/>
  <c r="B88" i="4"/>
  <c r="C88" i="4" s="1"/>
  <c r="D88" i="4" s="1"/>
  <c r="B89" i="4"/>
  <c r="C89" i="4" s="1"/>
  <c r="D89" i="4" s="1"/>
  <c r="B90" i="4"/>
  <c r="C90" i="4" s="1"/>
  <c r="D90" i="4" s="1"/>
  <c r="B91" i="4"/>
  <c r="C91" i="4" s="1"/>
  <c r="D91" i="4" s="1"/>
  <c r="B92" i="4"/>
  <c r="C92" i="4" s="1"/>
  <c r="D92" i="4" s="1"/>
  <c r="B93" i="4"/>
  <c r="C93" i="4" s="1"/>
  <c r="D93" i="4" s="1"/>
  <c r="B94" i="4"/>
  <c r="C94" i="4" s="1"/>
  <c r="D94" i="4" s="1"/>
  <c r="B95" i="4"/>
  <c r="C95" i="4" s="1"/>
  <c r="D95" i="4" s="1"/>
  <c r="B96" i="4"/>
  <c r="C96" i="4" s="1"/>
  <c r="D96" i="4" s="1"/>
  <c r="B97" i="4"/>
  <c r="C97" i="4" s="1"/>
  <c r="D97" i="4" s="1"/>
  <c r="B98" i="4"/>
  <c r="C98" i="4" s="1"/>
  <c r="D98" i="4" s="1"/>
  <c r="B99" i="4"/>
  <c r="C99" i="4" s="1"/>
  <c r="D99" i="4" s="1"/>
  <c r="B100" i="4"/>
  <c r="C100" i="4" s="1"/>
  <c r="D100" i="4" s="1"/>
  <c r="B101" i="4"/>
  <c r="C101" i="4" s="1"/>
  <c r="D101" i="4" s="1"/>
  <c r="B102" i="4"/>
  <c r="C102" i="4" s="1"/>
  <c r="D102" i="4" s="1"/>
  <c r="B103" i="4"/>
  <c r="C103" i="4" s="1"/>
  <c r="D103" i="4" s="1"/>
  <c r="B104" i="4"/>
  <c r="C104" i="4" s="1"/>
  <c r="D104" i="4" s="1"/>
  <c r="B105" i="4"/>
  <c r="C105" i="4" s="1"/>
  <c r="D105" i="4" s="1"/>
  <c r="B106" i="4"/>
  <c r="C106" i="4" s="1"/>
  <c r="D106" i="4" s="1"/>
  <c r="B107" i="4"/>
  <c r="C107" i="4" s="1"/>
  <c r="D107" i="4" s="1"/>
  <c r="B108" i="4"/>
  <c r="C108" i="4" s="1"/>
  <c r="D108" i="4" s="1"/>
  <c r="B109" i="4"/>
  <c r="C109" i="4" s="1"/>
  <c r="D109" i="4" s="1"/>
  <c r="B110" i="4"/>
  <c r="C110" i="4" s="1"/>
  <c r="D110" i="4" s="1"/>
  <c r="B111" i="4"/>
  <c r="C111" i="4" s="1"/>
  <c r="D111" i="4" s="1"/>
  <c r="B112" i="4"/>
  <c r="C112" i="4" s="1"/>
  <c r="D112" i="4" s="1"/>
  <c r="B113" i="4"/>
  <c r="C113" i="4" s="1"/>
  <c r="D113" i="4" s="1"/>
  <c r="B114" i="4"/>
  <c r="C114" i="4" s="1"/>
  <c r="D114" i="4" s="1"/>
  <c r="B115" i="4"/>
  <c r="C115" i="4" s="1"/>
  <c r="D115" i="4" s="1"/>
  <c r="B116" i="4"/>
  <c r="C116" i="4" s="1"/>
  <c r="D116" i="4" s="1"/>
  <c r="B117" i="4"/>
  <c r="C117" i="4" s="1"/>
  <c r="D117" i="4" s="1"/>
  <c r="B118" i="4"/>
  <c r="C118" i="4" s="1"/>
  <c r="D118" i="4" s="1"/>
  <c r="B119" i="4"/>
  <c r="C119" i="4" s="1"/>
  <c r="D119" i="4" s="1"/>
  <c r="B120" i="4"/>
  <c r="C120" i="4" s="1"/>
  <c r="D120" i="4" s="1"/>
  <c r="B121" i="4"/>
  <c r="C121" i="4" s="1"/>
  <c r="D121" i="4" s="1"/>
  <c r="B122" i="4"/>
  <c r="C122" i="4" s="1"/>
  <c r="D122" i="4" s="1"/>
  <c r="B123" i="4"/>
  <c r="C123" i="4" s="1"/>
  <c r="D123" i="4" s="1"/>
  <c r="B124" i="4"/>
  <c r="C124" i="4" s="1"/>
  <c r="D124" i="4" s="1"/>
  <c r="B125" i="4"/>
  <c r="C125" i="4" s="1"/>
  <c r="D125" i="4" s="1"/>
  <c r="B126" i="4"/>
  <c r="C126" i="4" s="1"/>
  <c r="D126" i="4" s="1"/>
  <c r="B127" i="4"/>
  <c r="C127" i="4" s="1"/>
  <c r="D127" i="4" s="1"/>
  <c r="B128" i="4"/>
  <c r="C128" i="4" s="1"/>
  <c r="D128" i="4" s="1"/>
  <c r="B129" i="4"/>
  <c r="C129" i="4" s="1"/>
  <c r="D129" i="4" s="1"/>
  <c r="B130" i="4"/>
  <c r="C130" i="4" s="1"/>
  <c r="D130" i="4" s="1"/>
  <c r="B131" i="4"/>
  <c r="C131" i="4" s="1"/>
  <c r="D131" i="4" s="1"/>
  <c r="B132" i="4"/>
  <c r="C132" i="4" s="1"/>
  <c r="D132" i="4" s="1"/>
  <c r="B133" i="4"/>
  <c r="C133" i="4" s="1"/>
  <c r="D133" i="4" s="1"/>
  <c r="B134" i="4"/>
  <c r="C134" i="4" s="1"/>
  <c r="D134" i="4" s="1"/>
  <c r="B135" i="4"/>
  <c r="C135" i="4" s="1"/>
  <c r="D135" i="4" s="1"/>
  <c r="B136" i="4"/>
  <c r="C136" i="4" s="1"/>
  <c r="D136" i="4" s="1"/>
  <c r="B137" i="4"/>
  <c r="C137" i="4" s="1"/>
  <c r="D137" i="4" s="1"/>
  <c r="B138" i="4"/>
  <c r="C138" i="4" s="1"/>
  <c r="D138" i="4" s="1"/>
  <c r="B139" i="4"/>
  <c r="C139" i="4" s="1"/>
  <c r="D139" i="4" s="1"/>
  <c r="B140" i="4"/>
  <c r="C140" i="4" s="1"/>
  <c r="D140" i="4" s="1"/>
  <c r="B141" i="4"/>
  <c r="C141" i="4" s="1"/>
  <c r="D141" i="4" s="1"/>
  <c r="B142" i="4"/>
  <c r="C142" i="4" s="1"/>
  <c r="D142" i="4" s="1"/>
  <c r="B143" i="4"/>
  <c r="C143" i="4" s="1"/>
  <c r="D143" i="4" s="1"/>
  <c r="B144" i="4"/>
  <c r="C144" i="4" s="1"/>
  <c r="D144" i="4" s="1"/>
  <c r="B145" i="4"/>
  <c r="C145" i="4" s="1"/>
  <c r="D145" i="4" s="1"/>
  <c r="B146" i="4"/>
  <c r="C146" i="4" s="1"/>
  <c r="D146" i="4" s="1"/>
  <c r="B147" i="4"/>
  <c r="C147" i="4" s="1"/>
  <c r="D147" i="4" s="1"/>
  <c r="B148" i="4"/>
  <c r="C148" i="4" s="1"/>
  <c r="D148" i="4" s="1"/>
  <c r="B149" i="4"/>
  <c r="C149" i="4" s="1"/>
  <c r="D149" i="4" s="1"/>
  <c r="B150" i="4"/>
  <c r="C150" i="4" s="1"/>
  <c r="D150" i="4" s="1"/>
  <c r="B151" i="4"/>
  <c r="C151" i="4" s="1"/>
  <c r="D151" i="4" s="1"/>
  <c r="B152" i="4"/>
  <c r="C152" i="4" s="1"/>
  <c r="D152" i="4" s="1"/>
  <c r="B153" i="4"/>
  <c r="C153" i="4" s="1"/>
  <c r="D153" i="4" s="1"/>
  <c r="B154" i="4"/>
  <c r="C154" i="4" s="1"/>
  <c r="D154" i="4" s="1"/>
  <c r="B155" i="4"/>
  <c r="C155" i="4" s="1"/>
  <c r="D155" i="4" s="1"/>
  <c r="B156" i="4"/>
  <c r="C156" i="4" s="1"/>
  <c r="D156" i="4" s="1"/>
  <c r="B157" i="4"/>
  <c r="C157" i="4" s="1"/>
  <c r="D157" i="4" s="1"/>
  <c r="B158" i="4"/>
  <c r="C158" i="4" s="1"/>
  <c r="D158" i="4" s="1"/>
  <c r="B159" i="4"/>
  <c r="C159" i="4" s="1"/>
  <c r="D159" i="4" s="1"/>
  <c r="B160" i="4"/>
  <c r="C160" i="4" s="1"/>
  <c r="D160" i="4" s="1"/>
  <c r="B161" i="4"/>
  <c r="C161" i="4" s="1"/>
  <c r="D161" i="4" s="1"/>
  <c r="B162" i="4"/>
  <c r="C162" i="4" s="1"/>
  <c r="D162" i="4" s="1"/>
  <c r="B163" i="4"/>
  <c r="C163" i="4" s="1"/>
  <c r="D163" i="4" s="1"/>
  <c r="B164" i="4"/>
  <c r="C164" i="4" s="1"/>
  <c r="D164" i="4" s="1"/>
  <c r="B165" i="4"/>
  <c r="C165" i="4" s="1"/>
  <c r="D165" i="4" s="1"/>
  <c r="B166" i="4"/>
  <c r="C166" i="4" s="1"/>
  <c r="D166" i="4" s="1"/>
  <c r="B167" i="4"/>
  <c r="C167" i="4" s="1"/>
  <c r="D167" i="4" s="1"/>
  <c r="B168" i="4"/>
  <c r="C168" i="4" s="1"/>
  <c r="D168" i="4" s="1"/>
  <c r="B169" i="4"/>
  <c r="C169" i="4" s="1"/>
  <c r="D169" i="4" s="1"/>
  <c r="B170" i="4"/>
  <c r="C170" i="4" s="1"/>
  <c r="D170" i="4" s="1"/>
  <c r="B171" i="4"/>
  <c r="C171" i="4" s="1"/>
  <c r="D171" i="4" s="1"/>
  <c r="B172" i="4"/>
  <c r="C172" i="4" s="1"/>
  <c r="D172" i="4" s="1"/>
  <c r="B173" i="4"/>
  <c r="C173" i="4" s="1"/>
  <c r="D173" i="4" s="1"/>
  <c r="B174" i="4"/>
  <c r="C174" i="4" s="1"/>
  <c r="D174" i="4" s="1"/>
  <c r="B175" i="4"/>
  <c r="C175" i="4" s="1"/>
  <c r="D175" i="4" s="1"/>
  <c r="B176" i="4"/>
  <c r="C176" i="4" s="1"/>
  <c r="D176" i="4" s="1"/>
  <c r="B177" i="4"/>
  <c r="C177" i="4" s="1"/>
  <c r="D177" i="4" s="1"/>
  <c r="B178" i="4"/>
  <c r="C178" i="4" s="1"/>
  <c r="D178" i="4" s="1"/>
  <c r="B179" i="4"/>
  <c r="C179" i="4" s="1"/>
  <c r="D179" i="4" s="1"/>
  <c r="B180" i="4"/>
  <c r="C180" i="4" s="1"/>
  <c r="D180" i="4" s="1"/>
  <c r="B181" i="4"/>
  <c r="C181" i="4" s="1"/>
  <c r="D181" i="4" s="1"/>
  <c r="B182" i="4"/>
  <c r="C182" i="4" s="1"/>
  <c r="D182" i="4" s="1"/>
  <c r="B183" i="4"/>
  <c r="C183" i="4" s="1"/>
  <c r="D183" i="4" s="1"/>
  <c r="B184" i="4"/>
  <c r="C184" i="4" s="1"/>
  <c r="D184" i="4" s="1"/>
  <c r="B185" i="4"/>
  <c r="C185" i="4" s="1"/>
  <c r="D185" i="4" s="1"/>
  <c r="B186" i="4"/>
  <c r="C186" i="4" s="1"/>
  <c r="D186" i="4" s="1"/>
  <c r="B187" i="4"/>
  <c r="C187" i="4" s="1"/>
  <c r="D187" i="4" s="1"/>
  <c r="B188" i="4"/>
  <c r="C188" i="4" s="1"/>
  <c r="D188" i="4" s="1"/>
  <c r="B189" i="4"/>
  <c r="C189" i="4" s="1"/>
  <c r="D189" i="4" s="1"/>
  <c r="B190" i="4"/>
  <c r="C190" i="4" s="1"/>
  <c r="D190" i="4" s="1"/>
  <c r="B191" i="4"/>
  <c r="C191" i="4" s="1"/>
  <c r="D191" i="4" s="1"/>
  <c r="B192" i="4"/>
  <c r="C192" i="4" s="1"/>
  <c r="D192" i="4" s="1"/>
  <c r="B193" i="4"/>
  <c r="C193" i="4" s="1"/>
  <c r="D193" i="4" s="1"/>
  <c r="B194" i="4"/>
  <c r="C194" i="4" s="1"/>
  <c r="D194" i="4" s="1"/>
  <c r="B195" i="4"/>
  <c r="C195" i="4" s="1"/>
  <c r="D195" i="4" s="1"/>
  <c r="B196" i="4"/>
  <c r="C196" i="4" s="1"/>
  <c r="D196" i="4" s="1"/>
  <c r="B197" i="4"/>
  <c r="C197" i="4" s="1"/>
  <c r="D197" i="4" s="1"/>
  <c r="B198" i="4"/>
  <c r="C198" i="4" s="1"/>
  <c r="D198" i="4" s="1"/>
  <c r="B199" i="4"/>
  <c r="C199" i="4" s="1"/>
  <c r="D199" i="4" s="1"/>
  <c r="B200" i="4"/>
  <c r="C200" i="4" s="1"/>
  <c r="D200" i="4" s="1"/>
  <c r="B201" i="4"/>
  <c r="C201" i="4" s="1"/>
  <c r="D201" i="4" s="1"/>
  <c r="B202" i="4"/>
  <c r="C202" i="4" s="1"/>
  <c r="D202" i="4" s="1"/>
  <c r="B203" i="4"/>
  <c r="C203" i="4" s="1"/>
  <c r="D203" i="4" s="1"/>
  <c r="B204" i="4"/>
  <c r="C204" i="4" s="1"/>
  <c r="D204" i="4" s="1"/>
  <c r="B205" i="4"/>
  <c r="C205" i="4" s="1"/>
  <c r="D205" i="4" s="1"/>
  <c r="B206" i="4"/>
  <c r="C206" i="4" s="1"/>
  <c r="D206" i="4" s="1"/>
  <c r="B207" i="4"/>
  <c r="C207" i="4" s="1"/>
  <c r="D207" i="4" s="1"/>
  <c r="B208" i="4"/>
  <c r="C208" i="4" s="1"/>
  <c r="D208" i="4" s="1"/>
  <c r="B209" i="4"/>
  <c r="C209" i="4" s="1"/>
  <c r="D209" i="4" s="1"/>
  <c r="B210" i="4"/>
  <c r="C210" i="4" s="1"/>
  <c r="D210" i="4" s="1"/>
  <c r="B211" i="4"/>
  <c r="C211" i="4" s="1"/>
  <c r="D211" i="4" s="1"/>
  <c r="B212" i="4"/>
  <c r="C212" i="4" s="1"/>
  <c r="D212" i="4" s="1"/>
  <c r="B213" i="4"/>
  <c r="C213" i="4" s="1"/>
  <c r="D213" i="4" s="1"/>
  <c r="B214" i="4"/>
  <c r="C214" i="4" s="1"/>
  <c r="D214" i="4" s="1"/>
  <c r="B215" i="4"/>
  <c r="C215" i="4" s="1"/>
  <c r="D215" i="4" s="1"/>
  <c r="B216" i="4"/>
  <c r="C216" i="4" s="1"/>
  <c r="D216" i="4" s="1"/>
  <c r="B217" i="4"/>
  <c r="C217" i="4" s="1"/>
  <c r="D217" i="4" s="1"/>
  <c r="B218" i="4"/>
  <c r="C218" i="4" s="1"/>
  <c r="D218" i="4" s="1"/>
  <c r="B219" i="4"/>
  <c r="C219" i="4" s="1"/>
  <c r="D219" i="4" s="1"/>
  <c r="B220" i="4"/>
  <c r="C220" i="4" s="1"/>
  <c r="D220" i="4" s="1"/>
  <c r="B221" i="4"/>
  <c r="C221" i="4" s="1"/>
  <c r="D221" i="4" s="1"/>
  <c r="B222" i="4"/>
  <c r="C222" i="4" s="1"/>
  <c r="D222" i="4" s="1"/>
  <c r="B223" i="4"/>
  <c r="C223" i="4" s="1"/>
  <c r="D223" i="4" s="1"/>
  <c r="B224" i="4"/>
  <c r="C224" i="4" s="1"/>
  <c r="D224" i="4" s="1"/>
  <c r="B225" i="4"/>
  <c r="C225" i="4" s="1"/>
  <c r="D225" i="4" s="1"/>
  <c r="B226" i="4"/>
  <c r="C226" i="4" s="1"/>
  <c r="D226" i="4" s="1"/>
  <c r="B227" i="4"/>
  <c r="C227" i="4" s="1"/>
  <c r="D227" i="4" s="1"/>
  <c r="B228" i="4"/>
  <c r="C228" i="4" s="1"/>
  <c r="D228" i="4" s="1"/>
  <c r="B229" i="4"/>
  <c r="C229" i="4" s="1"/>
  <c r="D229" i="4" s="1"/>
  <c r="B230" i="4"/>
  <c r="C230" i="4" s="1"/>
  <c r="D230" i="4" s="1"/>
  <c r="B231" i="4"/>
  <c r="C231" i="4" s="1"/>
  <c r="D231" i="4" s="1"/>
  <c r="B232" i="4"/>
  <c r="C232" i="4" s="1"/>
  <c r="D232" i="4" s="1"/>
  <c r="B233" i="4"/>
  <c r="C233" i="4" s="1"/>
  <c r="D233" i="4" s="1"/>
  <c r="B234" i="4"/>
  <c r="C234" i="4" s="1"/>
  <c r="D234" i="4" s="1"/>
  <c r="B235" i="4"/>
  <c r="C235" i="4" s="1"/>
  <c r="D235" i="4" s="1"/>
  <c r="B236" i="4"/>
  <c r="C236" i="4" s="1"/>
  <c r="D236" i="4" s="1"/>
  <c r="B237" i="4"/>
  <c r="C237" i="4" s="1"/>
  <c r="D237" i="4" s="1"/>
  <c r="B238" i="4"/>
  <c r="C238" i="4" s="1"/>
  <c r="D238" i="4" s="1"/>
  <c r="B239" i="4"/>
  <c r="C239" i="4" s="1"/>
  <c r="D239" i="4" s="1"/>
  <c r="B240" i="4"/>
  <c r="C240" i="4" s="1"/>
  <c r="D240" i="4" s="1"/>
  <c r="B241" i="4"/>
  <c r="C241" i="4" s="1"/>
  <c r="D241" i="4" s="1"/>
  <c r="B242" i="4"/>
  <c r="C242" i="4" s="1"/>
  <c r="D242" i="4" s="1"/>
  <c r="B243" i="4"/>
  <c r="C243" i="4" s="1"/>
  <c r="D243" i="4" s="1"/>
  <c r="B244" i="4"/>
  <c r="C244" i="4" s="1"/>
  <c r="D244" i="4" s="1"/>
  <c r="B245" i="4"/>
  <c r="C245" i="4" s="1"/>
  <c r="D245" i="4" s="1"/>
  <c r="B246" i="4"/>
  <c r="C246" i="4" s="1"/>
  <c r="D246" i="4" s="1"/>
  <c r="B247" i="4"/>
  <c r="C247" i="4" s="1"/>
  <c r="D247" i="4" s="1"/>
  <c r="B248" i="4"/>
  <c r="C248" i="4" s="1"/>
  <c r="D248" i="4" s="1"/>
  <c r="B249" i="4"/>
  <c r="C249" i="4" s="1"/>
  <c r="D249" i="4" s="1"/>
  <c r="B250" i="4"/>
  <c r="C250" i="4" s="1"/>
  <c r="D250" i="4" s="1"/>
  <c r="B251" i="4"/>
  <c r="C251" i="4" s="1"/>
  <c r="D251" i="4" s="1"/>
  <c r="B252" i="4"/>
  <c r="C252" i="4" s="1"/>
  <c r="D252" i="4" s="1"/>
  <c r="B253" i="4"/>
  <c r="C253" i="4" s="1"/>
  <c r="D253" i="4" s="1"/>
  <c r="B254" i="4"/>
  <c r="C254" i="4" s="1"/>
  <c r="D254" i="4" s="1"/>
  <c r="B255" i="4"/>
  <c r="C255" i="4" s="1"/>
  <c r="D255" i="4" s="1"/>
  <c r="B256" i="4"/>
  <c r="C256" i="4" s="1"/>
  <c r="D256" i="4" s="1"/>
  <c r="B257" i="4"/>
  <c r="C257" i="4" s="1"/>
  <c r="D257" i="4" s="1"/>
  <c r="B258" i="4"/>
  <c r="C258" i="4" s="1"/>
  <c r="D258" i="4" s="1"/>
  <c r="B259" i="4"/>
  <c r="C259" i="4" s="1"/>
  <c r="D259" i="4" s="1"/>
  <c r="B260" i="4"/>
  <c r="C260" i="4" s="1"/>
  <c r="D260" i="4" s="1"/>
  <c r="B261" i="4"/>
  <c r="C261" i="4" s="1"/>
  <c r="D261" i="4" s="1"/>
  <c r="B262" i="4"/>
  <c r="C262" i="4" s="1"/>
  <c r="D262" i="4" s="1"/>
  <c r="B263" i="4"/>
  <c r="C263" i="4" s="1"/>
  <c r="D263" i="4" s="1"/>
  <c r="B264" i="4"/>
  <c r="C264" i="4" s="1"/>
  <c r="D264" i="4" s="1"/>
  <c r="B265" i="4"/>
  <c r="C265" i="4" s="1"/>
  <c r="D265" i="4" s="1"/>
  <c r="B266" i="4"/>
  <c r="C266" i="4" s="1"/>
  <c r="D266" i="4" s="1"/>
  <c r="B267" i="4"/>
  <c r="C267" i="4" s="1"/>
  <c r="D267" i="4" s="1"/>
  <c r="B268" i="4"/>
  <c r="C268" i="4" s="1"/>
  <c r="D268" i="4" s="1"/>
  <c r="B269" i="4"/>
  <c r="C269" i="4" s="1"/>
  <c r="D269" i="4" s="1"/>
  <c r="B270" i="4"/>
  <c r="C270" i="4" s="1"/>
  <c r="D270" i="4" s="1"/>
  <c r="B271" i="4"/>
  <c r="C271" i="4" s="1"/>
  <c r="D271" i="4" s="1"/>
  <c r="B272" i="4"/>
  <c r="C272" i="4" s="1"/>
  <c r="D272" i="4" s="1"/>
  <c r="B273" i="4"/>
  <c r="C273" i="4" s="1"/>
  <c r="D273" i="4" s="1"/>
  <c r="B274" i="4"/>
  <c r="C274" i="4" s="1"/>
  <c r="D274" i="4" s="1"/>
  <c r="B275" i="4"/>
  <c r="C275" i="4" s="1"/>
  <c r="D275" i="4" s="1"/>
  <c r="B276" i="4"/>
  <c r="C276" i="4" s="1"/>
  <c r="D276" i="4" s="1"/>
  <c r="B277" i="4"/>
  <c r="C277" i="4" s="1"/>
  <c r="D277" i="4" s="1"/>
  <c r="B278" i="4"/>
  <c r="C278" i="4" s="1"/>
  <c r="D278" i="4" s="1"/>
  <c r="B279" i="4"/>
  <c r="C279" i="4" s="1"/>
  <c r="D279" i="4" s="1"/>
  <c r="B280" i="4"/>
  <c r="C280" i="4" s="1"/>
  <c r="D280" i="4" s="1"/>
  <c r="B281" i="4"/>
  <c r="C281" i="4" s="1"/>
  <c r="D281" i="4" s="1"/>
  <c r="B282" i="4"/>
  <c r="C282" i="4" s="1"/>
  <c r="D282" i="4" s="1"/>
  <c r="B283" i="4"/>
  <c r="C283" i="4" s="1"/>
  <c r="D283" i="4" s="1"/>
  <c r="B284" i="4"/>
  <c r="C284" i="4" s="1"/>
  <c r="D284" i="4" s="1"/>
  <c r="B285" i="4"/>
  <c r="C285" i="4" s="1"/>
  <c r="D285" i="4" s="1"/>
  <c r="B286" i="4"/>
  <c r="C286" i="4" s="1"/>
  <c r="D286" i="4" s="1"/>
  <c r="B287" i="4"/>
  <c r="C287" i="4" s="1"/>
  <c r="D287" i="4" s="1"/>
  <c r="B288" i="4"/>
  <c r="C288" i="4" s="1"/>
  <c r="D288" i="4" s="1"/>
  <c r="B289" i="4"/>
  <c r="C289" i="4" s="1"/>
  <c r="D289" i="4" s="1"/>
  <c r="B290" i="4"/>
  <c r="C290" i="4" s="1"/>
  <c r="D290" i="4" s="1"/>
  <c r="B291" i="4"/>
  <c r="C291" i="4" s="1"/>
  <c r="D291" i="4" s="1"/>
  <c r="B292" i="4"/>
  <c r="C292" i="4" s="1"/>
  <c r="D292" i="4" s="1"/>
  <c r="B293" i="4"/>
  <c r="C293" i="4" s="1"/>
  <c r="D293" i="4" s="1"/>
  <c r="B294" i="4"/>
  <c r="C294" i="4" s="1"/>
  <c r="D294" i="4" s="1"/>
  <c r="B295" i="4"/>
  <c r="C295" i="4" s="1"/>
  <c r="D295" i="4" s="1"/>
  <c r="B296" i="4"/>
  <c r="C296" i="4" s="1"/>
  <c r="D296" i="4" s="1"/>
  <c r="B297" i="4"/>
  <c r="C297" i="4" s="1"/>
  <c r="D297" i="4" s="1"/>
  <c r="B298" i="4"/>
  <c r="C298" i="4" s="1"/>
  <c r="D298" i="4" s="1"/>
  <c r="B299" i="4"/>
  <c r="C299" i="4" s="1"/>
  <c r="D299" i="4" s="1"/>
  <c r="B300" i="4"/>
  <c r="C300" i="4" s="1"/>
  <c r="D300" i="4" s="1"/>
  <c r="B301" i="4"/>
  <c r="C301" i="4" s="1"/>
  <c r="D301" i="4" s="1"/>
  <c r="B302" i="4"/>
  <c r="C302" i="4" s="1"/>
  <c r="D302" i="4" s="1"/>
  <c r="B303" i="4"/>
  <c r="C303" i="4" s="1"/>
  <c r="D303" i="4" s="1"/>
  <c r="B304" i="4"/>
  <c r="C304" i="4" s="1"/>
  <c r="D304" i="4" s="1"/>
  <c r="B305" i="4"/>
  <c r="C305" i="4" s="1"/>
  <c r="D305" i="4" s="1"/>
  <c r="B306" i="4"/>
  <c r="C306" i="4" s="1"/>
  <c r="D306" i="4" s="1"/>
  <c r="B307" i="4"/>
  <c r="C307" i="4" s="1"/>
  <c r="D307" i="4" s="1"/>
  <c r="B308" i="4"/>
  <c r="C308" i="4" s="1"/>
  <c r="D308" i="4" s="1"/>
  <c r="B309" i="4"/>
  <c r="C309" i="4" s="1"/>
  <c r="D309" i="4" s="1"/>
  <c r="B310" i="4"/>
  <c r="C310" i="4" s="1"/>
  <c r="D310" i="4" s="1"/>
  <c r="B311" i="4"/>
  <c r="C311" i="4" s="1"/>
  <c r="D311" i="4" s="1"/>
  <c r="B312" i="4"/>
  <c r="C312" i="4" s="1"/>
  <c r="D312" i="4" s="1"/>
  <c r="B313" i="4"/>
  <c r="C313" i="4" s="1"/>
  <c r="D313" i="4" s="1"/>
  <c r="B314" i="4"/>
  <c r="C314" i="4" s="1"/>
  <c r="D314" i="4" s="1"/>
  <c r="B315" i="4"/>
  <c r="C315" i="4" s="1"/>
  <c r="D315" i="4" s="1"/>
  <c r="B316" i="4"/>
  <c r="C316" i="4" s="1"/>
  <c r="D316" i="4" s="1"/>
  <c r="B317" i="4"/>
  <c r="C317" i="4" s="1"/>
  <c r="D317" i="4" s="1"/>
  <c r="B318" i="4"/>
  <c r="C318" i="4" s="1"/>
  <c r="D318" i="4" s="1"/>
  <c r="B319" i="4"/>
  <c r="C319" i="4" s="1"/>
  <c r="D319" i="4" s="1"/>
  <c r="B320" i="4"/>
  <c r="C320" i="4" s="1"/>
  <c r="D320" i="4" s="1"/>
  <c r="B321" i="4"/>
  <c r="C321" i="4" s="1"/>
  <c r="D321" i="4" s="1"/>
  <c r="B322" i="4"/>
  <c r="C322" i="4" s="1"/>
  <c r="D322" i="4" s="1"/>
  <c r="B323" i="4"/>
  <c r="C323" i="4" s="1"/>
  <c r="D323" i="4" s="1"/>
  <c r="B324" i="4"/>
  <c r="C324" i="4" s="1"/>
  <c r="D324" i="4" s="1"/>
  <c r="B325" i="4"/>
  <c r="C325" i="4" s="1"/>
  <c r="D325" i="4" s="1"/>
  <c r="B326" i="4"/>
  <c r="C326" i="4" s="1"/>
  <c r="D326" i="4" s="1"/>
  <c r="B327" i="4"/>
  <c r="C327" i="4" s="1"/>
  <c r="D327" i="4" s="1"/>
  <c r="B328" i="4"/>
  <c r="C328" i="4" s="1"/>
  <c r="D328" i="4" s="1"/>
  <c r="B329" i="4"/>
  <c r="C329" i="4" s="1"/>
  <c r="D329" i="4" s="1"/>
  <c r="B330" i="4"/>
  <c r="C330" i="4" s="1"/>
  <c r="D330" i="4" s="1"/>
  <c r="B331" i="4"/>
  <c r="C331" i="4" s="1"/>
  <c r="D331" i="4" s="1"/>
  <c r="B332" i="4"/>
  <c r="C332" i="4" s="1"/>
  <c r="D332" i="4" s="1"/>
  <c r="B333" i="4"/>
  <c r="C333" i="4" s="1"/>
  <c r="D333" i="4" s="1"/>
  <c r="B334" i="4"/>
  <c r="C334" i="4" s="1"/>
  <c r="D334" i="4" s="1"/>
  <c r="B335" i="4"/>
  <c r="C335" i="4" s="1"/>
  <c r="D335" i="4" s="1"/>
  <c r="B336" i="4"/>
  <c r="C336" i="4" s="1"/>
  <c r="D336" i="4" s="1"/>
  <c r="B337" i="4"/>
  <c r="C337" i="4" s="1"/>
  <c r="D337" i="4" s="1"/>
  <c r="B338" i="4"/>
  <c r="C338" i="4" s="1"/>
  <c r="D338" i="4" s="1"/>
  <c r="B339" i="4"/>
  <c r="C339" i="4" s="1"/>
  <c r="D339" i="4" s="1"/>
  <c r="B340" i="4"/>
  <c r="C340" i="4" s="1"/>
  <c r="D340" i="4" s="1"/>
  <c r="B341" i="4"/>
  <c r="C341" i="4" s="1"/>
  <c r="D341" i="4" s="1"/>
  <c r="B342" i="4"/>
  <c r="C342" i="4" s="1"/>
  <c r="D342" i="4" s="1"/>
  <c r="B343" i="4"/>
  <c r="C343" i="4" s="1"/>
  <c r="D343" i="4" s="1"/>
  <c r="B344" i="4"/>
  <c r="C344" i="4" s="1"/>
  <c r="D344" i="4" s="1"/>
  <c r="B345" i="4"/>
  <c r="C345" i="4" s="1"/>
  <c r="D345" i="4" s="1"/>
  <c r="B346" i="4"/>
  <c r="C346" i="4" s="1"/>
  <c r="D346" i="4" s="1"/>
  <c r="B347" i="4"/>
  <c r="C347" i="4" s="1"/>
  <c r="D347" i="4" s="1"/>
  <c r="B348" i="4"/>
  <c r="C348" i="4" s="1"/>
  <c r="D348" i="4" s="1"/>
  <c r="K2" i="4"/>
  <c r="L2" i="4" s="1"/>
  <c r="M2" i="4" s="1"/>
  <c r="K3" i="4"/>
  <c r="L3" i="4" s="1"/>
  <c r="M3" i="4" s="1"/>
  <c r="K4" i="4"/>
  <c r="L4" i="4" s="1"/>
  <c r="M4" i="4" s="1"/>
  <c r="K5" i="4"/>
  <c r="L5" i="4" s="1"/>
  <c r="M5" i="4" s="1"/>
  <c r="K6" i="4"/>
  <c r="L6" i="4" s="1"/>
  <c r="M6" i="4" s="1"/>
  <c r="K7" i="4"/>
  <c r="L7" i="4" s="1"/>
  <c r="M7" i="4" s="1"/>
  <c r="K8" i="4"/>
  <c r="L8" i="4" s="1"/>
  <c r="M8" i="4" s="1"/>
  <c r="K9" i="4"/>
  <c r="L9" i="4" s="1"/>
  <c r="M9" i="4" s="1"/>
  <c r="K10" i="4"/>
  <c r="L10" i="4" s="1"/>
  <c r="M10" i="4" s="1"/>
  <c r="K11" i="4"/>
  <c r="L11" i="4" s="1"/>
  <c r="M11" i="4" s="1"/>
  <c r="K12" i="4"/>
  <c r="L12" i="4" s="1"/>
  <c r="M12" i="4" s="1"/>
  <c r="K13" i="4"/>
  <c r="L13" i="4" s="1"/>
  <c r="M13" i="4" s="1"/>
  <c r="K14" i="4"/>
  <c r="L14" i="4" s="1"/>
  <c r="M14" i="4" s="1"/>
  <c r="K15" i="4"/>
  <c r="L15" i="4" s="1"/>
  <c r="M15" i="4" s="1"/>
  <c r="K16" i="4"/>
  <c r="L16" i="4" s="1"/>
  <c r="M16" i="4" s="1"/>
  <c r="K17" i="4"/>
  <c r="L17" i="4" s="1"/>
  <c r="M17" i="4" s="1"/>
  <c r="K18" i="4"/>
  <c r="L18" i="4" s="1"/>
  <c r="M18" i="4" s="1"/>
  <c r="K19" i="4"/>
  <c r="L19" i="4" s="1"/>
  <c r="M19" i="4" s="1"/>
  <c r="K20" i="4"/>
  <c r="L20" i="4" s="1"/>
  <c r="M20" i="4" s="1"/>
  <c r="K21" i="4"/>
  <c r="L21" i="4" s="1"/>
  <c r="M21" i="4" s="1"/>
  <c r="K22" i="4"/>
  <c r="L22" i="4" s="1"/>
  <c r="M22" i="4" s="1"/>
  <c r="K23" i="4"/>
  <c r="L23" i="4" s="1"/>
  <c r="M23" i="4" s="1"/>
  <c r="K24" i="4"/>
  <c r="L24" i="4" s="1"/>
  <c r="M24" i="4" s="1"/>
  <c r="K25" i="4"/>
  <c r="L25" i="4" s="1"/>
  <c r="M25" i="4" s="1"/>
  <c r="K26" i="4"/>
  <c r="L26" i="4" s="1"/>
  <c r="M26" i="4" s="1"/>
  <c r="K27" i="4"/>
  <c r="L27" i="4" s="1"/>
  <c r="M27" i="4" s="1"/>
  <c r="K28" i="4"/>
  <c r="L28" i="4" s="1"/>
  <c r="M28" i="4" s="1"/>
  <c r="K29" i="4"/>
  <c r="L29" i="4" s="1"/>
  <c r="M29" i="4" s="1"/>
  <c r="K30" i="4"/>
  <c r="L30" i="4" s="1"/>
  <c r="M30" i="4" s="1"/>
  <c r="K31" i="4"/>
  <c r="L31" i="4" s="1"/>
  <c r="M31" i="4" s="1"/>
  <c r="K32" i="4"/>
  <c r="L32" i="4" s="1"/>
  <c r="M32" i="4" s="1"/>
  <c r="K33" i="4"/>
  <c r="L33" i="4" s="1"/>
  <c r="M33" i="4" s="1"/>
  <c r="K34" i="4"/>
  <c r="L34" i="4" s="1"/>
  <c r="M34" i="4" s="1"/>
  <c r="K35" i="4"/>
  <c r="L35" i="4" s="1"/>
  <c r="M35" i="4" s="1"/>
  <c r="K36" i="4"/>
  <c r="L36" i="4" s="1"/>
  <c r="M36" i="4" s="1"/>
  <c r="K37" i="4"/>
  <c r="L37" i="4" s="1"/>
  <c r="M37" i="4" s="1"/>
  <c r="K38" i="4"/>
  <c r="L38" i="4" s="1"/>
  <c r="M38" i="4" s="1"/>
  <c r="K39" i="4"/>
  <c r="L39" i="4" s="1"/>
  <c r="M39" i="4" s="1"/>
  <c r="K40" i="4"/>
  <c r="L40" i="4" s="1"/>
  <c r="M40" i="4" s="1"/>
  <c r="K41" i="4"/>
  <c r="L41" i="4" s="1"/>
  <c r="M41" i="4" s="1"/>
  <c r="K42" i="4"/>
  <c r="L42" i="4" s="1"/>
  <c r="M42" i="4" s="1"/>
  <c r="K43" i="4"/>
  <c r="L43" i="4" s="1"/>
  <c r="M43" i="4" s="1"/>
  <c r="K44" i="4"/>
  <c r="L44" i="4" s="1"/>
  <c r="M44" i="4" s="1"/>
  <c r="K45" i="4"/>
  <c r="L45" i="4" s="1"/>
  <c r="M45" i="4" s="1"/>
  <c r="K46" i="4"/>
  <c r="L46" i="4" s="1"/>
  <c r="M46" i="4" s="1"/>
  <c r="K47" i="4"/>
  <c r="L47" i="4" s="1"/>
  <c r="M47" i="4" s="1"/>
  <c r="K48" i="4"/>
  <c r="L48" i="4" s="1"/>
  <c r="M48" i="4" s="1"/>
  <c r="K1" i="4"/>
  <c r="L1" i="4" s="1"/>
  <c r="M1" i="4" s="1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" i="4"/>
  <c r="AO3" i="1" l="1"/>
  <c r="AN3" i="1"/>
  <c r="AI3" i="1" l="1"/>
  <c r="AP3" i="1" s="1"/>
  <c r="AA3" i="1"/>
  <c r="AB3" i="1" s="1"/>
  <c r="X3" i="1" l="1"/>
  <c r="F3" i="1"/>
  <c r="AM3" i="1" s="1"/>
</calcChain>
</file>

<file path=xl/sharedStrings.xml><?xml version="1.0" encoding="utf-8"?>
<sst xmlns="http://schemas.openxmlformats.org/spreadsheetml/2006/main" count="29169" uniqueCount="2969">
  <si>
    <t>Row_Number</t>
  </si>
  <si>
    <t>Term_Effective_Date</t>
  </si>
  <si>
    <t>Project_Duration</t>
  </si>
  <si>
    <t>Construction_Member_Out_Of_Residence_Duration_Name</t>
  </si>
  <si>
    <t>More than 30 days</t>
  </si>
  <si>
    <t>Not at all</t>
  </si>
  <si>
    <t>30 days or less</t>
  </si>
  <si>
    <t>Construction Type</t>
  </si>
  <si>
    <t>Replacement_Cost_Amt</t>
  </si>
  <si>
    <t>Other_Structures_Amt</t>
  </si>
  <si>
    <t>Contents_Amt</t>
  </si>
  <si>
    <t>Homeowners_Risk_Location_Loss_Of_Use_Limit_Amt</t>
  </si>
  <si>
    <t>State_Province_Cd</t>
  </si>
  <si>
    <t>MA</t>
  </si>
  <si>
    <t>NY</t>
  </si>
  <si>
    <t>FL</t>
  </si>
  <si>
    <t>NJ</t>
  </si>
  <si>
    <t>SC</t>
  </si>
  <si>
    <t>TX</t>
  </si>
  <si>
    <t>CA</t>
  </si>
  <si>
    <t>GA</t>
  </si>
  <si>
    <t>NC</t>
  </si>
  <si>
    <t>LA</t>
  </si>
  <si>
    <t>AL</t>
  </si>
  <si>
    <t>County_Name</t>
  </si>
  <si>
    <t>Nantucket</t>
  </si>
  <si>
    <t>Suffolk</t>
  </si>
  <si>
    <t>Palm Beach</t>
  </si>
  <si>
    <t>Pinellas</t>
  </si>
  <si>
    <t>New York</t>
  </si>
  <si>
    <t>Atlantic</t>
  </si>
  <si>
    <t>Charleston</t>
  </si>
  <si>
    <t>Cape May</t>
  </si>
  <si>
    <t>Miami-Dade</t>
  </si>
  <si>
    <t>Manatee</t>
  </si>
  <si>
    <t>Dallas</t>
  </si>
  <si>
    <t>Westchester</t>
  </si>
  <si>
    <t>Orange</t>
  </si>
  <si>
    <t>Nassau</t>
  </si>
  <si>
    <t>Travis</t>
  </si>
  <si>
    <t>Santa Barbara</t>
  </si>
  <si>
    <t>Monroe</t>
  </si>
  <si>
    <t>Beaufort</t>
  </si>
  <si>
    <t>Baldwin</t>
  </si>
  <si>
    <t>Harris</t>
  </si>
  <si>
    <t>Mecklenburg</t>
  </si>
  <si>
    <t>Los Angeles</t>
  </si>
  <si>
    <t>Dutchess</t>
  </si>
  <si>
    <t>Iberville</t>
  </si>
  <si>
    <t>Buncombe</t>
  </si>
  <si>
    <t>Plymouth</t>
  </si>
  <si>
    <t>Barnstable</t>
  </si>
  <si>
    <t>Monmouth</t>
  </si>
  <si>
    <t>Middlesex</t>
  </si>
  <si>
    <t>Indian River</t>
  </si>
  <si>
    <t>Dukes</t>
  </si>
  <si>
    <t>Greenville</t>
  </si>
  <si>
    <t>Fulton</t>
  </si>
  <si>
    <t>Duval</t>
  </si>
  <si>
    <t>Nueces</t>
  </si>
  <si>
    <t>Norfolk</t>
  </si>
  <si>
    <t>Martin</t>
  </si>
  <si>
    <t>San Francisco</t>
  </si>
  <si>
    <t>Collier</t>
  </si>
  <si>
    <t>New Hanover</t>
  </si>
  <si>
    <t>Marin</t>
  </si>
  <si>
    <t>San Mateo</t>
  </si>
  <si>
    <t>Kings</t>
  </si>
  <si>
    <t>Broward</t>
  </si>
  <si>
    <t>Watauga</t>
  </si>
  <si>
    <t>Ocean</t>
  </si>
  <si>
    <t>Walton</t>
  </si>
  <si>
    <t>Jackson</t>
  </si>
  <si>
    <t>Lee</t>
  </si>
  <si>
    <t>Hays</t>
  </si>
  <si>
    <t>Essex</t>
  </si>
  <si>
    <t>Riverside</t>
  </si>
  <si>
    <t>San Diego</t>
  </si>
  <si>
    <t>Bay</t>
  </si>
  <si>
    <t>De Witt</t>
  </si>
  <si>
    <t>Berkshire</t>
  </si>
  <si>
    <t>Somerset</t>
  </si>
  <si>
    <t>Hillsborough</t>
  </si>
  <si>
    <t>Santa Clara</t>
  </si>
  <si>
    <t>Transylvania</t>
  </si>
  <si>
    <t>Denton</t>
  </si>
  <si>
    <t>Brevard</t>
  </si>
  <si>
    <t>Santa Cruz</t>
  </si>
  <si>
    <t>Tompkins</t>
  </si>
  <si>
    <t>Gulf</t>
  </si>
  <si>
    <t>Greene</t>
  </si>
  <si>
    <t>Bergen</t>
  </si>
  <si>
    <t>Sussex</t>
  </si>
  <si>
    <t>Wake</t>
  </si>
  <si>
    <t>Georgetown</t>
  </si>
  <si>
    <t>Fannin</t>
  </si>
  <si>
    <t>Horry</t>
  </si>
  <si>
    <t>Sarasota</t>
  </si>
  <si>
    <t>Morris</t>
  </si>
  <si>
    <t>Contra Costa</t>
  </si>
  <si>
    <t>Union</t>
  </si>
  <si>
    <t>Monterey</t>
  </si>
  <si>
    <t>Fayette</t>
  </si>
  <si>
    <t>Saint Johns</t>
  </si>
  <si>
    <t>Alameda</t>
  </si>
  <si>
    <t>Franklin</t>
  </si>
  <si>
    <t>Hudson</t>
  </si>
  <si>
    <t>Orleans</t>
  </si>
  <si>
    <t>43 Kendrick Street</t>
  </si>
  <si>
    <t>128 Lily Pond</t>
  </si>
  <si>
    <t>17 Hedges Lane</t>
  </si>
  <si>
    <t>East Hampton</t>
  </si>
  <si>
    <t>126 Cortez Rd</t>
  </si>
  <si>
    <t>West Palm Beach</t>
  </si>
  <si>
    <t>705 S Ocean Boulevard</t>
  </si>
  <si>
    <t>Delray Beach</t>
  </si>
  <si>
    <t>39 Park Circle</t>
  </si>
  <si>
    <t>Quogue</t>
  </si>
  <si>
    <t>17500 Loch Lomond Way</t>
  </si>
  <si>
    <t>Boca Raton</t>
  </si>
  <si>
    <t>300 Beach Drive NE</t>
  </si>
  <si>
    <t>Unit 2901</t>
  </si>
  <si>
    <t>St Petersburg</t>
  </si>
  <si>
    <t>615 S Beach Dr</t>
  </si>
  <si>
    <t>Jupiter</t>
  </si>
  <si>
    <t>145 Central Park West</t>
  </si>
  <si>
    <t>APT 26-27 C</t>
  </si>
  <si>
    <t>2 S Wyoming Ave</t>
  </si>
  <si>
    <t>Ventnor City</t>
  </si>
  <si>
    <t>3034 Marshall Boulevard</t>
  </si>
  <si>
    <t>Sullivans Island</t>
  </si>
  <si>
    <t>379 93rd st</t>
  </si>
  <si>
    <t>Stone Harbor</t>
  </si>
  <si>
    <t>23 Grey Widgeon Lane</t>
  </si>
  <si>
    <t>Kiawah Island</t>
  </si>
  <si>
    <t>800 S Ocean Blvd</t>
  </si>
  <si>
    <t>#301</t>
  </si>
  <si>
    <t>18925 NE 21st Ave</t>
  </si>
  <si>
    <t>N Miami Beach</t>
  </si>
  <si>
    <t>8208 Jack Nicklaus Cove</t>
  </si>
  <si>
    <t>Bradenton</t>
  </si>
  <si>
    <t>65 Horatio Street</t>
  </si>
  <si>
    <t>2801 Turtle Creek Blvd</t>
  </si>
  <si>
    <t>11th Floor</t>
  </si>
  <si>
    <t>3 Assups Neck Ln</t>
  </si>
  <si>
    <t>21 East 79th Street</t>
  </si>
  <si>
    <t>5th Floor</t>
  </si>
  <si>
    <t>1045 Park Avenue</t>
  </si>
  <si>
    <t>#12A</t>
  </si>
  <si>
    <t>32 Gray Rock Lane</t>
  </si>
  <si>
    <t>Chappaqua</t>
  </si>
  <si>
    <t>12 Bayview Dr</t>
  </si>
  <si>
    <t>5318 Isleworth Country Club Drive</t>
  </si>
  <si>
    <t>Windermere</t>
  </si>
  <si>
    <t>7290 SW 90 St F 204</t>
  </si>
  <si>
    <t>Miami</t>
  </si>
  <si>
    <t>9 Terrace Park</t>
  </si>
  <si>
    <t>Garden City</t>
  </si>
  <si>
    <t>2984 Appaloosa Trail</t>
  </si>
  <si>
    <t>Wellington</t>
  </si>
  <si>
    <t>1160 S Ocean Blvd</t>
  </si>
  <si>
    <t>Manalapan</t>
  </si>
  <si>
    <t>1314 Alta Vista Avenue</t>
  </si>
  <si>
    <t>Austin</t>
  </si>
  <si>
    <t>78 Seaview</t>
  </si>
  <si>
    <t>224 Tide Ave</t>
  </si>
  <si>
    <t>Tavernier</t>
  </si>
  <si>
    <t>130 Barrow St</t>
  </si>
  <si>
    <t>Unit 101</t>
  </si>
  <si>
    <t>54 Oyster Shores Rd</t>
  </si>
  <si>
    <t>403 Old Stone Hwy</t>
  </si>
  <si>
    <t>33 Combahee Rd</t>
  </si>
  <si>
    <t>Hilton Head Island</t>
  </si>
  <si>
    <t>174 Deepstep Rd</t>
  </si>
  <si>
    <t>Milledgeville</t>
  </si>
  <si>
    <t>37 CHARLTON STREET</t>
  </si>
  <si>
    <t>NEW YORK</t>
  </si>
  <si>
    <t>3723 Knollwood Drive</t>
  </si>
  <si>
    <t>Houston</t>
  </si>
  <si>
    <t>221 Cottage Place</t>
  </si>
  <si>
    <t>Charlotte</t>
  </si>
  <si>
    <t>733 Park Avenue, Unit 14</t>
  </si>
  <si>
    <t>9007 Wonderland Park Avenue</t>
  </si>
  <si>
    <t>136 Redtail Pass</t>
  </si>
  <si>
    <t>Amenia</t>
  </si>
  <si>
    <t>1200 Lawrence Pkwy</t>
  </si>
  <si>
    <t>Saint Gabriel</t>
  </si>
  <si>
    <t>22 Rock Vista Way</t>
  </si>
  <si>
    <t>Arden</t>
  </si>
  <si>
    <t>390 West End Avenue</t>
  </si>
  <si>
    <t>#11J</t>
  </si>
  <si>
    <t>15 Dawns Light</t>
  </si>
  <si>
    <t>21 Fordune Drive</t>
  </si>
  <si>
    <t>Southampton</t>
  </si>
  <si>
    <t>95 Sunset Lane</t>
  </si>
  <si>
    <t>671 Old Post Rd</t>
  </si>
  <si>
    <t>Cotuit</t>
  </si>
  <si>
    <t>13 Dune Walk</t>
  </si>
  <si>
    <t>Davis Park</t>
  </si>
  <si>
    <t>35 Heron Drive</t>
  </si>
  <si>
    <t>Avalon</t>
  </si>
  <si>
    <t>411 8th Avenue</t>
  </si>
  <si>
    <t>Belmar</t>
  </si>
  <si>
    <t>114 Clyde St</t>
  </si>
  <si>
    <t>Brookline</t>
  </si>
  <si>
    <t>17 Painted Bunting Rd</t>
  </si>
  <si>
    <t>701 Shady Lake Lane</t>
  </si>
  <si>
    <t>Indian River Shores</t>
  </si>
  <si>
    <t>3214 Ella Lee Ln</t>
  </si>
  <si>
    <t>87 Cooke Street</t>
  </si>
  <si>
    <t>edgartown</t>
  </si>
  <si>
    <t>22 Highland Street</t>
  </si>
  <si>
    <t>Cambridge</t>
  </si>
  <si>
    <t>301 S Gulfview Blvd Unit 503</t>
  </si>
  <si>
    <t>Clearwater</t>
  </si>
  <si>
    <t>22 PULPIT LN</t>
  </si>
  <si>
    <t>EDGARTOWN</t>
  </si>
  <si>
    <t>26 Donatello Court</t>
  </si>
  <si>
    <t>211 N Esplande</t>
  </si>
  <si>
    <t>Alpharetta</t>
  </si>
  <si>
    <t>2 Charlton St</t>
  </si>
  <si>
    <t>PHD &amp; PHC</t>
  </si>
  <si>
    <t>new york</t>
  </si>
  <si>
    <t>10 Lloyd Lane</t>
  </si>
  <si>
    <t>East Sandwich</t>
  </si>
  <si>
    <t>7650 SMULLIAN TRL W</t>
  </si>
  <si>
    <t>JACKSONVILLE</t>
  </si>
  <si>
    <t>18 Sherburne Tpk</t>
  </si>
  <si>
    <t>3221 Monet Drive W</t>
  </si>
  <si>
    <t>Palm Beach Gardens</t>
  </si>
  <si>
    <t>2730 Meade Court</t>
  </si>
  <si>
    <t>50 Liberty Drive</t>
  </si>
  <si>
    <t>PH1B</t>
  </si>
  <si>
    <t>Boston</t>
  </si>
  <si>
    <t>303 Ocean Ave</t>
  </si>
  <si>
    <t>150 Tucked Away Ln</t>
  </si>
  <si>
    <t>Port Aransas</t>
  </si>
  <si>
    <t>39 Middle Lane</t>
  </si>
  <si>
    <t>923 FIFTH AVE</t>
  </si>
  <si>
    <t>APT 2A</t>
  </si>
  <si>
    <t>17 Pearl Ave</t>
  </si>
  <si>
    <t>Hyannis Port</t>
  </si>
  <si>
    <t>70 Country Way</t>
  </si>
  <si>
    <t>Needham</t>
  </si>
  <si>
    <t>6 Bootleggers Alley</t>
  </si>
  <si>
    <t>Shelter Island</t>
  </si>
  <si>
    <t>7431 E 201st ST</t>
  </si>
  <si>
    <t>2505 Rivers Rd</t>
  </si>
  <si>
    <t>Atlanta</t>
  </si>
  <si>
    <t>205 E 78th Street</t>
  </si>
  <si>
    <t>3j</t>
  </si>
  <si>
    <t>956 Waverly Way NE</t>
  </si>
  <si>
    <t>310 S Beach Rd</t>
  </si>
  <si>
    <t>Hobe Sound</t>
  </si>
  <si>
    <t>1013 Guerrero Street</t>
  </si>
  <si>
    <t>55 13th Avenue South</t>
  </si>
  <si>
    <t>Naples</t>
  </si>
  <si>
    <t>24 Cedar Place</t>
  </si>
  <si>
    <t>116 Blue Heron Pond Road</t>
  </si>
  <si>
    <t>4301 Gulf Shore Blvd N</t>
  </si>
  <si>
    <t>Park Plaza 501</t>
  </si>
  <si>
    <t>1 BEACH BAY LANE EAST</t>
  </si>
  <si>
    <t>WILMINGTON</t>
  </si>
  <si>
    <t>238 Seadrift</t>
  </si>
  <si>
    <t>Stinson Beach</t>
  </si>
  <si>
    <t>10490 Wilshire Blvd</t>
  </si>
  <si>
    <t>202 &amp; 210 Atherton Ave</t>
  </si>
  <si>
    <t>Atherton</t>
  </si>
  <si>
    <t>87 Otter Island Rd</t>
  </si>
  <si>
    <t>8814 Stable Crest Blvd</t>
  </si>
  <si>
    <t>30 College Pl</t>
  </si>
  <si>
    <t>Brooklyn</t>
  </si>
  <si>
    <t>3780 FORT CHARLES</t>
  </si>
  <si>
    <t>NAPLES</t>
  </si>
  <si>
    <t>1281 NE Langford Lane</t>
  </si>
  <si>
    <t>Jensen Beach</t>
  </si>
  <si>
    <t>1099 Nelson's Walk</t>
  </si>
  <si>
    <t>70 Compass Lane</t>
  </si>
  <si>
    <t>Fort Lauderdale</t>
  </si>
  <si>
    <t>13678 DEERING BAY DRIVE</t>
  </si>
  <si>
    <t>CORAL GABLES</t>
  </si>
  <si>
    <t>138 Nashawtuc Road</t>
  </si>
  <si>
    <t>Concord</t>
  </si>
  <si>
    <t>22 PLUM BEACH POINT RD</t>
  </si>
  <si>
    <t>SANDS POINT</t>
  </si>
  <si>
    <t>1500 Green Hill Road</t>
  </si>
  <si>
    <t>Blowing Rock</t>
  </si>
  <si>
    <t>353 Tide Pond Road</t>
  </si>
  <si>
    <t>Mantoloking</t>
  </si>
  <si>
    <t>5533 W Hwy 30A</t>
  </si>
  <si>
    <t>Santa Rosa Beach</t>
  </si>
  <si>
    <t>3471 N Norton Rd</t>
  </si>
  <si>
    <t>Barn</t>
  </si>
  <si>
    <t>Cullowhee</t>
  </si>
  <si>
    <t>267 Palm Avenue</t>
  </si>
  <si>
    <t>Boca Grande</t>
  </si>
  <si>
    <t>5800 SW 87th Street</t>
  </si>
  <si>
    <t>Aka 5820 SW 87 S</t>
  </si>
  <si>
    <t>South Miami</t>
  </si>
  <si>
    <t>2319 Thurman Roberts Way</t>
  </si>
  <si>
    <t>Driftwood</t>
  </si>
  <si>
    <t>52 MIRABEL AVE</t>
  </si>
  <si>
    <t>SAN FRANCISCO</t>
  </si>
  <si>
    <t>10603 Charleston Drive</t>
  </si>
  <si>
    <t>Vero Beach</t>
  </si>
  <si>
    <t>49 Wingaersheek Road</t>
  </si>
  <si>
    <t>Gloucester</t>
  </si>
  <si>
    <t>360 N Bay Road</t>
  </si>
  <si>
    <t>Osterville</t>
  </si>
  <si>
    <t>2122 Bay Ave</t>
  </si>
  <si>
    <t>Miami Beach</t>
  </si>
  <si>
    <t>10 Old Jackson Avenue Unit #11</t>
  </si>
  <si>
    <t>Hastings on Hudson</t>
  </si>
  <si>
    <t>165 Oneck Lane</t>
  </si>
  <si>
    <t>Westhampton Beach</t>
  </si>
  <si>
    <t>3298 Tiger Tail Lane</t>
  </si>
  <si>
    <t>Palm Springs</t>
  </si>
  <si>
    <t>53 LILY POND LANE</t>
  </si>
  <si>
    <t>EAST HAMPTON</t>
  </si>
  <si>
    <t>13 E 27th Street</t>
  </si>
  <si>
    <t>Barnegat Light</t>
  </si>
  <si>
    <t>18163 Via de Fortuna</t>
  </si>
  <si>
    <t>Encinitas</t>
  </si>
  <si>
    <t>587 Ocean Boulevard</t>
  </si>
  <si>
    <t>1206 E Ashley Ave</t>
  </si>
  <si>
    <t>Folly Beach</t>
  </si>
  <si>
    <t>40 N La Senda Drive</t>
  </si>
  <si>
    <t>Laguna Beach</t>
  </si>
  <si>
    <t>142 Lodge Way</t>
  </si>
  <si>
    <t>Lake Placid</t>
  </si>
  <si>
    <t>403 Lago Verde Rd</t>
  </si>
  <si>
    <t>63 Mt Pelia Rd</t>
  </si>
  <si>
    <t>Bluffton</t>
  </si>
  <si>
    <t>4211 S Ocean Blvd</t>
  </si>
  <si>
    <t>TH2</t>
  </si>
  <si>
    <t>Highland Beach</t>
  </si>
  <si>
    <t>75 Howard Street</t>
  </si>
  <si>
    <t>#2004</t>
  </si>
  <si>
    <t>469 Mamaroneck Rd</t>
  </si>
  <si>
    <t>Scarsdale</t>
  </si>
  <si>
    <t>7025 Nassau Point</t>
  </si>
  <si>
    <t>Cutchogue</t>
  </si>
  <si>
    <t>276 Beachside Drive</t>
  </si>
  <si>
    <t>Panama City Beach</t>
  </si>
  <si>
    <t>15 Central Park West</t>
  </si>
  <si>
    <t>Apt 14G</t>
  </si>
  <si>
    <t>9707 Wildwood Hills Lane</t>
  </si>
  <si>
    <t>33 Quail Lane</t>
  </si>
  <si>
    <t>7827 Mandarin Drive</t>
  </si>
  <si>
    <t>135 Deerpath Road</t>
  </si>
  <si>
    <t>Roslyn Heights</t>
  </si>
  <si>
    <t>1221 Jones St</t>
  </si>
  <si>
    <t>C3</t>
  </si>
  <si>
    <t>1234 MORITZ RD</t>
  </si>
  <si>
    <t>MEYERSVILLE</t>
  </si>
  <si>
    <t>311 West 4th Street</t>
  </si>
  <si>
    <t>5 SOUNDS POINT RD</t>
  </si>
  <si>
    <t>2058 Sunnybank Drive</t>
  </si>
  <si>
    <t>La Canada Flintridge</t>
  </si>
  <si>
    <t>16 Highland Drive</t>
  </si>
  <si>
    <t>Great Barrington</t>
  </si>
  <si>
    <t>115-119 Dune Rd.</t>
  </si>
  <si>
    <t>West Hampton Beach</t>
  </si>
  <si>
    <t>109 E 79th Street PH17</t>
  </si>
  <si>
    <t>19 Lawson Way</t>
  </si>
  <si>
    <t>7520 Pepita Way</t>
  </si>
  <si>
    <t>La Jolla</t>
  </si>
  <si>
    <t>4120 Cromwell Ave</t>
  </si>
  <si>
    <t>257 Toyopa Drive</t>
  </si>
  <si>
    <t>Pacific Palisades</t>
  </si>
  <si>
    <t>3365 Chatham Road NW</t>
  </si>
  <si>
    <t>109 Inagua Lane</t>
  </si>
  <si>
    <t>Bonita Springs</t>
  </si>
  <si>
    <t>36 Ash Lane</t>
  </si>
  <si>
    <t>Sherborn</t>
  </si>
  <si>
    <t>1 West 72nd Street</t>
  </si>
  <si>
    <t>Apt. 76</t>
  </si>
  <si>
    <t>581 Amalfi Dr</t>
  </si>
  <si>
    <t>83 Horatio Street</t>
  </si>
  <si>
    <t>4805 Merlendale Court NW</t>
  </si>
  <si>
    <t>9 Sunset Rd</t>
  </si>
  <si>
    <t>Rye</t>
  </si>
  <si>
    <t>12538 Cypress Island Way</t>
  </si>
  <si>
    <t>1125 San Mateo Dr</t>
  </si>
  <si>
    <t>Menlo Park</t>
  </si>
  <si>
    <t>461 Spook Hollow Road</t>
  </si>
  <si>
    <t>Far Hills</t>
  </si>
  <si>
    <t>571 East Broadway</t>
  </si>
  <si>
    <t>Haverhill</t>
  </si>
  <si>
    <t>6231 Woods Bridge Way</t>
  </si>
  <si>
    <t>310 Blanca Lane</t>
  </si>
  <si>
    <t>Tampa</t>
  </si>
  <si>
    <t>2320 Lyon St</t>
  </si>
  <si>
    <t>10 Fulling Mill Rd</t>
  </si>
  <si>
    <t>1425 Brickell Ave Apt 60C</t>
  </si>
  <si>
    <t>9332 Nightingale Drive</t>
  </si>
  <si>
    <t>102 Andros Rd</t>
  </si>
  <si>
    <t>Key Largo</t>
  </si>
  <si>
    <t>41 Cheever Circle</t>
  </si>
  <si>
    <t>Andover</t>
  </si>
  <si>
    <t>1404 3rd Street North</t>
  </si>
  <si>
    <t>Safety Harbor</t>
  </si>
  <si>
    <t>1870 Deerfield Road</t>
  </si>
  <si>
    <t>Water Mill</t>
  </si>
  <si>
    <t>5323 Gorham Dr</t>
  </si>
  <si>
    <t>30 Clearview Dr</t>
  </si>
  <si>
    <t>Sag Harbor</t>
  </si>
  <si>
    <t>188 Hesperus Ave</t>
  </si>
  <si>
    <t>308 Sea Cliff Ave</t>
  </si>
  <si>
    <t>2 WEST WATER ST</t>
  </si>
  <si>
    <t>Building B</t>
  </si>
  <si>
    <t>SAG HARBOR</t>
  </si>
  <si>
    <t>1455 Ocean Drive</t>
  </si>
  <si>
    <t>Unit 1103 and 1102</t>
  </si>
  <si>
    <t>408 Eleanor Drive</t>
  </si>
  <si>
    <t>Detached structures</t>
  </si>
  <si>
    <t>Woodside</t>
  </si>
  <si>
    <t>4229 SE Frazier Court</t>
  </si>
  <si>
    <t>Stuart</t>
  </si>
  <si>
    <t>473 Banyan Blvd</t>
  </si>
  <si>
    <t>5 Carriage Lane</t>
  </si>
  <si>
    <t>Yarmouthport</t>
  </si>
  <si>
    <t>236 Churchill Avenue</t>
  </si>
  <si>
    <t>Palo Alto</t>
  </si>
  <si>
    <t>1220 Mount Paran Rd NW</t>
  </si>
  <si>
    <t>3208 Pilots Point Circle</t>
  </si>
  <si>
    <t>17 Spring Hill Lane</t>
  </si>
  <si>
    <t>Detached Structure</t>
  </si>
  <si>
    <t>Old Westbury</t>
  </si>
  <si>
    <t>106 Briar Patch Rd</t>
  </si>
  <si>
    <t>405 S Atlantic Drive</t>
  </si>
  <si>
    <t>Lantana</t>
  </si>
  <si>
    <t>1030 Fifth Ave #12</t>
  </si>
  <si>
    <t>524 East 89th Street</t>
  </si>
  <si>
    <t>C/O Hottensen</t>
  </si>
  <si>
    <t>4020 S Fletcher Ave</t>
  </si>
  <si>
    <t>Fernandina Beach</t>
  </si>
  <si>
    <t>69 Live Oak St</t>
  </si>
  <si>
    <t>46 Hickory Street</t>
  </si>
  <si>
    <t>42 Hickory Street</t>
  </si>
  <si>
    <t>304 Beacon St</t>
  </si>
  <si>
    <t>Apt 1</t>
  </si>
  <si>
    <t>55 Toylsome Ln</t>
  </si>
  <si>
    <t>14577 Via De Marcos</t>
  </si>
  <si>
    <t>Saratoga</t>
  </si>
  <si>
    <t>144 Fiesta Way</t>
  </si>
  <si>
    <t>122 Pembroke Street</t>
  </si>
  <si>
    <t>381 Cooper Road</t>
  </si>
  <si>
    <t>Red Bank</t>
  </si>
  <si>
    <t>15 Richbell Rd</t>
  </si>
  <si>
    <t>25466 Adobe Lane</t>
  </si>
  <si>
    <t>Los Altos Hills</t>
  </si>
  <si>
    <t>400 Castle Place</t>
  </si>
  <si>
    <t>Beverly Hills</t>
  </si>
  <si>
    <t>906 Arrowhead Rd</t>
  </si>
  <si>
    <t>Chapel Hill</t>
  </si>
  <si>
    <t>250 Harbor Drive</t>
  </si>
  <si>
    <t>Key Biscayne</t>
  </si>
  <si>
    <t>1500 S Beach Road</t>
  </si>
  <si>
    <t>Tequesta</t>
  </si>
  <si>
    <t>17 Singleton Beach Pl</t>
  </si>
  <si>
    <t>425 Marguerita Ave</t>
  </si>
  <si>
    <t>Santa Monica</t>
  </si>
  <si>
    <t>22 Meadowlark Ln</t>
  </si>
  <si>
    <t>52 Shore Road</t>
  </si>
  <si>
    <t>Amagansett</t>
  </si>
  <si>
    <t>234 S Rimpau Blvd</t>
  </si>
  <si>
    <t>92 Jackstay Ct.</t>
  </si>
  <si>
    <t>400 Alton Road</t>
  </si>
  <si>
    <t>Unit 3103</t>
  </si>
  <si>
    <t>5951 W County Highway 30A</t>
  </si>
  <si>
    <t>Unit 7</t>
  </si>
  <si>
    <t>13 Bridgetown Rd</t>
  </si>
  <si>
    <t>80 Stonehill Drive E</t>
  </si>
  <si>
    <t>Manhasset</t>
  </si>
  <si>
    <t>64 Toxaway Shores</t>
  </si>
  <si>
    <t>Building A Unit 3</t>
  </si>
  <si>
    <t>Lake Toxaway</t>
  </si>
  <si>
    <t>133 Pepper Ave.</t>
  </si>
  <si>
    <t>Burlingame</t>
  </si>
  <si>
    <t>333 12th St</t>
  </si>
  <si>
    <t>2002 Rock Dove Court</t>
  </si>
  <si>
    <t>Westlake</t>
  </si>
  <si>
    <t>449 Blank Lane</t>
  </si>
  <si>
    <t>4 Sutton Square</t>
  </si>
  <si>
    <t>12 Green Street</t>
  </si>
  <si>
    <t>1412 S Riverside Dr</t>
  </si>
  <si>
    <t>Indialantic</t>
  </si>
  <si>
    <t>128 Reef Mall</t>
  </si>
  <si>
    <t>Marina Del Rey</t>
  </si>
  <si>
    <t>414 Clermont Ave</t>
  </si>
  <si>
    <t>50 3rd St</t>
  </si>
  <si>
    <t>600 Moreno Ave</t>
  </si>
  <si>
    <t>16 Madison Drive</t>
  </si>
  <si>
    <t>Montauk</t>
  </si>
  <si>
    <t>185 Dean Street</t>
  </si>
  <si>
    <t>44 Maple Hill Rd</t>
  </si>
  <si>
    <t>West Stockbridge</t>
  </si>
  <si>
    <t>1307 W Cliff Dr</t>
  </si>
  <si>
    <t>961 Taughannock Blvd</t>
  </si>
  <si>
    <t>Ithaca</t>
  </si>
  <si>
    <t>222 Dunes Dr</t>
  </si>
  <si>
    <t>Mexico Beach</t>
  </si>
  <si>
    <t>8 Star Lane</t>
  </si>
  <si>
    <t>Windham</t>
  </si>
  <si>
    <t>3 Bond Street</t>
  </si>
  <si>
    <t>2090 Mandeville Canyon Road</t>
  </si>
  <si>
    <t>7023 Erin Ct</t>
  </si>
  <si>
    <t>4201 Gulf Shore Blvd</t>
  </si>
  <si>
    <t>#401</t>
  </si>
  <si>
    <t>100 Prince St</t>
  </si>
  <si>
    <t>Unit 3W</t>
  </si>
  <si>
    <t>New york</t>
  </si>
  <si>
    <t>5525 IsleWorth Country Club Dr</t>
  </si>
  <si>
    <t>126 Summit Road</t>
  </si>
  <si>
    <t>La Verne</t>
  </si>
  <si>
    <t>1105 Berkshire Road</t>
  </si>
  <si>
    <t>16 Bayside North</t>
  </si>
  <si>
    <t>Edgartown</t>
  </si>
  <si>
    <t>6800 Fisher Island Drive</t>
  </si>
  <si>
    <t>PH6802</t>
  </si>
  <si>
    <t>Apt.16-17A</t>
  </si>
  <si>
    <t>109 Commonwealth Ave</t>
  </si>
  <si>
    <t>Apt 7</t>
  </si>
  <si>
    <t>7694 Exchange Pl</t>
  </si>
  <si>
    <t>460 Solano Prado</t>
  </si>
  <si>
    <t>190 Concord Road</t>
  </si>
  <si>
    <t>Weston</t>
  </si>
  <si>
    <t>299 West 12th St PHA</t>
  </si>
  <si>
    <t>7280 SE Medalist Place</t>
  </si>
  <si>
    <t>1122 Ramapo Valley Road</t>
  </si>
  <si>
    <t>Mahwah</t>
  </si>
  <si>
    <t>180 East 88th Street</t>
  </si>
  <si>
    <t>#3A and #4A</t>
  </si>
  <si>
    <t>366 Yale Ave</t>
  </si>
  <si>
    <t>Woodmere</t>
  </si>
  <si>
    <t>25 Park Avenue</t>
  </si>
  <si>
    <t>Larchmont</t>
  </si>
  <si>
    <t>144 East Shore Culver Rd.</t>
  </si>
  <si>
    <t>Branchville</t>
  </si>
  <si>
    <t>205 Ashworth Drive</t>
  </si>
  <si>
    <t>Rollingwood</t>
  </si>
  <si>
    <t>727 Washington Street</t>
  </si>
  <si>
    <t>199 Coopers Neck Lane</t>
  </si>
  <si>
    <t>158 Swift Ave</t>
  </si>
  <si>
    <t>700 Park Lane</t>
  </si>
  <si>
    <t>1 Hance Rd</t>
  </si>
  <si>
    <t>Fair Haven</t>
  </si>
  <si>
    <t>1045 Seawane Drive</t>
  </si>
  <si>
    <t>Hewlett</t>
  </si>
  <si>
    <t>107 Tradd St</t>
  </si>
  <si>
    <t>17 Coast Guard Road</t>
  </si>
  <si>
    <t>Truro</t>
  </si>
  <si>
    <t>965 Fifth Ave</t>
  </si>
  <si>
    <t>12A &amp; 12C</t>
  </si>
  <si>
    <t>11 Berkeley St</t>
  </si>
  <si>
    <t>146 Seaspray Avenue</t>
  </si>
  <si>
    <t>161 N Vista</t>
  </si>
  <si>
    <t>652 Shore Acres Dr</t>
  </si>
  <si>
    <t>Mamaroneck</t>
  </si>
  <si>
    <t>41 South Water Street</t>
  </si>
  <si>
    <t>10 Woodland Way</t>
  </si>
  <si>
    <t>74 Milk Street</t>
  </si>
  <si>
    <t>2011 Park Drive</t>
  </si>
  <si>
    <t>2 Beach Bay Lane</t>
  </si>
  <si>
    <t>Wilmington</t>
  </si>
  <si>
    <t>720 Hillsborough Boulevard</t>
  </si>
  <si>
    <t>1116 Laurel Way</t>
  </si>
  <si>
    <t>2 Laurel St</t>
  </si>
  <si>
    <t>Charlestown</t>
  </si>
  <si>
    <t>6226 Richard Bradley Dr</t>
  </si>
  <si>
    <t>(Guest House Construction)</t>
  </si>
  <si>
    <t>1 Seacoast Ln</t>
  </si>
  <si>
    <t>Sands Point</t>
  </si>
  <si>
    <t>227 Rugby Road</t>
  </si>
  <si>
    <t>139 Santa Lucia Drive</t>
  </si>
  <si>
    <t>34 Proctor St</t>
  </si>
  <si>
    <t>Manchester</t>
  </si>
  <si>
    <t>Unit 37A</t>
  </si>
  <si>
    <t>9440 Old Cutler Road</t>
  </si>
  <si>
    <t>Coral Gables</t>
  </si>
  <si>
    <t>145 Hudson St</t>
  </si>
  <si>
    <t>#8b</t>
  </si>
  <si>
    <t>36 East Twin Road</t>
  </si>
  <si>
    <t>Highlands</t>
  </si>
  <si>
    <t>2 Alexandra Way</t>
  </si>
  <si>
    <t>Hingham</t>
  </si>
  <si>
    <t>10135 Gulf Shore Drive</t>
  </si>
  <si>
    <t>200 Waterway Ave</t>
  </si>
  <si>
    <t>7 East 81st Street</t>
  </si>
  <si>
    <t>1200 Seawane Drive</t>
  </si>
  <si>
    <t>2805 Lakeview Dr</t>
  </si>
  <si>
    <t>Raleigh</t>
  </si>
  <si>
    <t>355 Via Del Norte</t>
  </si>
  <si>
    <t>La JOlla</t>
  </si>
  <si>
    <t>2275 Southridge Drive</t>
  </si>
  <si>
    <t>100 Palo Alto Avenue</t>
  </si>
  <si>
    <t>3570 21st St</t>
  </si>
  <si>
    <t>263 W 11th Street</t>
  </si>
  <si>
    <t>170 Prospect Point Loop</t>
  </si>
  <si>
    <t>3801 Jackson Street</t>
  </si>
  <si>
    <t>11 Bittersweet Lane</t>
  </si>
  <si>
    <t>25 BEACH LANE</t>
  </si>
  <si>
    <t>QUOGUE</t>
  </si>
  <si>
    <t>136 Star Creek Cir</t>
  </si>
  <si>
    <t>Morganton</t>
  </si>
  <si>
    <t>210 Wells Rd</t>
  </si>
  <si>
    <t>980 Cape Marco Drive</t>
  </si>
  <si>
    <t>Unit 804</t>
  </si>
  <si>
    <t>Marco Island</t>
  </si>
  <si>
    <t>13 Abbies Ln</t>
  </si>
  <si>
    <t>N Falmouth</t>
  </si>
  <si>
    <t>1615 E Bay Ave</t>
  </si>
  <si>
    <t>Newport Beach</t>
  </si>
  <si>
    <t>10 Tuttle Avenue</t>
  </si>
  <si>
    <t>Spring Lake</t>
  </si>
  <si>
    <t>2339 S WACCAMAW DR</t>
  </si>
  <si>
    <t>GARDEN CITY BEACH</t>
  </si>
  <si>
    <t>98 Crowninshield Road</t>
  </si>
  <si>
    <t>83 Fairview Ave</t>
  </si>
  <si>
    <t>3930 Duval Dr</t>
  </si>
  <si>
    <t>Jacksonville Beach</t>
  </si>
  <si>
    <t>220 Hommocks Rd</t>
  </si>
  <si>
    <t>120 N Compass Dr</t>
  </si>
  <si>
    <t>120 Marlin Drive</t>
  </si>
  <si>
    <t>Ocean Ridge</t>
  </si>
  <si>
    <t>135 Crafts Road</t>
  </si>
  <si>
    <t>71 Laight St</t>
  </si>
  <si>
    <t>4D</t>
  </si>
  <si>
    <t>30 E 85th Street</t>
  </si>
  <si>
    <t>#28/29</t>
  </si>
  <si>
    <t>4 Sea Cliff Ave</t>
  </si>
  <si>
    <t>432 Seabreeze Avenue</t>
  </si>
  <si>
    <t>42 Walter St</t>
  </si>
  <si>
    <t>24 Ocean View Avenue</t>
  </si>
  <si>
    <t>172 Maui Ln</t>
  </si>
  <si>
    <t>Port Saint Joe</t>
  </si>
  <si>
    <t>191 Maui Ln</t>
  </si>
  <si>
    <t>193 Maui Ln</t>
  </si>
  <si>
    <t>1305 Beach Terrace</t>
  </si>
  <si>
    <t>Longport</t>
  </si>
  <si>
    <t>10 Chelsea Court</t>
  </si>
  <si>
    <t>Lakewood</t>
  </si>
  <si>
    <t>3471 Washington St</t>
  </si>
  <si>
    <t>480 S Beach Road</t>
  </si>
  <si>
    <t>1228 Madison Avenue</t>
  </si>
  <si>
    <t>16PH</t>
  </si>
  <si>
    <t>41 Glover Street</t>
  </si>
  <si>
    <t>1009 HILLSBORO MILE</t>
  </si>
  <si>
    <t>HILLSBORO BEACH</t>
  </si>
  <si>
    <t>752 Carolina St</t>
  </si>
  <si>
    <t>60 Beach Street</t>
  </si>
  <si>
    <t>Apt TH1</t>
  </si>
  <si>
    <t>25 Duck Hawk Rd</t>
  </si>
  <si>
    <t>979 Sea View Avenue</t>
  </si>
  <si>
    <t>14A Bonnie Heights Road</t>
  </si>
  <si>
    <t>316 West 90th Street</t>
  </si>
  <si>
    <t>105 S 22nd Avenue</t>
  </si>
  <si>
    <t>17249 Northway Circle</t>
  </si>
  <si>
    <t>17 BAYVIEW ROAD</t>
  </si>
  <si>
    <t>GUEST HOUSE</t>
  </si>
  <si>
    <t>HARWICH</t>
  </si>
  <si>
    <t>49 SNOW INN ROAD</t>
  </si>
  <si>
    <t>BOAT HOUSE</t>
  </si>
  <si>
    <t>HARWICH PORT</t>
  </si>
  <si>
    <t>3414 Shady Spring Lane</t>
  </si>
  <si>
    <t>Mountain View</t>
  </si>
  <si>
    <t>34 Easton St.</t>
  </si>
  <si>
    <t>450 Waverly Avenue</t>
  </si>
  <si>
    <t>448 Waverly AVenue</t>
  </si>
  <si>
    <t>4576 19th Street</t>
  </si>
  <si>
    <t>3515 Ridgewood Road NW</t>
  </si>
  <si>
    <t>434 8th Street</t>
  </si>
  <si>
    <t>717 N Shore Dr</t>
  </si>
  <si>
    <t>Anna Maria</t>
  </si>
  <si>
    <t>83 Page Road</t>
  </si>
  <si>
    <t>Lincoln</t>
  </si>
  <si>
    <t>8860 Hammock Lake Court</t>
  </si>
  <si>
    <t>1988 Jackson St</t>
  </si>
  <si>
    <t>9400 Little Kern Lane</t>
  </si>
  <si>
    <t>860 Admiralty Parade</t>
  </si>
  <si>
    <t>11940 Chaparal Street</t>
  </si>
  <si>
    <t>164 Orchard Avenue</t>
  </si>
  <si>
    <t>2393 Golf Brook Drive</t>
  </si>
  <si>
    <t>6624 Bob O Link</t>
  </si>
  <si>
    <t>485 South Creek Drive</t>
  </si>
  <si>
    <t>Osprey</t>
  </si>
  <si>
    <t>498 Halcyon Ave</t>
  </si>
  <si>
    <t>Fishers Island</t>
  </si>
  <si>
    <t>6020 Swiss Avenue</t>
  </si>
  <si>
    <t>33 Strand Beach Drive</t>
  </si>
  <si>
    <t>Dana Point</t>
  </si>
  <si>
    <t>17285 AVENIDA DE ACACIAS</t>
  </si>
  <si>
    <t>Rancho Santa Fe</t>
  </si>
  <si>
    <t>217 W 57th St</t>
  </si>
  <si>
    <t>Unit 64E</t>
  </si>
  <si>
    <t>62 Carlton Road</t>
  </si>
  <si>
    <t>Waban</t>
  </si>
  <si>
    <t>80 Cobb Isle Road</t>
  </si>
  <si>
    <t>7 Royal Beach</t>
  </si>
  <si>
    <t>44 Montgomery Place</t>
  </si>
  <si>
    <t>161 East 79th Street</t>
  </si>
  <si>
    <t>Apt. 12A</t>
  </si>
  <si>
    <t>160 W 66th ST</t>
  </si>
  <si>
    <t>Unit 53A</t>
  </si>
  <si>
    <t>860 Eldorado Avenue</t>
  </si>
  <si>
    <t>597 24th Street</t>
  </si>
  <si>
    <t>600 &amp; 620 Arvida Pkwy</t>
  </si>
  <si>
    <t>Recreation Building</t>
  </si>
  <si>
    <t>421 Hudson Street</t>
  </si>
  <si>
    <t>Apt 701</t>
  </si>
  <si>
    <t>43 Morgan Place</t>
  </si>
  <si>
    <t>Isle of Palms</t>
  </si>
  <si>
    <t>112 South Gordon Road</t>
  </si>
  <si>
    <t>66 Bellows Lane</t>
  </si>
  <si>
    <t>55 King Point Way</t>
  </si>
  <si>
    <t>12 Babcock Way</t>
  </si>
  <si>
    <t>Stanfordville</t>
  </si>
  <si>
    <t>545 South Mapleton Drive</t>
  </si>
  <si>
    <t>126 Commonwealth Ave</t>
  </si>
  <si>
    <t>11 Pinefield Ln</t>
  </si>
  <si>
    <t>New Vernon</t>
  </si>
  <si>
    <t>455 N PALM DRIVE #5</t>
  </si>
  <si>
    <t>BEVERLY HILLS</t>
  </si>
  <si>
    <t>71 Selby Lane</t>
  </si>
  <si>
    <t>40 Hedges Banks Dr</t>
  </si>
  <si>
    <t>19 East 72nd St Apt 6A</t>
  </si>
  <si>
    <t>150 Woodbridge Road</t>
  </si>
  <si>
    <t>65 Essex Rd</t>
  </si>
  <si>
    <t>Chestnut Hill</t>
  </si>
  <si>
    <t>4343 Osprey Street</t>
  </si>
  <si>
    <t>3 West DuPont Ave</t>
  </si>
  <si>
    <t>Long Beach Township</t>
  </si>
  <si>
    <t>139 Blue Mill Road</t>
  </si>
  <si>
    <t>Morristown</t>
  </si>
  <si>
    <t>11432 Turtle Beach Road</t>
  </si>
  <si>
    <t>North Palm Beach</t>
  </si>
  <si>
    <t>260 Croton Lake Road</t>
  </si>
  <si>
    <t>Katonah</t>
  </si>
  <si>
    <t>505 Palm Boulevard</t>
  </si>
  <si>
    <t>396 15th Street</t>
  </si>
  <si>
    <t>BROOKLYN</t>
  </si>
  <si>
    <t>1020 Park Ave #6A</t>
  </si>
  <si>
    <t>9 Salem Avenue</t>
  </si>
  <si>
    <t>810 North Roxbury Drive</t>
  </si>
  <si>
    <t>26 East 73rd Street</t>
  </si>
  <si>
    <t>30 Morton Street</t>
  </si>
  <si>
    <t>102B Atlantic Ave</t>
  </si>
  <si>
    <t>Pawleys Island</t>
  </si>
  <si>
    <t>3744 Westerman St</t>
  </si>
  <si>
    <t>103 East 84th St.</t>
  </si>
  <si>
    <t>Apt 9C</t>
  </si>
  <si>
    <t>35 Sutton Place</t>
  </si>
  <si>
    <t>Apt 12C</t>
  </si>
  <si>
    <t>SR4</t>
  </si>
  <si>
    <t>817 W End Ave</t>
  </si>
  <si>
    <t>Apt 5A</t>
  </si>
  <si>
    <t>50 S. Pointe Drive</t>
  </si>
  <si>
    <t>Loft 2 and 3</t>
  </si>
  <si>
    <t>611 S Ocean Blvd</t>
  </si>
  <si>
    <t>106 Manor Avenue</t>
  </si>
  <si>
    <t>21 Oakman Branch Road</t>
  </si>
  <si>
    <t>Pattison Rd.</t>
  </si>
  <si>
    <t>Parcel 6C</t>
  </si>
  <si>
    <t>North Adams</t>
  </si>
  <si>
    <t>400 Stuart St</t>
  </si>
  <si>
    <t>PH3</t>
  </si>
  <si>
    <t>92 Surfsong Road</t>
  </si>
  <si>
    <t>9313 Macon Road</t>
  </si>
  <si>
    <t>6332 Barrett Ave</t>
  </si>
  <si>
    <t>El Cerrito</t>
  </si>
  <si>
    <t>440 Meadow Lark Dr</t>
  </si>
  <si>
    <t>712 Moreno Avenue</t>
  </si>
  <si>
    <t>26 Surfsong Rd</t>
  </si>
  <si>
    <t>9 Oak Place</t>
  </si>
  <si>
    <t>124 6th Street</t>
  </si>
  <si>
    <t>Manhattan Beach</t>
  </si>
  <si>
    <t>11 Alliance Lane</t>
  </si>
  <si>
    <t>28 Mowbray Lane North</t>
  </si>
  <si>
    <t>Cold Spring Harbor</t>
  </si>
  <si>
    <t>555 W 59th Street</t>
  </si>
  <si>
    <t>28A</t>
  </si>
  <si>
    <t>8 Calebs Pond Lane</t>
  </si>
  <si>
    <t>9 Willow Place</t>
  </si>
  <si>
    <t>910 5th Avenue</t>
  </si>
  <si>
    <t>Apt 4B</t>
  </si>
  <si>
    <t>236 South Island Drive</t>
  </si>
  <si>
    <t>Golden Beach</t>
  </si>
  <si>
    <t>520 Park Ave</t>
  </si>
  <si>
    <t>PH 50</t>
  </si>
  <si>
    <t>60 Prospect Street</t>
  </si>
  <si>
    <t>100 Sunrise Avenue</t>
  </si>
  <si>
    <t>Apt 201</t>
  </si>
  <si>
    <t>5794 Regency Circle East</t>
  </si>
  <si>
    <t>84 Adalia Avenue</t>
  </si>
  <si>
    <t>2880 Vallejo St</t>
  </si>
  <si>
    <t>36 Easton Street</t>
  </si>
  <si>
    <t>955 S Coast Highway</t>
  </si>
  <si>
    <t>23 Hand Lane</t>
  </si>
  <si>
    <t>81591 Baffin Ave</t>
  </si>
  <si>
    <t>La Quinta</t>
  </si>
  <si>
    <t>880 Fifth Ave</t>
  </si>
  <si>
    <t>12E</t>
  </si>
  <si>
    <t>147 Dunbar Rd</t>
  </si>
  <si>
    <t>10 Dogwood Ave</t>
  </si>
  <si>
    <t>Roslyn</t>
  </si>
  <si>
    <t>5901 South Flagler Drive</t>
  </si>
  <si>
    <t>9101 Monarchos Ct</t>
  </si>
  <si>
    <t>Waxhaw</t>
  </si>
  <si>
    <t>69 1/2 Cliff Road</t>
  </si>
  <si>
    <t>11 Casey Lane</t>
  </si>
  <si>
    <t>Bridgehampton</t>
  </si>
  <si>
    <t>94 Middle Lane</t>
  </si>
  <si>
    <t>28 Bea Lane</t>
  </si>
  <si>
    <t>West Tisbury</t>
  </si>
  <si>
    <t>3290 17 Mile Dr</t>
  </si>
  <si>
    <t>Pebble Beach</t>
  </si>
  <si>
    <t>267 Dunbar Road</t>
  </si>
  <si>
    <t>292 Beachside Drive</t>
  </si>
  <si>
    <t>Panama City</t>
  </si>
  <si>
    <t>98 surfsong road</t>
  </si>
  <si>
    <t>kiawah island</t>
  </si>
  <si>
    <t>1263 Lake House Drive</t>
  </si>
  <si>
    <t>278 Park Lane</t>
  </si>
  <si>
    <t>231 Baltic Street</t>
  </si>
  <si>
    <t>27 BAY ROAD</t>
  </si>
  <si>
    <t>53 Eugenia Avenue</t>
  </si>
  <si>
    <t>Johns Island</t>
  </si>
  <si>
    <t>2855 W FM 1291</t>
  </si>
  <si>
    <t>Round Top</t>
  </si>
  <si>
    <t>391 Filbert St</t>
  </si>
  <si>
    <t>1264 Ponte Vedra Blvd</t>
  </si>
  <si>
    <t>Ponte Vedra Beach</t>
  </si>
  <si>
    <t>40-50 East 10th Street</t>
  </si>
  <si>
    <t>PHB</t>
  </si>
  <si>
    <t>9215 Sloane St</t>
  </si>
  <si>
    <t>Orlando</t>
  </si>
  <si>
    <t>5722 Northern Blvd</t>
  </si>
  <si>
    <t>Route 25A</t>
  </si>
  <si>
    <t>Muttontown</t>
  </si>
  <si>
    <t>691 Via Trepadora</t>
  </si>
  <si>
    <t>30 Twinings Lane</t>
  </si>
  <si>
    <t>South Orleans</t>
  </si>
  <si>
    <t>1624 SE 8th St</t>
  </si>
  <si>
    <t>Apt 54E</t>
  </si>
  <si>
    <t>60 Strickland Street</t>
  </si>
  <si>
    <t>Bay Head</t>
  </si>
  <si>
    <t>4380 North Bay Road</t>
  </si>
  <si>
    <t>24 Hicks Lane</t>
  </si>
  <si>
    <t>6 Ocean Course Dr</t>
  </si>
  <si>
    <t>35 Long Beach Blvd</t>
  </si>
  <si>
    <t>B</t>
  </si>
  <si>
    <t>1010 Memorial Drive</t>
  </si>
  <si>
    <t>#10C</t>
  </si>
  <si>
    <t>5 Penniman Point Road</t>
  </si>
  <si>
    <t>10 Holly Grove Road</t>
  </si>
  <si>
    <t>15 E 30th Street #56A</t>
  </si>
  <si>
    <t>360 EDGEMERE WAY E</t>
  </si>
  <si>
    <t>10078 Laurel Road</t>
  </si>
  <si>
    <t>Davie</t>
  </si>
  <si>
    <t>2800 Tennyson Place</t>
  </si>
  <si>
    <t>Hermosa Beach</t>
  </si>
  <si>
    <t>24 Hawthorne Dr</t>
  </si>
  <si>
    <t>201 South Stanley Drive</t>
  </si>
  <si>
    <t>504 St. David’s Place</t>
  </si>
  <si>
    <t>Ocean City</t>
  </si>
  <si>
    <t>5 Westerwick Drive</t>
  </si>
  <si>
    <t>649 Alvarado Road</t>
  </si>
  <si>
    <t>Berkeley</t>
  </si>
  <si>
    <t>115 Norwood Avenue</t>
  </si>
  <si>
    <t>Beach Haven</t>
  </si>
  <si>
    <t>3990 N 32nd Terrace</t>
  </si>
  <si>
    <t>Hollywood</t>
  </si>
  <si>
    <t>55 Norris Ln</t>
  </si>
  <si>
    <t>1408 Elton Lane</t>
  </si>
  <si>
    <t>153 Center Avenue</t>
  </si>
  <si>
    <t>Chatham</t>
  </si>
  <si>
    <t>3988 Barrancas Key Drive</t>
  </si>
  <si>
    <t>Orange Beach</t>
  </si>
  <si>
    <t>16 Beverly Rd</t>
  </si>
  <si>
    <t>Purchase</t>
  </si>
  <si>
    <t>19 Onondaga St</t>
  </si>
  <si>
    <t>3660 Andreas Hills Drive</t>
  </si>
  <si>
    <t>68 Cove Road</t>
  </si>
  <si>
    <t>Huntington</t>
  </si>
  <si>
    <t>42 Dole Rd</t>
  </si>
  <si>
    <t>Gill</t>
  </si>
  <si>
    <t>128 Bloomfield Street</t>
  </si>
  <si>
    <t>Hoboken</t>
  </si>
  <si>
    <t>1133 Ocean Avenue</t>
  </si>
  <si>
    <t>2308 Myrtle Ave</t>
  </si>
  <si>
    <t>2109 Broadway</t>
  </si>
  <si>
    <t>Apt. 12109 &amp; 12129</t>
  </si>
  <si>
    <t>701 East 17th St</t>
  </si>
  <si>
    <t>74380 Palo Verde Drive</t>
  </si>
  <si>
    <t>Indian Wells</t>
  </si>
  <si>
    <t>442 Seven Ponds Towd Road</t>
  </si>
  <si>
    <t>627 Harris Road</t>
  </si>
  <si>
    <t>Bedford</t>
  </si>
  <si>
    <t>166 S Charles St</t>
  </si>
  <si>
    <t>Alys Beach</t>
  </si>
  <si>
    <t>805 Ocean Avenue</t>
  </si>
  <si>
    <t>Long Branch</t>
  </si>
  <si>
    <t>111 E 85th ST</t>
  </si>
  <si>
    <t>Apt 26A</t>
  </si>
  <si>
    <t>50 Towhee Trail</t>
  </si>
  <si>
    <t>3546 Bohickett Rd</t>
  </si>
  <si>
    <t>16441 Malden Circle</t>
  </si>
  <si>
    <t>Huntington Beach</t>
  </si>
  <si>
    <t>1531 8TH ST</t>
  </si>
  <si>
    <t>NEW ORLEANS</t>
  </si>
  <si>
    <t>Ocean Green Drive</t>
  </si>
  <si>
    <t>Lot 1</t>
  </si>
  <si>
    <t>2 Roop Ave</t>
  </si>
  <si>
    <t>Leonardo</t>
  </si>
  <si>
    <t>12 Ewing Drive</t>
  </si>
  <si>
    <t>61 Cowry Lane</t>
  </si>
  <si>
    <t>5639 Dolphin Place</t>
  </si>
  <si>
    <t>16270 Via Del Alba</t>
  </si>
  <si>
    <t>67 Lexington Drive</t>
  </si>
  <si>
    <t>5243 Park Lane</t>
  </si>
  <si>
    <t>47 Louise Road</t>
  </si>
  <si>
    <t>Belmont</t>
  </si>
  <si>
    <t>4301 Windsor PKWY</t>
  </si>
  <si>
    <t>241 W 17th St</t>
  </si>
  <si>
    <t>841 Middle Street</t>
  </si>
  <si>
    <t>15 Webster Road</t>
  </si>
  <si>
    <t>14 Grant Drive</t>
  </si>
  <si>
    <t>11 Island Trail</t>
  </si>
  <si>
    <t>Sparta</t>
  </si>
  <si>
    <t>302 Trumbull Road</t>
  </si>
  <si>
    <t>21 Milk Street</t>
  </si>
  <si>
    <t>47 Milk Street</t>
  </si>
  <si>
    <t>New Construction</t>
  </si>
  <si>
    <t>Existing Home</t>
  </si>
  <si>
    <t>4702 Purdue Avenue</t>
  </si>
  <si>
    <t>1016 North Hillcrest Road</t>
  </si>
  <si>
    <t>35 Brewster Road</t>
  </si>
  <si>
    <t>33 Lagunita Drive</t>
  </si>
  <si>
    <t>127 S Rios Ave</t>
  </si>
  <si>
    <t>Solana Beach</t>
  </si>
  <si>
    <t>314 Haverhill St</t>
  </si>
  <si>
    <t>North Reading</t>
  </si>
  <si>
    <t>23 Family Circle</t>
  </si>
  <si>
    <t>Reading</t>
  </si>
  <si>
    <t>520 West Paces Ferry Road Northwest</t>
  </si>
  <si>
    <t>61 Winterhoff Trail</t>
  </si>
  <si>
    <t>Brewster</t>
  </si>
  <si>
    <t>Unit 124</t>
  </si>
  <si>
    <t>12 Saint Clair Avenue</t>
  </si>
  <si>
    <t>10 NW Cove Road</t>
  </si>
  <si>
    <t>83 Sea View Avenue</t>
  </si>
  <si>
    <t>Piedmont</t>
  </si>
  <si>
    <t>2 Baker Cove</t>
  </si>
  <si>
    <t>37 Hilltop Road</t>
  </si>
  <si>
    <t>Asheville</t>
  </si>
  <si>
    <t>10 Ingalls Road</t>
  </si>
  <si>
    <t>Address_Line_1_Txt</t>
  </si>
  <si>
    <t>Address_Line_2_Txt</t>
  </si>
  <si>
    <t>City_Name_Txt</t>
  </si>
  <si>
    <t>Postal_Code_Txt</t>
  </si>
  <si>
    <t>Distance_To_Coast_Name</t>
  </si>
  <si>
    <t>1 Mile - 5 Miles</t>
  </si>
  <si>
    <t>1,001 Feet - 1 Mile</t>
  </si>
  <si>
    <t>&lt; 1000 ft</t>
  </si>
  <si>
    <t>&gt; 5 miles</t>
  </si>
  <si>
    <t>1001 ft - 1 mile</t>
  </si>
  <si>
    <t>Barrier Island</t>
  </si>
  <si>
    <t>&gt; 5 Miles</t>
  </si>
  <si>
    <t>0 - 2,500 Feet</t>
  </si>
  <si>
    <t>0 - 1,000 Feet</t>
  </si>
  <si>
    <t>2,501 Feet - 1 Mile</t>
  </si>
  <si>
    <t>1mile - 5 miles</t>
  </si>
  <si>
    <t>Inland</t>
  </si>
  <si>
    <t>501 ft - 2500 ft</t>
  </si>
  <si>
    <t>1 mile - 5 miles</t>
  </si>
  <si>
    <t>&lt; 500</t>
  </si>
  <si>
    <t>2501 ft - 1 mile</t>
  </si>
  <si>
    <t>Extreme Coastal</t>
  </si>
  <si>
    <t>&lt; 2500 ft</t>
  </si>
  <si>
    <t>N/A - NOLA</t>
  </si>
  <si>
    <t>Less_Than_500_Feet_To_Coast_Ind</t>
  </si>
  <si>
    <t>PURE_Rating_Zone_Name_Txt</t>
  </si>
  <si>
    <t>1-C</t>
  </si>
  <si>
    <t>78-B</t>
  </si>
  <si>
    <t>4-B</t>
  </si>
  <si>
    <t>97-B</t>
  </si>
  <si>
    <t>4-E</t>
  </si>
  <si>
    <t>19-C</t>
  </si>
  <si>
    <t>4-Z</t>
  </si>
  <si>
    <t>1023-D</t>
  </si>
  <si>
    <t>231-B</t>
  </si>
  <si>
    <t>20-B</t>
  </si>
  <si>
    <t>315-A</t>
  </si>
  <si>
    <t>10-D</t>
  </si>
  <si>
    <t>2-D</t>
  </si>
  <si>
    <t>18-E</t>
  </si>
  <si>
    <t>1014-C</t>
  </si>
  <si>
    <t>97-A</t>
  </si>
  <si>
    <t>1053-D</t>
  </si>
  <si>
    <t>1028-D</t>
  </si>
  <si>
    <t>2010-D</t>
  </si>
  <si>
    <t>36-E</t>
  </si>
  <si>
    <t>535-C</t>
  </si>
  <si>
    <t>1-Z</t>
  </si>
  <si>
    <t>78-C</t>
  </si>
  <si>
    <t>60-E</t>
  </si>
  <si>
    <t>300-D</t>
  </si>
  <si>
    <t>870-G</t>
  </si>
  <si>
    <t>1021-C</t>
  </si>
  <si>
    <t>5200-G</t>
  </si>
  <si>
    <t>200-D</t>
  </si>
  <si>
    <t>470-G</t>
  </si>
  <si>
    <t>1024-D</t>
  </si>
  <si>
    <t>345-C</t>
  </si>
  <si>
    <t>105-B</t>
  </si>
  <si>
    <t>218-C</t>
  </si>
  <si>
    <t>223-C</t>
  </si>
  <si>
    <t>52-A</t>
  </si>
  <si>
    <t>301-A</t>
  </si>
  <si>
    <t>13-B</t>
  </si>
  <si>
    <t>903-D</t>
  </si>
  <si>
    <t>60-B</t>
  </si>
  <si>
    <t>7-Z</t>
  </si>
  <si>
    <t>102-C</t>
  </si>
  <si>
    <t>870-D</t>
  </si>
  <si>
    <t>19-Z</t>
  </si>
  <si>
    <t>102-B</t>
  </si>
  <si>
    <t>204-D</t>
  </si>
  <si>
    <t>11-E</t>
  </si>
  <si>
    <t>4-D</t>
  </si>
  <si>
    <t>643-C</t>
  </si>
  <si>
    <t>13-A</t>
  </si>
  <si>
    <t>400-Z</t>
  </si>
  <si>
    <t>234-B</t>
  </si>
  <si>
    <t>543-D</t>
  </si>
  <si>
    <t>102-A</t>
  </si>
  <si>
    <t>5-Z</t>
  </si>
  <si>
    <t>14-B</t>
  </si>
  <si>
    <t>535-D</t>
  </si>
  <si>
    <t>10-B</t>
  </si>
  <si>
    <t>140-Z</t>
  </si>
  <si>
    <t>1701-B</t>
  </si>
  <si>
    <t>5-C</t>
  </si>
  <si>
    <t>14-Z</t>
  </si>
  <si>
    <t>3-B</t>
  </si>
  <si>
    <t>2-B</t>
  </si>
  <si>
    <t>825-D</t>
  </si>
  <si>
    <t>519-A</t>
  </si>
  <si>
    <t>1130-G</t>
  </si>
  <si>
    <t>119-Z</t>
  </si>
  <si>
    <t>31-B</t>
  </si>
  <si>
    <t>770-G</t>
  </si>
  <si>
    <t>15-Z</t>
  </si>
  <si>
    <t>733-A</t>
  </si>
  <si>
    <t>241-C</t>
  </si>
  <si>
    <t>2-Z</t>
  </si>
  <si>
    <t>2076-D</t>
  </si>
  <si>
    <t>114-B</t>
  </si>
  <si>
    <t>5400-G</t>
  </si>
  <si>
    <t>40-F</t>
  </si>
  <si>
    <t>2052-C</t>
  </si>
  <si>
    <t>77-A</t>
  </si>
  <si>
    <t>30-B</t>
  </si>
  <si>
    <t>1023-C</t>
  </si>
  <si>
    <t>566-C</t>
  </si>
  <si>
    <t>140-A</t>
  </si>
  <si>
    <t>6000-G</t>
  </si>
  <si>
    <t>114-A</t>
  </si>
  <si>
    <t>832-D</t>
  </si>
  <si>
    <t>1076-C</t>
  </si>
  <si>
    <t>2051-B</t>
  </si>
  <si>
    <t>2900-G</t>
  </si>
  <si>
    <t>703-D</t>
  </si>
  <si>
    <t>35-B</t>
  </si>
  <si>
    <t>701-D</t>
  </si>
  <si>
    <t>112-C</t>
  </si>
  <si>
    <t>101-A</t>
  </si>
  <si>
    <t>5-D</t>
  </si>
  <si>
    <t>14-C</t>
  </si>
  <si>
    <t>257-C</t>
  </si>
  <si>
    <t>559-C</t>
  </si>
  <si>
    <t>1091-D</t>
  </si>
  <si>
    <t>609-D</t>
  </si>
  <si>
    <t>611-D</t>
  </si>
  <si>
    <t>930-G</t>
  </si>
  <si>
    <t>101-B</t>
  </si>
  <si>
    <t>72-A</t>
  </si>
  <si>
    <t>513-C</t>
  </si>
  <si>
    <t>1080-G</t>
  </si>
  <si>
    <t>1022-C</t>
  </si>
  <si>
    <t>8-Z</t>
  </si>
  <si>
    <t>1737-C</t>
  </si>
  <si>
    <t>1730-B</t>
  </si>
  <si>
    <t>92-B</t>
  </si>
  <si>
    <t>1717-B</t>
  </si>
  <si>
    <t>8500-G</t>
  </si>
  <si>
    <t>29-B</t>
  </si>
  <si>
    <t>5800-G</t>
  </si>
  <si>
    <t>1012-C</t>
  </si>
  <si>
    <t>913-D</t>
  </si>
  <si>
    <t>1019-D</t>
  </si>
  <si>
    <t>577-C</t>
  </si>
  <si>
    <t>2026-A</t>
  </si>
  <si>
    <t>3000-G</t>
  </si>
  <si>
    <t>241-B</t>
  </si>
  <si>
    <t>4-C</t>
  </si>
  <si>
    <t>551-C</t>
  </si>
  <si>
    <t>30-C</t>
  </si>
  <si>
    <t>249-B</t>
  </si>
  <si>
    <t>2028-B</t>
  </si>
  <si>
    <t>622-C</t>
  </si>
  <si>
    <t>140-B</t>
  </si>
  <si>
    <t>739-A</t>
  </si>
  <si>
    <t>2-C</t>
  </si>
  <si>
    <t>1013-C</t>
  </si>
  <si>
    <t>24-B</t>
  </si>
  <si>
    <t>305-B</t>
  </si>
  <si>
    <t>1110-G</t>
  </si>
  <si>
    <t>200-B</t>
  </si>
  <si>
    <t>210-A</t>
  </si>
  <si>
    <t>45-A</t>
  </si>
  <si>
    <t>210-B</t>
  </si>
  <si>
    <t>538-D</t>
  </si>
  <si>
    <t>11-B</t>
  </si>
  <si>
    <t>2026-B</t>
  </si>
  <si>
    <t>29-C</t>
  </si>
  <si>
    <t>229-A</t>
  </si>
  <si>
    <t>109-D</t>
  </si>
  <si>
    <t>3-Z</t>
  </si>
  <si>
    <t>241-A</t>
  </si>
  <si>
    <t>232-A</t>
  </si>
  <si>
    <t>233-A</t>
  </si>
  <si>
    <t>1715-B</t>
  </si>
  <si>
    <t>18-Z</t>
  </si>
  <si>
    <t>833-D</t>
  </si>
  <si>
    <t>17-C</t>
  </si>
  <si>
    <t>3-A</t>
  </si>
  <si>
    <t>1019-C</t>
  </si>
  <si>
    <t>904-D</t>
  </si>
  <si>
    <t>112-B</t>
  </si>
  <si>
    <t>1715-C</t>
  </si>
  <si>
    <t>20-Z</t>
  </si>
  <si>
    <t>3-C</t>
  </si>
  <si>
    <t>2000-G</t>
  </si>
  <si>
    <t>78-A</t>
  </si>
  <si>
    <t>103-A</t>
  </si>
  <si>
    <t>2025-D</t>
  </si>
  <si>
    <t>1025-D</t>
  </si>
  <si>
    <t>17-Z</t>
  </si>
  <si>
    <t>21-B</t>
  </si>
  <si>
    <t>1701-A</t>
  </si>
  <si>
    <t>72-B</t>
  </si>
  <si>
    <t>565-C</t>
  </si>
  <si>
    <t>1090-G</t>
  </si>
  <si>
    <t>74-C</t>
  </si>
  <si>
    <t>107-C</t>
  </si>
  <si>
    <t>12-Z</t>
  </si>
  <si>
    <t>1003-C</t>
  </si>
  <si>
    <t>582-C</t>
  </si>
  <si>
    <t>246-C</t>
  </si>
  <si>
    <t>123-A</t>
  </si>
  <si>
    <t>870-C</t>
  </si>
  <si>
    <t>1016-C</t>
  </si>
  <si>
    <t>14-D</t>
  </si>
  <si>
    <t>3-E</t>
  </si>
  <si>
    <t>309-A</t>
  </si>
  <si>
    <t>1-B</t>
  </si>
  <si>
    <t>3-D</t>
  </si>
  <si>
    <t>100-A</t>
  </si>
  <si>
    <t>2049-C</t>
  </si>
  <si>
    <t>2051-C</t>
  </si>
  <si>
    <t>34-B</t>
  </si>
  <si>
    <t>5000-G</t>
  </si>
  <si>
    <t>1403-D</t>
  </si>
  <si>
    <t>119-A</t>
  </si>
  <si>
    <t>1729-C</t>
  </si>
  <si>
    <t>2006-D</t>
  </si>
  <si>
    <t>31-A</t>
  </si>
  <si>
    <t>10-E</t>
  </si>
  <si>
    <t>28-A</t>
  </si>
  <si>
    <t>240-C</t>
  </si>
  <si>
    <t>911-D</t>
  </si>
  <si>
    <t>1011-C</t>
  </si>
  <si>
    <t>92-A</t>
  </si>
  <si>
    <t>858-D</t>
  </si>
  <si>
    <t>861-D</t>
  </si>
  <si>
    <t>219-D</t>
  </si>
  <si>
    <t>Policy Region</t>
  </si>
  <si>
    <t>Residence_Type_Name</t>
  </si>
  <si>
    <t>Address_Key</t>
  </si>
  <si>
    <t>Homeowner</t>
  </si>
  <si>
    <t>Condo/Co-op</t>
  </si>
  <si>
    <t>Homeowners_Risk_Location_Rating_Aggregation_Zone_Txt</t>
  </si>
  <si>
    <t>NULL</t>
  </si>
  <si>
    <t>Not Applicable</t>
  </si>
  <si>
    <t>Montecito</t>
  </si>
  <si>
    <t>West Hollywood</t>
  </si>
  <si>
    <t>West San Francisco Urban</t>
  </si>
  <si>
    <t>Other - San Francisco</t>
  </si>
  <si>
    <t>Beverly Hills Buffer</t>
  </si>
  <si>
    <t>Palo Alto Urban</t>
  </si>
  <si>
    <t>Other - Happy Valley</t>
  </si>
  <si>
    <t>Olivenhaim and Surrounding</t>
  </si>
  <si>
    <t>East San Francisco Urban</t>
  </si>
  <si>
    <t>La Crescenta-Melrose</t>
  </si>
  <si>
    <t>La Jolla West</t>
  </si>
  <si>
    <t>East LA</t>
  </si>
  <si>
    <t>Los Gatos Buffer</t>
  </si>
  <si>
    <t>Loyola</t>
  </si>
  <si>
    <t>LA Urban</t>
  </si>
  <si>
    <t>San Mateo Urban</t>
  </si>
  <si>
    <t>Other - San Jose</t>
  </si>
  <si>
    <t>Brentwood</t>
  </si>
  <si>
    <t>Summerland</t>
  </si>
  <si>
    <t>Hillsborough Buffer</t>
  </si>
  <si>
    <t>East Beverly Hills</t>
  </si>
  <si>
    <t>Orange County Urban</t>
  </si>
  <si>
    <t>Mountain Gate Club</t>
  </si>
  <si>
    <t>East Bel Air</t>
  </si>
  <si>
    <t>Other - San Diego</t>
  </si>
  <si>
    <t>West Beverly Hills</t>
  </si>
  <si>
    <t>Other - Berkeley</t>
  </si>
  <si>
    <t>Compton Urban</t>
  </si>
  <si>
    <t>Palo Alto Buffer</t>
  </si>
  <si>
    <t>Pacific Heights</t>
  </si>
  <si>
    <t>Other - Carmel / Monterey</t>
  </si>
  <si>
    <t>Other - Santa Barbara</t>
  </si>
  <si>
    <t>Rancho Southwest</t>
  </si>
  <si>
    <t>Solano Beach</t>
  </si>
  <si>
    <t>Berkeley-Piedmont Buffer</t>
  </si>
  <si>
    <t>All_Other_Perils_Deductible_Amt</t>
  </si>
  <si>
    <t>Hurricane_Deductible_Pct</t>
  </si>
  <si>
    <t>Hail_Deductible_Pct</t>
  </si>
  <si>
    <t>Hail Applicable Ind</t>
  </si>
  <si>
    <t>AK</t>
  </si>
  <si>
    <t>AR</t>
  </si>
  <si>
    <t>AZ</t>
  </si>
  <si>
    <t>N/A</t>
  </si>
  <si>
    <t>CO</t>
  </si>
  <si>
    <t>CT</t>
  </si>
  <si>
    <t>DC</t>
  </si>
  <si>
    <t>DE</t>
  </si>
  <si>
    <t>HI</t>
  </si>
  <si>
    <t>IA</t>
  </si>
  <si>
    <t>ID</t>
  </si>
  <si>
    <t>IL</t>
  </si>
  <si>
    <t>IN</t>
  </si>
  <si>
    <t>KS</t>
  </si>
  <si>
    <t>KY</t>
  </si>
  <si>
    <t>MD</t>
  </si>
  <si>
    <t>ME</t>
  </si>
  <si>
    <t>MI</t>
  </si>
  <si>
    <t>MN</t>
  </si>
  <si>
    <t>MO</t>
  </si>
  <si>
    <t>MT</t>
  </si>
  <si>
    <t>ND</t>
  </si>
  <si>
    <t>NE</t>
  </si>
  <si>
    <t>NM</t>
  </si>
  <si>
    <t>NV</t>
  </si>
  <si>
    <t>OH</t>
  </si>
  <si>
    <t>OK</t>
  </si>
  <si>
    <t>OR</t>
  </si>
  <si>
    <t>PA</t>
  </si>
  <si>
    <t>RI</t>
  </si>
  <si>
    <t>SD</t>
  </si>
  <si>
    <t>TN</t>
  </si>
  <si>
    <t>UT</t>
  </si>
  <si>
    <t>VA</t>
  </si>
  <si>
    <t>VT</t>
  </si>
  <si>
    <t>WA</t>
  </si>
  <si>
    <t>WI</t>
  </si>
  <si>
    <t>WV</t>
  </si>
  <si>
    <t>WY</t>
  </si>
  <si>
    <t>Hail_State_Ind</t>
  </si>
  <si>
    <t>Row</t>
  </si>
  <si>
    <t>Hail Deductible</t>
  </si>
  <si>
    <t>N/A - AOP Deductible Applies</t>
  </si>
  <si>
    <t>Insurance_Score_Rating_Txt</t>
  </si>
  <si>
    <t>Frame</t>
  </si>
  <si>
    <t>Masonry</t>
  </si>
  <si>
    <t>Fire Resistive</t>
  </si>
  <si>
    <t xml:space="preserve">Reinforced Poured Concrete </t>
  </si>
  <si>
    <t>Brick</t>
  </si>
  <si>
    <t>Brick - Veneer</t>
  </si>
  <si>
    <t>Steel Moment Frame</t>
  </si>
  <si>
    <t>Construction_Type_Name</t>
  </si>
  <si>
    <t>Protection_Class_Txt</t>
  </si>
  <si>
    <t>Extreme 10</t>
  </si>
  <si>
    <t>Flood_Zone_Name</t>
  </si>
  <si>
    <t>PRP - B/C/X</t>
  </si>
  <si>
    <t>AE/A1-A30/A Unnumbered</t>
  </si>
  <si>
    <t>V1-V30/VE</t>
  </si>
  <si>
    <t>AO/AH Certified</t>
  </si>
  <si>
    <t>D</t>
  </si>
  <si>
    <t>Water_Damage_Claims</t>
  </si>
  <si>
    <t>Non_Water_Damage_Claims</t>
  </si>
  <si>
    <t>Prior_Losses</t>
  </si>
  <si>
    <t>Year_Built_No</t>
  </si>
  <si>
    <t>Year_Renovated_No</t>
  </si>
  <si>
    <t>Year_Roof_Replaced_No</t>
  </si>
  <si>
    <t>Age_of_Building</t>
  </si>
  <si>
    <t>Age of Builiding: Lower Bound</t>
  </si>
  <si>
    <t>Age of Building: Range</t>
  </si>
  <si>
    <t>0 - 10 Years</t>
  </si>
  <si>
    <t>11 - 25 Years</t>
  </si>
  <si>
    <t>26 - 50 Years</t>
  </si>
  <si>
    <t>51 - 75 Years</t>
  </si>
  <si>
    <t>&gt;= 76 Years</t>
  </si>
  <si>
    <t>Coastal</t>
  </si>
  <si>
    <t>Major Renovation/Remodel</t>
  </si>
  <si>
    <t>Ground up Construction</t>
  </si>
  <si>
    <t>PURE_Preferred_Contractor_Credit</t>
  </si>
  <si>
    <t>Contractor's Years in Business</t>
  </si>
  <si>
    <t>Years in Business: Range</t>
  </si>
  <si>
    <t>0 - 5 Years</t>
  </si>
  <si>
    <t>5 - 9 Years</t>
  </si>
  <si>
    <t>&gt;= 10 Years</t>
  </si>
  <si>
    <t>Foundation_Construction_Phase_ind</t>
  </si>
  <si>
    <t>Contractor's Loss History</t>
  </si>
  <si>
    <t>NH</t>
  </si>
  <si>
    <t>Tenants</t>
  </si>
  <si>
    <t>3185 BRIDGER CANYON RD</t>
  </si>
  <si>
    <t>608 Wolcott Ave</t>
  </si>
  <si>
    <t>1650 FILLMORE STREET #1107</t>
  </si>
  <si>
    <t>5400 Laurel Ridge Rd</t>
  </si>
  <si>
    <t>22 Salem Estates</t>
  </si>
  <si>
    <t>471 Deercliff Rd</t>
  </si>
  <si>
    <t>185 Berry</t>
  </si>
  <si>
    <t>9820 E Thompson Peak Parkway</t>
  </si>
  <si>
    <t>#733</t>
  </si>
  <si>
    <t>15 Old Black Rock Turnpike</t>
  </si>
  <si>
    <t>9820 E. Thompson Peak Pkwy #503</t>
  </si>
  <si>
    <t>2925 Exeter Drive</t>
  </si>
  <si>
    <t>260 Washington Pkwy</t>
  </si>
  <si>
    <t>10369 N Coral Hill Road</t>
  </si>
  <si>
    <t>2060 Norwood Ave.</t>
  </si>
  <si>
    <t>18322 Cattail Ct</t>
  </si>
  <si>
    <t>894 Southwest Point</t>
  </si>
  <si>
    <t>97 Tesuque Ridge</t>
  </si>
  <si>
    <t>2571 Berwyn Rd</t>
  </si>
  <si>
    <t>596 Stratton Arlington Rd</t>
  </si>
  <si>
    <t>445 Lilium Trail</t>
  </si>
  <si>
    <t>01339 South Shore</t>
  </si>
  <si>
    <t>20 Vista Redonda</t>
  </si>
  <si>
    <t>7008 Ada Drive</t>
  </si>
  <si>
    <t>559 PHILLIPPA ST</t>
  </si>
  <si>
    <t>128 Heather Drive</t>
  </si>
  <si>
    <t>508 Cooper Street, Unit 201</t>
  </si>
  <si>
    <t>2675 S Birmingham Place</t>
  </si>
  <si>
    <t>14655 Hillside Rd</t>
  </si>
  <si>
    <t>2990 E 17TH AVE</t>
  </si>
  <si>
    <t>APT 2103</t>
  </si>
  <si>
    <t>2218 E 48th St</t>
  </si>
  <si>
    <t>1500 N. Lake Shore Dr</t>
  </si>
  <si>
    <t>Unit 8C</t>
  </si>
  <si>
    <t>5603 River Knolls Drive</t>
  </si>
  <si>
    <t>9841 N 34th Place</t>
  </si>
  <si>
    <t>340 Collingwood Ave</t>
  </si>
  <si>
    <t>462 Pony Road</t>
  </si>
  <si>
    <t>381 Ridge Road</t>
  </si>
  <si>
    <t>Unit A3</t>
  </si>
  <si>
    <t>1040 Sheridan Road</t>
  </si>
  <si>
    <t>1128 East North Bonneville Drive</t>
  </si>
  <si>
    <t>2547 E 26th Pl</t>
  </si>
  <si>
    <t>714 Milburn St</t>
  </si>
  <si>
    <t>340 Willow Street</t>
  </si>
  <si>
    <t>208 Dolphin Cove Quay</t>
  </si>
  <si>
    <t>925 Candlewood Lake</t>
  </si>
  <si>
    <t>Garage</t>
  </si>
  <si>
    <t>165 North Ski Court</t>
  </si>
  <si>
    <t>20 Waites Landing Rd</t>
  </si>
  <si>
    <t>401 Ela Rd</t>
  </si>
  <si>
    <t>2250 North Janssen Ave.</t>
  </si>
  <si>
    <t>5677 Solomons Island Rd</t>
  </si>
  <si>
    <t>56281 E 306 Rd</t>
  </si>
  <si>
    <t>320 WATROUS POINT RD</t>
  </si>
  <si>
    <t>6824 NW Grand Blvd</t>
  </si>
  <si>
    <t>1501 Huntington Ave</t>
  </si>
  <si>
    <t>4005 Newman PL</t>
  </si>
  <si>
    <t>335 Brick School Road</t>
  </si>
  <si>
    <t>172 Holomoana Way</t>
  </si>
  <si>
    <t>#103</t>
  </si>
  <si>
    <t>27 MAPLE AVE N</t>
  </si>
  <si>
    <t>18 Roosevelt Road</t>
  </si>
  <si>
    <t>2045 Alcova Ridge Dr</t>
  </si>
  <si>
    <t>695 Swan River Rd</t>
  </si>
  <si>
    <t>W3322 Burr Oak Dr</t>
  </si>
  <si>
    <t>4528 Mollineaux</t>
  </si>
  <si>
    <t>5 Echo Peak</t>
  </si>
  <si>
    <t>515 High Hampton Road</t>
  </si>
  <si>
    <t>2808 S Columbia Pl</t>
  </si>
  <si>
    <t>2909 Marbury Place</t>
  </si>
  <si>
    <t>4209 White Oaks Rd.</t>
  </si>
  <si>
    <t>211 Deer Park Circle</t>
  </si>
  <si>
    <t>333 E Foster Place</t>
  </si>
  <si>
    <t>855 Auburn Rd</t>
  </si>
  <si>
    <t>178 Bank St SE</t>
  </si>
  <si>
    <t>14 Fairfield Ave.</t>
  </si>
  <si>
    <t>3648 N. Janssen Ave</t>
  </si>
  <si>
    <t>18 Tower Rd.</t>
  </si>
  <si>
    <t>935 Barnes</t>
  </si>
  <si>
    <t>74 WOODCUTTERS LANE</t>
  </si>
  <si>
    <t>180 E Pearson St</t>
  </si>
  <si>
    <t>Apt 6707</t>
  </si>
  <si>
    <t>4304 Lillywood Rd</t>
  </si>
  <si>
    <t>8 Dana Rd</t>
  </si>
  <si>
    <t>74 Whetten Rd</t>
  </si>
  <si>
    <t>5210 WILLIAMSBURG RD</t>
  </si>
  <si>
    <t>47 Linekin Rd</t>
  </si>
  <si>
    <t>61 Lakeview Dr</t>
  </si>
  <si>
    <t>207 Barnard Ridge Rd</t>
  </si>
  <si>
    <t>711 Ward Parkway</t>
  </si>
  <si>
    <t>4725 E Mercer Way</t>
  </si>
  <si>
    <t>3630 Deer Island Dr E</t>
  </si>
  <si>
    <t>3129 S Columbia Cir</t>
  </si>
  <si>
    <t>3607 Ironwood Road</t>
  </si>
  <si>
    <t>1801 30th Avenue W</t>
  </si>
  <si>
    <t>9 Ninigret Ave</t>
  </si>
  <si>
    <t>13 Ogallala N</t>
  </si>
  <si>
    <t>72-3217 Manini Owali Drive</t>
  </si>
  <si>
    <t>20445 E SUNSET CT</t>
  </si>
  <si>
    <t>14 Plimpton Rd</t>
  </si>
  <si>
    <t>1302 Innsfree Circle</t>
  </si>
  <si>
    <t>1404 N Dryden Ave</t>
  </si>
  <si>
    <t>7183 E MIGHTY SAGUARO</t>
  </si>
  <si>
    <t>5112 N WILKINSON RD</t>
  </si>
  <si>
    <t>753 Acequia Madre</t>
  </si>
  <si>
    <t>9141 Tesoras</t>
  </si>
  <si>
    <t>#402</t>
  </si>
  <si>
    <t>702 Pine St</t>
  </si>
  <si>
    <t>214 Florida Hill Road</t>
  </si>
  <si>
    <t>Accessory Dwelling</t>
  </si>
  <si>
    <t>9290 E. Thompson Peak Parkway, Lot 118</t>
  </si>
  <si>
    <t>114 Kay Street</t>
  </si>
  <si>
    <t>5710 Dunbarton Dr</t>
  </si>
  <si>
    <t>493 Central Rd</t>
  </si>
  <si>
    <t>66 Mooreland Road</t>
  </si>
  <si>
    <t>271 Norwood Ave</t>
  </si>
  <si>
    <t>3210 Davenport Street NW</t>
  </si>
  <si>
    <t>3754 Carrington Cir</t>
  </si>
  <si>
    <t>1535 tree line drive</t>
  </si>
  <si>
    <t>4184 Ponchartrain</t>
  </si>
  <si>
    <t>621 Carisbrooke Road</t>
  </si>
  <si>
    <t>1616 Sheridan Rd</t>
  </si>
  <si>
    <t>Unit 10F</t>
  </si>
  <si>
    <t>S. Lazy Ridge Road</t>
  </si>
  <si>
    <t>5800 W 70th St</t>
  </si>
  <si>
    <t>450 Lake Ave</t>
  </si>
  <si>
    <t>165 Thorntree Lane</t>
  </si>
  <si>
    <t>403 101ST AVE SE</t>
  </si>
  <si>
    <t>127 Pinewood Road</t>
  </si>
  <si>
    <t>N3071 Poor Lake Rd</t>
  </si>
  <si>
    <t>5 SAKONNET POINT RD</t>
  </si>
  <si>
    <t>2706 212th AVE SE</t>
  </si>
  <si>
    <t>3942 Pete Dye Blvd</t>
  </si>
  <si>
    <t>3704 Porter Street</t>
  </si>
  <si>
    <t>920 Towlson Road</t>
  </si>
  <si>
    <t>7276 US Hwy 212</t>
  </si>
  <si>
    <t>311 N Pitt Street</t>
  </si>
  <si>
    <t>1815 &amp; 1825 E 19th Ave</t>
  </si>
  <si>
    <t>180 Franklin St N</t>
  </si>
  <si>
    <t>1179 Heritage Dr</t>
  </si>
  <si>
    <t>2726 N Mozart St</t>
  </si>
  <si>
    <t>2619 W Lake Forest Circle</t>
  </si>
  <si>
    <t>1282 Shanti Lane Northwest</t>
  </si>
  <si>
    <t>Unit 4</t>
  </si>
  <si>
    <t>62-3959 Kaunaoa Iki Road</t>
  </si>
  <si>
    <t>#5B</t>
  </si>
  <si>
    <t>1428 Tiba Rd</t>
  </si>
  <si>
    <t>18 Phillips Ln</t>
  </si>
  <si>
    <t>18 The Crossways</t>
  </si>
  <si>
    <t>362 Salt Pond Road</t>
  </si>
  <si>
    <t>109 N Second Street</t>
  </si>
  <si>
    <t>2401 NW Grand Court</t>
  </si>
  <si>
    <t>W8370 Maple Road</t>
  </si>
  <si>
    <t>1124 10th St NW</t>
  </si>
  <si>
    <t>PH</t>
  </si>
  <si>
    <t>79 Old Hill Rd</t>
  </si>
  <si>
    <t>124 Davenport Loop</t>
  </si>
  <si>
    <t>50108 Arnold Ave</t>
  </si>
  <si>
    <t>435 Round Hill Road</t>
  </si>
  <si>
    <t>167 Black Point Lane</t>
  </si>
  <si>
    <t>276 Moultonboro Neck Road</t>
  </si>
  <si>
    <t>Barn only</t>
  </si>
  <si>
    <t>366 Glen Cove Road</t>
  </si>
  <si>
    <t>3910 Glenfield Drive</t>
  </si>
  <si>
    <t>1250 W Dean Rd</t>
  </si>
  <si>
    <t>66 Wagner Road</t>
  </si>
  <si>
    <t>7216 94th AVE SE</t>
  </si>
  <si>
    <t>357 Larimore Valley Dr</t>
  </si>
  <si>
    <t>7180 S Polo Ridge Drive</t>
  </si>
  <si>
    <t>21668 Villagio Dr</t>
  </si>
  <si>
    <t>1710 Talbot Trail</t>
  </si>
  <si>
    <t>141 Steeplechase Lane</t>
  </si>
  <si>
    <t>1835 N Orleans St</t>
  </si>
  <si>
    <t>W4108 Lakeview Rd</t>
  </si>
  <si>
    <t>1911 Mountain View Road</t>
  </si>
  <si>
    <t>805 Hillstead Road</t>
  </si>
  <si>
    <t>560 Rossie Hill Dr</t>
  </si>
  <si>
    <t>64-886 Mamalahoa Hwy</t>
  </si>
  <si>
    <t>530 Juniper Avenue</t>
  </si>
  <si>
    <t>5537 NE Penrith Rd</t>
  </si>
  <si>
    <t>4375 S Lafayette St</t>
  </si>
  <si>
    <t>264 Hillspoint Rd</t>
  </si>
  <si>
    <t>3850 N Lake Dr</t>
  </si>
  <si>
    <t>2230 LAKE SHORE DRIVE</t>
  </si>
  <si>
    <t>5965 Sharps Road</t>
  </si>
  <si>
    <t>7560 Olentangy River Rd</t>
  </si>
  <si>
    <t>101 N Cooke Trail</t>
  </si>
  <si>
    <t>1979 Fiddle Creek Rd</t>
  </si>
  <si>
    <t>3400 S Oregon St</t>
  </si>
  <si>
    <t>3226 Cascadia Ave S</t>
  </si>
  <si>
    <t>15369 Broom St NE</t>
  </si>
  <si>
    <t>10 Wailea Ekolu Place</t>
  </si>
  <si>
    <t>Apt 610</t>
  </si>
  <si>
    <t>1259 14th Ave</t>
  </si>
  <si>
    <t>2 Lenox Place</t>
  </si>
  <si>
    <t>12518 Amberset Drive</t>
  </si>
  <si>
    <t>1020 W Upsal Street</t>
  </si>
  <si>
    <t>2615 Perkins Ln W</t>
  </si>
  <si>
    <t>918 Waterford LN</t>
  </si>
  <si>
    <t>3231 N Albemarle Street</t>
  </si>
  <si>
    <t>26206 Old Owen Road</t>
  </si>
  <si>
    <t>11609 Horseshoe Circle</t>
  </si>
  <si>
    <t>24 Wakefield Road</t>
  </si>
  <si>
    <t>612 SW Otter Run</t>
  </si>
  <si>
    <t>10707 Lockland Rd</t>
  </si>
  <si>
    <t>35 Appian Way</t>
  </si>
  <si>
    <t>10 Rittenhouse</t>
  </si>
  <si>
    <t>Unit 3101, 3202 A &amp; B</t>
  </si>
  <si>
    <t>26 Valley Road</t>
  </si>
  <si>
    <t>5116 Pine River Trail</t>
  </si>
  <si>
    <t>975 Lafayette Rd</t>
  </si>
  <si>
    <t>93 GLADE RD</t>
  </si>
  <si>
    <t>4737 W Roberts Way</t>
  </si>
  <si>
    <t>4905 SW Hewett Blvd</t>
  </si>
  <si>
    <t>5283 Heather Ln</t>
  </si>
  <si>
    <t>911 Lakeshore Blvd</t>
  </si>
  <si>
    <t>9290 E Thompson Peak Pkwy</t>
  </si>
  <si>
    <t>Unit 138</t>
  </si>
  <si>
    <t>6140 TRAILSIDE DR</t>
  </si>
  <si>
    <t>2509 Tournament Dr</t>
  </si>
  <si>
    <t>254 Beaver Dam Road</t>
  </si>
  <si>
    <t>122 Fairchild Pl</t>
  </si>
  <si>
    <t>15220 Dinosaur Ridge Road</t>
  </si>
  <si>
    <t>30 Richmond Dr</t>
  </si>
  <si>
    <t>34 Woodward Road</t>
  </si>
  <si>
    <t>25 Beacon Hill Road</t>
  </si>
  <si>
    <t>21 Seaview Avenue</t>
  </si>
  <si>
    <t>280 HARMON ST #300</t>
  </si>
  <si>
    <t>3925 S Galloway Dr</t>
  </si>
  <si>
    <t>400 Dunston</t>
  </si>
  <si>
    <t>1307 Moore St</t>
  </si>
  <si>
    <t>Unit 702</t>
  </si>
  <si>
    <t>1517 7th Ave W</t>
  </si>
  <si>
    <t>1032 W Altgeld St</t>
  </si>
  <si>
    <t>172 Pinewood rd</t>
  </si>
  <si>
    <t>18320 Breezy Point Road</t>
  </si>
  <si>
    <t>48114 North Drive</t>
  </si>
  <si>
    <t>9231 East Andora Hills Dr</t>
  </si>
  <si>
    <t>31679 Muscovy</t>
  </si>
  <si>
    <t>3315 97th Ave SE</t>
  </si>
  <si>
    <t>913 Rock Creek Road</t>
  </si>
  <si>
    <t>695 Aspen Unit A</t>
  </si>
  <si>
    <t>2118 Bancroft Place Northwest</t>
  </si>
  <si>
    <t>749 South Highland Ave</t>
  </si>
  <si>
    <t>864 Moore Dr</t>
  </si>
  <si>
    <t>11814 Park Heights Avenue</t>
  </si>
  <si>
    <t>171 Old South Rd</t>
  </si>
  <si>
    <t>5985 Prestwick Court</t>
  </si>
  <si>
    <t>11571 Cedar Pass</t>
  </si>
  <si>
    <t>7120 Wydown Boulevard</t>
  </si>
  <si>
    <t>843 KIMBALL ROAD</t>
  </si>
  <si>
    <t>15028 Gaillardia Dr</t>
  </si>
  <si>
    <t>20 Whittier Rd</t>
  </si>
  <si>
    <t>5217 Schaefer Road</t>
  </si>
  <si>
    <t>1855 Old Willow Road</t>
  </si>
  <si>
    <t>Unit 321</t>
  </si>
  <si>
    <t>5571 Winding Cape Way</t>
  </si>
  <si>
    <t>5601 Brookview Ave</t>
  </si>
  <si>
    <t>17 Woody Lane</t>
  </si>
  <si>
    <t>880 N Lake Shore Dr #20C</t>
  </si>
  <si>
    <t>10029 E Scopa Trail</t>
  </si>
  <si>
    <t>16 Doubling Road</t>
  </si>
  <si>
    <t>81-6465 Laukapalili Way</t>
  </si>
  <si>
    <t>95 Silver Dollar Drive</t>
  </si>
  <si>
    <t>36735 N 102nd Pl</t>
  </si>
  <si>
    <t>439 N Bruner Street</t>
  </si>
  <si>
    <t>8245 W Deer Creek Rd</t>
  </si>
  <si>
    <t>2276 Sunrise Ridge Court</t>
  </si>
  <si>
    <t>1816 Pace Haven</t>
  </si>
  <si>
    <t>62-120 Imaka Place</t>
  </si>
  <si>
    <t>32 Quiet Moon Lane</t>
  </si>
  <si>
    <t>455 Oak Circle</t>
  </si>
  <si>
    <t>348 Wister Rd</t>
  </si>
  <si>
    <t>1433 Glendalough Ct</t>
  </si>
  <si>
    <t>7 Union Drive</t>
  </si>
  <si>
    <t>905 Westview Avenue</t>
  </si>
  <si>
    <t>1085 North West Torch Lake Drive</t>
  </si>
  <si>
    <t>1228 6th St N</t>
  </si>
  <si>
    <t>1590 Quince Avenue</t>
  </si>
  <si>
    <t>501 Nelson Drive NE</t>
  </si>
  <si>
    <t>486 N Ocean Ave</t>
  </si>
  <si>
    <t>1515 Sunset Boulevard</t>
  </si>
  <si>
    <t>14027 227th Avenue Northeast</t>
  </si>
  <si>
    <t>989 Fairway Boulevard</t>
  </si>
  <si>
    <t>7105 Nichols Rd</t>
  </si>
  <si>
    <t>715 Golf Club Drive</t>
  </si>
  <si>
    <t>62 Fairway Lane</t>
  </si>
  <si>
    <t>10 Drifting Shadow Way</t>
  </si>
  <si>
    <t>259 Corbin RD</t>
  </si>
  <si>
    <t>322-324 Wings Point Rd</t>
  </si>
  <si>
    <t>7968 &amp; 7955 N Timber Lane</t>
  </si>
  <si>
    <t>34 Tournament Dr S</t>
  </si>
  <si>
    <t>1600 Wincanton Drive</t>
  </si>
  <si>
    <t>31500 BINGHAM RD</t>
  </si>
  <si>
    <t>331 S Aspen Street #3</t>
  </si>
  <si>
    <t>2408 Richard Bolling</t>
  </si>
  <si>
    <t>22 Arrowhead Way</t>
  </si>
  <si>
    <t>1133 Race St Unit 8b &amp; 9b</t>
  </si>
  <si>
    <t>801 Woodland Ct</t>
  </si>
  <si>
    <t>3072 80th Avenue Northeast</t>
  </si>
  <si>
    <t>15945 Orchard Point DR</t>
  </si>
  <si>
    <t>23 Valley Rd</t>
  </si>
  <si>
    <t>5211 S Kenwood Ave</t>
  </si>
  <si>
    <t>130 Garnet Hill Rd</t>
  </si>
  <si>
    <t>7400 North Shadow Mountain Road</t>
  </si>
  <si>
    <t>8444 N 84th St</t>
  </si>
  <si>
    <t>2350 White Oak Dr</t>
  </si>
  <si>
    <t>39 Hillcrest Park Road</t>
  </si>
  <si>
    <t>604 Greenleaf Ave</t>
  </si>
  <si>
    <t>1 Shields Lane</t>
  </si>
  <si>
    <t>20244 North 101st Way</t>
  </si>
  <si>
    <t>1535 Southwest Pembroke Lane</t>
  </si>
  <si>
    <t>1111 Halibut Point Rd</t>
  </si>
  <si>
    <t>2552 E Alameda Ave Unit 15</t>
  </si>
  <si>
    <t>214 Sunset Hill Road</t>
  </si>
  <si>
    <t>2835 Lake Shore Ave</t>
  </si>
  <si>
    <t>137 5 Mile River Road</t>
  </si>
  <si>
    <t>131 Christie Hill Road</t>
  </si>
  <si>
    <t>3860 Carleton Drive</t>
  </si>
  <si>
    <t>3 Rio Vista Drive</t>
  </si>
  <si>
    <t>1445 KIRKWAY RD</t>
  </si>
  <si>
    <t>6071 E Cheney Dr</t>
  </si>
  <si>
    <t>3643 Lerive Way</t>
  </si>
  <si>
    <t>128 Catharine Street</t>
  </si>
  <si>
    <t>54 High Head Road</t>
  </si>
  <si>
    <t>1200 West 55th Street</t>
  </si>
  <si>
    <t>1450 Mount Ayr Circle</t>
  </si>
  <si>
    <t>3030 K St., NW # PH 211</t>
  </si>
  <si>
    <t># PH 211</t>
  </si>
  <si>
    <t>331 RIDGEWOOD ROAD</t>
  </si>
  <si>
    <t>1052 North Glengarry Road</t>
  </si>
  <si>
    <t>309 SE 33rd Ave</t>
  </si>
  <si>
    <t>2020 Otter Creek Road</t>
  </si>
  <si>
    <t>26573 DUNDEE ROAD</t>
  </si>
  <si>
    <t>101 Coopertown Road</t>
  </si>
  <si>
    <t>51 Forest Avenue</t>
  </si>
  <si>
    <t>Unit 50</t>
  </si>
  <si>
    <t>250 Grays Lane</t>
  </si>
  <si>
    <t>609 Portledge Drive</t>
  </si>
  <si>
    <t>20615 NE 142nd St</t>
  </si>
  <si>
    <t>22 Mead St</t>
  </si>
  <si>
    <t>4433 N. West Sawmill Road</t>
  </si>
  <si>
    <t>4626 North Lake Drive</t>
  </si>
  <si>
    <t>305 Morning Mist Lane</t>
  </si>
  <si>
    <t>889 Sheridan Rd</t>
  </si>
  <si>
    <t>5656 42nd Avenue West</t>
  </si>
  <si>
    <t>10841 Backcountry Dr</t>
  </si>
  <si>
    <t>6541 South Kellerman Way</t>
  </si>
  <si>
    <t>13217 9th Avenue Northwest</t>
  </si>
  <si>
    <t>6181 E Miramar Drive</t>
  </si>
  <si>
    <t>2 Tyler Drive</t>
  </si>
  <si>
    <t>269 Round Hill Road</t>
  </si>
  <si>
    <t>4623 Bruce Avenue</t>
  </si>
  <si>
    <t>5500 Shady Grove Road</t>
  </si>
  <si>
    <t>10735 Rivendell Ave</t>
  </si>
  <si>
    <t>142 Moss Road Nw</t>
  </si>
  <si>
    <t>21 Verplank Avenue</t>
  </si>
  <si>
    <t>3 Oakleigh Lane</t>
  </si>
  <si>
    <t>62336 Deer Trail Road</t>
  </si>
  <si>
    <t>11648 Forest Hill Court</t>
  </si>
  <si>
    <t>370 Sheridan Road</t>
  </si>
  <si>
    <t>1217 N BAY SHORE DR</t>
  </si>
  <si>
    <t>2510 E 45th St</t>
  </si>
  <si>
    <t>1154 Bella Vista Drive</t>
  </si>
  <si>
    <t>1010 West Meyer Boulevard</t>
  </si>
  <si>
    <t>1870 Meadow Ridge Dr</t>
  </si>
  <si>
    <t>10 E Delaware Pl #33C</t>
  </si>
  <si>
    <t>BOZEMAN</t>
  </si>
  <si>
    <t>Gallatin</t>
  </si>
  <si>
    <t>Middletown</t>
  </si>
  <si>
    <t>Newport</t>
  </si>
  <si>
    <t>DENVER</t>
  </si>
  <si>
    <t>Denver</t>
  </si>
  <si>
    <t>Ruckersville</t>
  </si>
  <si>
    <t>Ladue</t>
  </si>
  <si>
    <t>Saint Louis</t>
  </si>
  <si>
    <t>Avon</t>
  </si>
  <si>
    <t>Hartford</t>
  </si>
  <si>
    <t>Bridgewater</t>
  </si>
  <si>
    <t>Litchfield</t>
  </si>
  <si>
    <t>Montgomery</t>
  </si>
  <si>
    <t>Scottsdale</t>
  </si>
  <si>
    <t>Maricopa</t>
  </si>
  <si>
    <t>Fairfield</t>
  </si>
  <si>
    <t>Emmaus</t>
  </si>
  <si>
    <t>Lehigh</t>
  </si>
  <si>
    <t>Stratford</t>
  </si>
  <si>
    <t>Ephraim</t>
  </si>
  <si>
    <t>Door</t>
  </si>
  <si>
    <t>Boulder</t>
  </si>
  <si>
    <t>Eden Prairie</t>
  </si>
  <si>
    <t>Hennepin</t>
  </si>
  <si>
    <t>Block Island</t>
  </si>
  <si>
    <t>Washington</t>
  </si>
  <si>
    <t>Santa Fe</t>
  </si>
  <si>
    <t>Columbus</t>
  </si>
  <si>
    <t>Stratton</t>
  </si>
  <si>
    <t>Medina</t>
  </si>
  <si>
    <t>Boyne City</t>
  </si>
  <si>
    <t>Charlevoix</t>
  </si>
  <si>
    <t>Ada</t>
  </si>
  <si>
    <t>Kent</t>
  </si>
  <si>
    <t>HINSDALE</t>
  </si>
  <si>
    <t>Du Page</t>
  </si>
  <si>
    <t>New Canaan</t>
  </si>
  <si>
    <t>Aspen</t>
  </si>
  <si>
    <t>Pitkin</t>
  </si>
  <si>
    <t>Tulsa</t>
  </si>
  <si>
    <t>Elm Grove</t>
  </si>
  <si>
    <t>Waukesha</t>
  </si>
  <si>
    <t>Chicago</t>
  </si>
  <si>
    <t>Cook</t>
  </si>
  <si>
    <t>Louisville</t>
  </si>
  <si>
    <t>Jefferson</t>
  </si>
  <si>
    <t>Phoenix</t>
  </si>
  <si>
    <t>Pony</t>
  </si>
  <si>
    <t>Madison</t>
  </si>
  <si>
    <t>Snowmass Village</t>
  </si>
  <si>
    <t>Glencoe</t>
  </si>
  <si>
    <t>Salt Lake City</t>
  </si>
  <si>
    <t>Salt Lake</t>
  </si>
  <si>
    <t>Evanston</t>
  </si>
  <si>
    <t>Southport</t>
  </si>
  <si>
    <t>Stamford</t>
  </si>
  <si>
    <t>New Milford</t>
  </si>
  <si>
    <t>Gilbert</t>
  </si>
  <si>
    <t>Falmouth</t>
  </si>
  <si>
    <t>Cumberland</t>
  </si>
  <si>
    <t>Inverness</t>
  </si>
  <si>
    <t>Lothian</t>
  </si>
  <si>
    <t>Anne Arundel</t>
  </si>
  <si>
    <t>Monkey Island</t>
  </si>
  <si>
    <t>Ottawa</t>
  </si>
  <si>
    <t>OLD SAYBROOK</t>
  </si>
  <si>
    <t>Nichols Hills</t>
  </si>
  <si>
    <t>Oklahoma</t>
  </si>
  <si>
    <t>Nashville</t>
  </si>
  <si>
    <t>Davidson</t>
  </si>
  <si>
    <t>Warren</t>
  </si>
  <si>
    <t>Kihei</t>
  </si>
  <si>
    <t>Maui</t>
  </si>
  <si>
    <t>WESTPORT</t>
  </si>
  <si>
    <t>Westport</t>
  </si>
  <si>
    <t>Las Vegas</t>
  </si>
  <si>
    <t>Clark</t>
  </si>
  <si>
    <t>Bigfork</t>
  </si>
  <si>
    <t>Flathead</t>
  </si>
  <si>
    <t>Lake Geneva</t>
  </si>
  <si>
    <t>Walworth</t>
  </si>
  <si>
    <t>Frankfort</t>
  </si>
  <si>
    <t>Benzie</t>
  </si>
  <si>
    <t>St. Louis</t>
  </si>
  <si>
    <t>Oakton</t>
  </si>
  <si>
    <t>Fairfax</t>
  </si>
  <si>
    <t>Memphis</t>
  </si>
  <si>
    <t>Shelby</t>
  </si>
  <si>
    <t>Lake Forest</t>
  </si>
  <si>
    <t>Lake</t>
  </si>
  <si>
    <t>Winnetka</t>
  </si>
  <si>
    <t>Minneapolis</t>
  </si>
  <si>
    <t>HARPERS FERRY</t>
  </si>
  <si>
    <t>Hanover</t>
  </si>
  <si>
    <t>Grafton</t>
  </si>
  <si>
    <t>West Hartford</t>
  </si>
  <si>
    <t>Sullivan</t>
  </si>
  <si>
    <t>BRENTWOOD</t>
  </si>
  <si>
    <t>Williamson</t>
  </si>
  <si>
    <t>Boothbay Harbor</t>
  </si>
  <si>
    <t>Scottsville</t>
  </si>
  <si>
    <t>Allen</t>
  </si>
  <si>
    <t>Bozeman</t>
  </si>
  <si>
    <t>Kansas City</t>
  </si>
  <si>
    <t>Mercer Island</t>
  </si>
  <si>
    <t>King</t>
  </si>
  <si>
    <t>Lake Tapps</t>
  </si>
  <si>
    <t>Pierce</t>
  </si>
  <si>
    <t>Excelsior</t>
  </si>
  <si>
    <t>Seattle</t>
  </si>
  <si>
    <t>Westerly</t>
  </si>
  <si>
    <t>Carbon</t>
  </si>
  <si>
    <t>Kailua Kona</t>
  </si>
  <si>
    <t>Hawaii</t>
  </si>
  <si>
    <t>QUEEN CREEK</t>
  </si>
  <si>
    <t>Wright City</t>
  </si>
  <si>
    <t>Arlington Heights</t>
  </si>
  <si>
    <t>PARADISE VALLEY</t>
  </si>
  <si>
    <t>Ridgefield</t>
  </si>
  <si>
    <t>Cherry Hills Village</t>
  </si>
  <si>
    <t>Arapahoe</t>
  </si>
  <si>
    <t>Rockingham</t>
  </si>
  <si>
    <t>Greenwich</t>
  </si>
  <si>
    <t>Holland</t>
  </si>
  <si>
    <t>District Of Columbia</t>
  </si>
  <si>
    <t>Easton</t>
  </si>
  <si>
    <t>Northampton</t>
  </si>
  <si>
    <t>malvern</t>
  </si>
  <si>
    <t>Chester</t>
  </si>
  <si>
    <t>New Buffalo</t>
  </si>
  <si>
    <t>Berrien</t>
  </si>
  <si>
    <t>Bryn Mawr</t>
  </si>
  <si>
    <t>Delaware</t>
  </si>
  <si>
    <t>Wilmette</t>
  </si>
  <si>
    <t>Sioux Falls</t>
  </si>
  <si>
    <t>Edina</t>
  </si>
  <si>
    <t>BELLEVUE</t>
  </si>
  <si>
    <t>Virginia Beach</t>
  </si>
  <si>
    <t>Virginia Beach City</t>
  </si>
  <si>
    <t>Watersmeet</t>
  </si>
  <si>
    <t>Gogebic</t>
  </si>
  <si>
    <t>LITTLE COMPTON</t>
  </si>
  <si>
    <t>Sammamish</t>
  </si>
  <si>
    <t>Carmel</t>
  </si>
  <si>
    <t>Hamilton</t>
  </si>
  <si>
    <t>Mclean</t>
  </si>
  <si>
    <t>Red Lodge</t>
  </si>
  <si>
    <t>Alexandria</t>
  </si>
  <si>
    <t>Alexandria City</t>
  </si>
  <si>
    <t>Eugene</t>
  </si>
  <si>
    <t>Lane</t>
  </si>
  <si>
    <t>Carbondale</t>
  </si>
  <si>
    <t>Garfield</t>
  </si>
  <si>
    <t>Mequon</t>
  </si>
  <si>
    <t>Ozaukee</t>
  </si>
  <si>
    <t>Bainbridge Island</t>
  </si>
  <si>
    <t>Kitsap</t>
  </si>
  <si>
    <t>Kamuela</t>
  </si>
  <si>
    <t>Darien</t>
  </si>
  <si>
    <t>Blue Hill</t>
  </si>
  <si>
    <t>Hancock</t>
  </si>
  <si>
    <t>Neillsville</t>
  </si>
  <si>
    <t>Breckenridge</t>
  </si>
  <si>
    <t>Summit</t>
  </si>
  <si>
    <t>Grand Beach</t>
  </si>
  <si>
    <t>Portsmouth</t>
  </si>
  <si>
    <t>Moultonboro</t>
  </si>
  <si>
    <t>Carroll</t>
  </si>
  <si>
    <t>Swanton</t>
  </si>
  <si>
    <t>Garrett</t>
  </si>
  <si>
    <t>Knoxville</t>
  </si>
  <si>
    <t>Knox</t>
  </si>
  <si>
    <t>River Hills</t>
  </si>
  <si>
    <t>Milwaukee</t>
  </si>
  <si>
    <t>Chesterfield</t>
  </si>
  <si>
    <t>Littleton</t>
  </si>
  <si>
    <t>Edmond</t>
  </si>
  <si>
    <t>Vinton</t>
  </si>
  <si>
    <t>Roanoke</t>
  </si>
  <si>
    <t>Lutherville</t>
  </si>
  <si>
    <t>Baltimore</t>
  </si>
  <si>
    <t>Park City</t>
  </si>
  <si>
    <t>Englewood</t>
  </si>
  <si>
    <t>Shorewood</t>
  </si>
  <si>
    <t>LONG BEACH</t>
  </si>
  <si>
    <t>La Porte</t>
  </si>
  <si>
    <t>Sharps</t>
  </si>
  <si>
    <t>Richmond</t>
  </si>
  <si>
    <t>Labadie</t>
  </si>
  <si>
    <t>Fox Island</t>
  </si>
  <si>
    <t>Saint Louis City</t>
  </si>
  <si>
    <t>Philadelphia</t>
  </si>
  <si>
    <t>Northbrook</t>
  </si>
  <si>
    <t>Arlington</t>
  </si>
  <si>
    <t>Snohomish</t>
  </si>
  <si>
    <t>Hughes</t>
  </si>
  <si>
    <t>Saint Francis</t>
  </si>
  <si>
    <t>Branford</t>
  </si>
  <si>
    <t>New Haven</t>
  </si>
  <si>
    <t>Bend</t>
  </si>
  <si>
    <t>Deschutes</t>
  </si>
  <si>
    <t>Potomac</t>
  </si>
  <si>
    <t>Barrington</t>
  </si>
  <si>
    <t>Bristol</t>
  </si>
  <si>
    <t>Norwalk</t>
  </si>
  <si>
    <t>Castle Rock</t>
  </si>
  <si>
    <t>Douglas</t>
  </si>
  <si>
    <t>GLENCOE</t>
  </si>
  <si>
    <t>Portland</t>
  </si>
  <si>
    <t>Multnomah</t>
  </si>
  <si>
    <t>Incline Village</t>
  </si>
  <si>
    <t>Washoe</t>
  </si>
  <si>
    <t>PARK CITY</t>
  </si>
  <si>
    <t>CASTLE ROCK</t>
  </si>
  <si>
    <t>Vail</t>
  </si>
  <si>
    <t>Eagle</t>
  </si>
  <si>
    <t>Highlands Ranch</t>
  </si>
  <si>
    <t>Morrison</t>
  </si>
  <si>
    <t>Grosse Pointe Farms</t>
  </si>
  <si>
    <t>Wayne</t>
  </si>
  <si>
    <t>Kennebunkport</t>
  </si>
  <si>
    <t>York</t>
  </si>
  <si>
    <t>BIRMINGHAM</t>
  </si>
  <si>
    <t>Oakland</t>
  </si>
  <si>
    <t>Bloomfield Hills</t>
  </si>
  <si>
    <t>Brookings</t>
  </si>
  <si>
    <t>Curry</t>
  </si>
  <si>
    <t>virginia beach</t>
  </si>
  <si>
    <t>Woodland</t>
  </si>
  <si>
    <t>Ponsford</t>
  </si>
  <si>
    <t>Becker</t>
  </si>
  <si>
    <t>Hartland</t>
  </si>
  <si>
    <t>Merion Station</t>
  </si>
  <si>
    <t>Owings Mills</t>
  </si>
  <si>
    <t>Minnetonka</t>
  </si>
  <si>
    <t>Clayton</t>
  </si>
  <si>
    <t>HIGHLAND PARK</t>
  </si>
  <si>
    <t>Oklahoma City</t>
  </si>
  <si>
    <t>Jamestown</t>
  </si>
  <si>
    <t>Northfield</t>
  </si>
  <si>
    <t>Mason</t>
  </si>
  <si>
    <t>Kealakekua</t>
  </si>
  <si>
    <t>Hinsdale</t>
  </si>
  <si>
    <t>Maple Plain</t>
  </si>
  <si>
    <t>Henderson</t>
  </si>
  <si>
    <t>Waimea</t>
  </si>
  <si>
    <t>Charlottesville</t>
  </si>
  <si>
    <t>Albemarle</t>
  </si>
  <si>
    <t>Wynnewood</t>
  </si>
  <si>
    <t>Big Sky</t>
  </si>
  <si>
    <t>Kewadin</t>
  </si>
  <si>
    <t>Antrim</t>
  </si>
  <si>
    <t>Vienna</t>
  </si>
  <si>
    <t>Seaside</t>
  </si>
  <si>
    <t>Clatsop</t>
  </si>
  <si>
    <t>Woodinville</t>
  </si>
  <si>
    <t>las vegas</t>
  </si>
  <si>
    <t>Alstead</t>
  </si>
  <si>
    <t>Cheshire</t>
  </si>
  <si>
    <t>Chittenden</t>
  </si>
  <si>
    <t>Hayward</t>
  </si>
  <si>
    <t>Sawyer</t>
  </si>
  <si>
    <t>Hawthorn Woods</t>
  </si>
  <si>
    <t>BINGHAM FARMS</t>
  </si>
  <si>
    <t>Telluride</t>
  </si>
  <si>
    <t>San Miguel</t>
  </si>
  <si>
    <t>Williamsburg</t>
  </si>
  <si>
    <t>James City</t>
  </si>
  <si>
    <t>Hunts Point</t>
  </si>
  <si>
    <t>Sunapee</t>
  </si>
  <si>
    <t>Paradise Valley</t>
  </si>
  <si>
    <t>Lexington</t>
  </si>
  <si>
    <t>Old Greenwich</t>
  </si>
  <si>
    <t>Topeka</t>
  </si>
  <si>
    <t>Shawnee</t>
  </si>
  <si>
    <t>Sitka</t>
  </si>
  <si>
    <t>BLOOMFIELD HILLS</t>
  </si>
  <si>
    <t>Chaska</t>
  </si>
  <si>
    <t>Carver</t>
  </si>
  <si>
    <t>Harpswell</t>
  </si>
  <si>
    <t>Bowling Green</t>
  </si>
  <si>
    <t>WEST HARTFORD</t>
  </si>
  <si>
    <t>HUNTINGTON WOODS</t>
  </si>
  <si>
    <t>Haverford</t>
  </si>
  <si>
    <t>WHITEFISH BAY</t>
  </si>
  <si>
    <t>HIGHLANDS RANCH</t>
  </si>
  <si>
    <t>Aurora</t>
  </si>
  <si>
    <t>Tucson</t>
  </si>
  <si>
    <t>Pima</t>
  </si>
  <si>
    <t>Shoreline</t>
  </si>
  <si>
    <t>Fairfax City</t>
  </si>
  <si>
    <t>VIRGINIA BEACH</t>
  </si>
  <si>
    <t>Frontenac</t>
  </si>
  <si>
    <t>Dexter</t>
  </si>
  <si>
    <t>Washtenaw</t>
  </si>
  <si>
    <t>&gt; 1 miles</t>
  </si>
  <si>
    <t>2501 - 1 mile</t>
  </si>
  <si>
    <t>&gt; 1000 ft</t>
  </si>
  <si>
    <t>2A</t>
  </si>
  <si>
    <t>Contractor Carries Adequate Liability Coverage</t>
  </si>
  <si>
    <t>Subrogation Against Contractor</t>
  </si>
  <si>
    <t>Not Waived</t>
  </si>
  <si>
    <t>Waived</t>
  </si>
  <si>
    <t>Perimeter Fence</t>
  </si>
  <si>
    <t>Yes</t>
  </si>
  <si>
    <t>No</t>
  </si>
  <si>
    <t>Gated Driveway</t>
  </si>
  <si>
    <t>Exterior Lighting</t>
  </si>
  <si>
    <t>Security Camera</t>
  </si>
  <si>
    <t>Watchman</t>
  </si>
  <si>
    <t>Window_And_Other_Opening_Protection_Type_Name</t>
  </si>
  <si>
    <t>Impact Glass</t>
  </si>
  <si>
    <t>None</t>
  </si>
  <si>
    <t>Basic Protection</t>
  </si>
  <si>
    <t>Class A - Hurricane Impact Glass</t>
  </si>
  <si>
    <t>Unknown</t>
  </si>
  <si>
    <t>Impact Glass Rated For Large Missiles</t>
  </si>
  <si>
    <t>Partial Opening Protection</t>
  </si>
  <si>
    <t>Impact Shutters Rated For Large Missiles</t>
  </si>
  <si>
    <t>Impact Glass Rated For Small/Medium Missiles</t>
  </si>
  <si>
    <t>Opening Protection</t>
  </si>
  <si>
    <t>Wildfire_Threat_No</t>
  </si>
  <si>
    <t>Wildfire_Hazard_Severity_Name</t>
  </si>
  <si>
    <t>Low</t>
  </si>
  <si>
    <t>Extreme</t>
  </si>
  <si>
    <t>Moderate</t>
  </si>
  <si>
    <t>High</t>
  </si>
  <si>
    <t>Very High</t>
  </si>
  <si>
    <t>Policy_Number_Txt</t>
  </si>
  <si>
    <t>HS2335102</t>
  </si>
  <si>
    <t>HS2223256</t>
  </si>
  <si>
    <t>HS2399489</t>
  </si>
  <si>
    <t>HS2139594</t>
  </si>
  <si>
    <t>HS2356814</t>
  </si>
  <si>
    <t>HS2418178</t>
  </si>
  <si>
    <t>HS2144435</t>
  </si>
  <si>
    <t>HS2336936</t>
  </si>
  <si>
    <t>HS2205578</t>
  </si>
  <si>
    <t>HS2367134</t>
  </si>
  <si>
    <t>HS2430441</t>
  </si>
  <si>
    <t>HS2416562</t>
  </si>
  <si>
    <t>HS2340367</t>
  </si>
  <si>
    <t>HS2440853</t>
  </si>
  <si>
    <t>HS2420270</t>
  </si>
  <si>
    <t>HS2411785</t>
  </si>
  <si>
    <t>HS2397172</t>
  </si>
  <si>
    <t>HS2279854</t>
  </si>
  <si>
    <t>HS2432276</t>
  </si>
  <si>
    <t>HS2419643</t>
  </si>
  <si>
    <t>HS2411822</t>
  </si>
  <si>
    <t>HS2430651</t>
  </si>
  <si>
    <t>HS2373753</t>
  </si>
  <si>
    <t>HS2393400</t>
  </si>
  <si>
    <t>HS2415410</t>
  </si>
  <si>
    <t>HS2415338</t>
  </si>
  <si>
    <t>HS2407555</t>
  </si>
  <si>
    <t>HS2335517</t>
  </si>
  <si>
    <t>HS2432906</t>
  </si>
  <si>
    <t>HS2344761</t>
  </si>
  <si>
    <t>HS2389090</t>
  </si>
  <si>
    <t>HS2437346</t>
  </si>
  <si>
    <t>HS2443324</t>
  </si>
  <si>
    <t>HS2406552</t>
  </si>
  <si>
    <t>HS2388756</t>
  </si>
  <si>
    <t>HS2368346</t>
  </si>
  <si>
    <t>HS2197067</t>
  </si>
  <si>
    <t>HS2443266</t>
  </si>
  <si>
    <t>HS2406366</t>
  </si>
  <si>
    <t>HS2428749</t>
  </si>
  <si>
    <t>HS2368281</t>
  </si>
  <si>
    <t>HS2437313</t>
  </si>
  <si>
    <t>HS2422630</t>
  </si>
  <si>
    <t>HS2340702</t>
  </si>
  <si>
    <t>HS2408064</t>
  </si>
  <si>
    <t>HS2407931</t>
  </si>
  <si>
    <t>HS2393851</t>
  </si>
  <si>
    <t>HS2440407</t>
  </si>
  <si>
    <t>HS2213710</t>
  </si>
  <si>
    <t>HS2288429</t>
  </si>
  <si>
    <t>HS2439530</t>
  </si>
  <si>
    <t>HS2382161</t>
  </si>
  <si>
    <t>HS2357799</t>
  </si>
  <si>
    <t>HS2432300</t>
  </si>
  <si>
    <t>HS2428957</t>
  </si>
  <si>
    <t>HS2413161</t>
  </si>
  <si>
    <t>HS2416944</t>
  </si>
  <si>
    <t>HS2440381</t>
  </si>
  <si>
    <t>HS2378116</t>
  </si>
  <si>
    <t>HS2432573</t>
  </si>
  <si>
    <t>HS2407973</t>
  </si>
  <si>
    <t>HS2443831</t>
  </si>
  <si>
    <t>HS2289392</t>
  </si>
  <si>
    <t>HS2357987</t>
  </si>
  <si>
    <t>HS2288618</t>
  </si>
  <si>
    <t>HS2440532</t>
  </si>
  <si>
    <t>HS2388257</t>
  </si>
  <si>
    <t>HS2435527</t>
  </si>
  <si>
    <t>HS2435638</t>
  </si>
  <si>
    <t>HS2423081</t>
  </si>
  <si>
    <t>HS2443692</t>
  </si>
  <si>
    <t>HS2347719</t>
  </si>
  <si>
    <t>HS2414918</t>
  </si>
  <si>
    <t>HS2407944</t>
  </si>
  <si>
    <t>HS2430989</t>
  </si>
  <si>
    <t>HS2346235</t>
  </si>
  <si>
    <t>HS2356977</t>
  </si>
  <si>
    <t>HS2328130</t>
  </si>
  <si>
    <t>HS2410675</t>
  </si>
  <si>
    <t>HS2368419</t>
  </si>
  <si>
    <t>HS2338686</t>
  </si>
  <si>
    <t>HS2429678</t>
  </si>
  <si>
    <t>HS2208945</t>
  </si>
  <si>
    <t>HS2403062</t>
  </si>
  <si>
    <t>HS2403536</t>
  </si>
  <si>
    <t>HS2405043</t>
  </si>
  <si>
    <t>HS2441178</t>
  </si>
  <si>
    <t>HS2360907</t>
  </si>
  <si>
    <t>HS2428666</t>
  </si>
  <si>
    <t>HS2338793</t>
  </si>
  <si>
    <t>HS2429007</t>
  </si>
  <si>
    <t>HS2405586</t>
  </si>
  <si>
    <t>HS2405995</t>
  </si>
  <si>
    <t>HS2345972</t>
  </si>
  <si>
    <t>HS2362488</t>
  </si>
  <si>
    <t>HS2399523</t>
  </si>
  <si>
    <t>HS2364975</t>
  </si>
  <si>
    <t>HS2427025</t>
  </si>
  <si>
    <t>HS2418201</t>
  </si>
  <si>
    <t>HS2294167</t>
  </si>
  <si>
    <t>HS2432065</t>
  </si>
  <si>
    <t>HS2382691</t>
  </si>
  <si>
    <t>HS2369964</t>
  </si>
  <si>
    <t>HS2284408</t>
  </si>
  <si>
    <t>HS2397201</t>
  </si>
  <si>
    <t>HS2335460</t>
  </si>
  <si>
    <t>HS2394387</t>
  </si>
  <si>
    <t>HS2246062</t>
  </si>
  <si>
    <t>HS2343424</t>
  </si>
  <si>
    <t>HS2418160</t>
  </si>
  <si>
    <t>HS2439110</t>
  </si>
  <si>
    <t>HS2375135</t>
  </si>
  <si>
    <t>HS2218710</t>
  </si>
  <si>
    <t>HS2422213</t>
  </si>
  <si>
    <t>HS2440006</t>
  </si>
  <si>
    <t>HS2386631</t>
  </si>
  <si>
    <t>HS2394755</t>
  </si>
  <si>
    <t>HS2441456</t>
  </si>
  <si>
    <t>HS2387658</t>
  </si>
  <si>
    <t>HS2115635</t>
  </si>
  <si>
    <t>HS2412005</t>
  </si>
  <si>
    <t>HS2148562</t>
  </si>
  <si>
    <t>HS2430991</t>
  </si>
  <si>
    <t>HS2363206</t>
  </si>
  <si>
    <t>HS2413805</t>
  </si>
  <si>
    <t>HS2416576</t>
  </si>
  <si>
    <t>HS2393397</t>
  </si>
  <si>
    <t>HS2372202</t>
  </si>
  <si>
    <t>HS2384788</t>
  </si>
  <si>
    <t>HS2286786</t>
  </si>
  <si>
    <t>HS2389503</t>
  </si>
  <si>
    <t>HS2395482</t>
  </si>
  <si>
    <t>HS2436496</t>
  </si>
  <si>
    <t>HS2408271</t>
  </si>
  <si>
    <t>HS2422859</t>
  </si>
  <si>
    <t>HS2441328</t>
  </si>
  <si>
    <t>HS2336542</t>
  </si>
  <si>
    <t>HS2399735</t>
  </si>
  <si>
    <t>HS2343006</t>
  </si>
  <si>
    <t>HS2432565</t>
  </si>
  <si>
    <t>HS2409416</t>
  </si>
  <si>
    <t>HS2287573</t>
  </si>
  <si>
    <t>HS2437416</t>
  </si>
  <si>
    <t>HS2292524</t>
  </si>
  <si>
    <t>HS2382268</t>
  </si>
  <si>
    <t>HS2219777</t>
  </si>
  <si>
    <t>HS2400015</t>
  </si>
  <si>
    <t>HS2350717</t>
  </si>
  <si>
    <t>HS2372169</t>
  </si>
  <si>
    <t>HS2343775</t>
  </si>
  <si>
    <t>HS2418601</t>
  </si>
  <si>
    <t>HS2419396</t>
  </si>
  <si>
    <t>HS2224809</t>
  </si>
  <si>
    <t>HS2364128</t>
  </si>
  <si>
    <t>HS2416958</t>
  </si>
  <si>
    <t>HS2437729</t>
  </si>
  <si>
    <t>HS2387574</t>
  </si>
  <si>
    <t>HS2419939</t>
  </si>
  <si>
    <t>HS2351329</t>
  </si>
  <si>
    <t>HS2431794</t>
  </si>
  <si>
    <t>HS2439051</t>
  </si>
  <si>
    <t>HS2422007</t>
  </si>
  <si>
    <t>HS2441477</t>
  </si>
  <si>
    <t>HS2434480</t>
  </si>
  <si>
    <t>HS2417938</t>
  </si>
  <si>
    <t>HS2422390</t>
  </si>
  <si>
    <t>HS2420070</t>
  </si>
  <si>
    <t>HS2343089</t>
  </si>
  <si>
    <t>HS2392633</t>
  </si>
  <si>
    <t>HS2387424</t>
  </si>
  <si>
    <t>HS2371031</t>
  </si>
  <si>
    <t>HS2418930</t>
  </si>
  <si>
    <t>HS2435014</t>
  </si>
  <si>
    <t>HS2228598</t>
  </si>
  <si>
    <t>HS2407914</t>
  </si>
  <si>
    <t>HS2429685</t>
  </si>
  <si>
    <t>HS2421725</t>
  </si>
  <si>
    <t>HS2361510</t>
  </si>
  <si>
    <t>HS2121381</t>
  </si>
  <si>
    <t>HS2398210</t>
  </si>
  <si>
    <t>HS2430392</t>
  </si>
  <si>
    <t>HS2437320</t>
  </si>
  <si>
    <t>HS2405281</t>
  </si>
  <si>
    <t>HS2428335</t>
  </si>
  <si>
    <t>HS2085106</t>
  </si>
  <si>
    <t>HS2401067</t>
  </si>
  <si>
    <t>HS2116856</t>
  </si>
  <si>
    <t>HS2287833</t>
  </si>
  <si>
    <t>HS2338328</t>
  </si>
  <si>
    <t>HS2358658</t>
  </si>
  <si>
    <t>HS2358739</t>
  </si>
  <si>
    <t>HS2351493</t>
  </si>
  <si>
    <t>HS2398544</t>
  </si>
  <si>
    <t>HS2387181</t>
  </si>
  <si>
    <t>HS2414124</t>
  </si>
  <si>
    <t>HS2363998</t>
  </si>
  <si>
    <t>HS2327662</t>
  </si>
  <si>
    <t>HS2359482</t>
  </si>
  <si>
    <t>HS2410679</t>
  </si>
  <si>
    <t>HS2271019</t>
  </si>
  <si>
    <t>HS2430201</t>
  </si>
  <si>
    <t>HS2149100</t>
  </si>
  <si>
    <t>HS2442585</t>
  </si>
  <si>
    <t>HS2348317</t>
  </si>
  <si>
    <t>HS2374202</t>
  </si>
  <si>
    <t>HS2419523</t>
  </si>
  <si>
    <t>HS2415581</t>
  </si>
  <si>
    <t>HS2411900</t>
  </si>
  <si>
    <t>HS2400071</t>
  </si>
  <si>
    <t>HS2391788</t>
  </si>
  <si>
    <t>HS2396317</t>
  </si>
  <si>
    <t>HS2434902</t>
  </si>
  <si>
    <t>HS2279242</t>
  </si>
  <si>
    <t>HS2416921</t>
  </si>
  <si>
    <t>HS2192164</t>
  </si>
  <si>
    <t>HS2437689</t>
  </si>
  <si>
    <t>HS2422770</t>
  </si>
  <si>
    <t>HS2394812</t>
  </si>
  <si>
    <t>HS2343934</t>
  </si>
  <si>
    <t>HS2434538</t>
  </si>
  <si>
    <t>HS2137769</t>
  </si>
  <si>
    <t>HS2213947</t>
  </si>
  <si>
    <t>HS2138248</t>
  </si>
  <si>
    <t>HS2138904</t>
  </si>
  <si>
    <t>HS2368836</t>
  </si>
  <si>
    <t>HS2390095</t>
  </si>
  <si>
    <t>HS2371051</t>
  </si>
  <si>
    <t>HS2145337</t>
  </si>
  <si>
    <t>HS2389374</t>
  </si>
  <si>
    <t>HS2411981</t>
  </si>
  <si>
    <t>HS2296299</t>
  </si>
  <si>
    <t>HS2291240</t>
  </si>
  <si>
    <t>HS2152219</t>
  </si>
  <si>
    <t>HS2418353</t>
  </si>
  <si>
    <t>HS2405891</t>
  </si>
  <si>
    <t>HS2389463</t>
  </si>
  <si>
    <t>HS2397531</t>
  </si>
  <si>
    <t>HS2431654</t>
  </si>
  <si>
    <t>HS2185500</t>
  </si>
  <si>
    <t>HS2419512</t>
  </si>
  <si>
    <t>HS2441838</t>
  </si>
  <si>
    <t>HS2387639</t>
  </si>
  <si>
    <t>HS2443427</t>
  </si>
  <si>
    <t>HS2442588</t>
  </si>
  <si>
    <t>HS2420793</t>
  </si>
  <si>
    <t>HS2341370</t>
  </si>
  <si>
    <t>HS2387328</t>
  </si>
  <si>
    <t>HS2419464</t>
  </si>
  <si>
    <t>HS2404141</t>
  </si>
  <si>
    <t>HS2427480</t>
  </si>
  <si>
    <t>HS2407924</t>
  </si>
  <si>
    <t>HS2208659</t>
  </si>
  <si>
    <t>HS2413273</t>
  </si>
  <si>
    <t>HS2370077</t>
  </si>
  <si>
    <t>HS2335560</t>
  </si>
  <si>
    <t>HS2422895</t>
  </si>
  <si>
    <t>HS2429700</t>
  </si>
  <si>
    <t>HS2337939</t>
  </si>
  <si>
    <t>HS2408037</t>
  </si>
  <si>
    <t>HS2282879</t>
  </si>
  <si>
    <t>HS2206404</t>
  </si>
  <si>
    <t>HS2438881</t>
  </si>
  <si>
    <t>HS2434394</t>
  </si>
  <si>
    <t>HS2433583</t>
  </si>
  <si>
    <t>HS2288269</t>
  </si>
  <si>
    <t>HS2418356</t>
  </si>
  <si>
    <t>HS2378352</t>
  </si>
  <si>
    <t>HS2411812</t>
  </si>
  <si>
    <t>HS2269266</t>
  </si>
  <si>
    <t>HS2371021</t>
  </si>
  <si>
    <t>HS2388297</t>
  </si>
  <si>
    <t>HS2208696</t>
  </si>
  <si>
    <t>HS2413214</t>
  </si>
  <si>
    <t>HS2420757</t>
  </si>
  <si>
    <t>HS2206428</t>
  </si>
  <si>
    <t>HS2411795</t>
  </si>
  <si>
    <t>HS2442945</t>
  </si>
  <si>
    <t>HS2393908</t>
  </si>
  <si>
    <t>HS2200937</t>
  </si>
  <si>
    <t>HS2395110</t>
  </si>
  <si>
    <t>HS2351568</t>
  </si>
  <si>
    <t>HS2430305</t>
  </si>
  <si>
    <t>HS2209914</t>
  </si>
  <si>
    <t>HS2401323</t>
  </si>
  <si>
    <t>HS2379079</t>
  </si>
  <si>
    <t>HS2399921</t>
  </si>
  <si>
    <t>HS2227921</t>
  </si>
  <si>
    <t>HS2275393</t>
  </si>
  <si>
    <t>HS2214848</t>
  </si>
  <si>
    <t>HS2259488</t>
  </si>
  <si>
    <t>HS2432424</t>
  </si>
  <si>
    <t>HS2396254</t>
  </si>
  <si>
    <t>HS2337628</t>
  </si>
  <si>
    <t>HS2226649</t>
  </si>
  <si>
    <t>HS2417647</t>
  </si>
  <si>
    <t>HS2373337</t>
  </si>
  <si>
    <t>HS2401993</t>
  </si>
  <si>
    <t>HS2336741</t>
  </si>
  <si>
    <t>HS2373381</t>
  </si>
  <si>
    <t>HS2420817</t>
  </si>
  <si>
    <t>HS2437330</t>
  </si>
  <si>
    <t>HS2345143</t>
  </si>
  <si>
    <t>HS2390501</t>
  </si>
  <si>
    <t>HS2368506</t>
  </si>
  <si>
    <t>HS2359128</t>
  </si>
  <si>
    <t>HS2290435</t>
  </si>
  <si>
    <t>HS2442582</t>
  </si>
  <si>
    <t>HS2330465</t>
  </si>
  <si>
    <t>HS2330347</t>
  </si>
  <si>
    <t>HS2433347</t>
  </si>
  <si>
    <t>HS2244182</t>
  </si>
  <si>
    <t>HS2357431</t>
  </si>
  <si>
    <t>HS2404027</t>
  </si>
  <si>
    <t>HS2420574</t>
  </si>
  <si>
    <t>HS2415540</t>
  </si>
  <si>
    <t>HS2357608</t>
  </si>
  <si>
    <t>HS2434554</t>
  </si>
  <si>
    <t>HS2382225</t>
  </si>
  <si>
    <t>HS2340502</t>
  </si>
  <si>
    <t>HS2272295</t>
  </si>
  <si>
    <t>HS2261924</t>
  </si>
  <si>
    <t>HS2261925</t>
  </si>
  <si>
    <t>HS2261968</t>
  </si>
  <si>
    <t>HS2407943</t>
  </si>
  <si>
    <t>HS2366542</t>
  </si>
  <si>
    <t>HS2342214</t>
  </si>
  <si>
    <t>HS2432586</t>
  </si>
  <si>
    <t>HS2406387</t>
  </si>
  <si>
    <t>HS2270199</t>
  </si>
  <si>
    <t>HS2382263</t>
  </si>
  <si>
    <t>HS2403847</t>
  </si>
  <si>
    <t>HS2273812</t>
  </si>
  <si>
    <t>HS2360919</t>
  </si>
  <si>
    <t>HS2272974</t>
  </si>
  <si>
    <t>HS2358918</t>
  </si>
  <si>
    <t>HS2277580</t>
  </si>
  <si>
    <t>HS2276342</t>
  </si>
  <si>
    <t>HS2282844</t>
  </si>
  <si>
    <t>HS2288543</t>
  </si>
  <si>
    <t>HS2436715</t>
  </si>
  <si>
    <t>HS2427892</t>
  </si>
  <si>
    <t>HS2280880</t>
  </si>
  <si>
    <t>HS2351287</t>
  </si>
  <si>
    <t>HS2343861</t>
  </si>
  <si>
    <t>HS2395257</t>
  </si>
  <si>
    <t>HS2389933</t>
  </si>
  <si>
    <t>HS2291935</t>
  </si>
  <si>
    <t>HS2403052</t>
  </si>
  <si>
    <t>HS2412206</t>
  </si>
  <si>
    <t>HS2290764</t>
  </si>
  <si>
    <t>HS2389113</t>
  </si>
  <si>
    <t>HS2440127</t>
  </si>
  <si>
    <t>HS2380866</t>
  </si>
  <si>
    <t>HS2390766</t>
  </si>
  <si>
    <t>HS2393988</t>
  </si>
  <si>
    <t>HS2394044</t>
  </si>
  <si>
    <t>HS2438394</t>
  </si>
  <si>
    <t>HS2358858</t>
  </si>
  <si>
    <t>HS2388832</t>
  </si>
  <si>
    <t>HS2441473</t>
  </si>
  <si>
    <t>HS2405040</t>
  </si>
  <si>
    <t>HS2375982</t>
  </si>
  <si>
    <t>HS2368489</t>
  </si>
  <si>
    <t>HS2438856</t>
  </si>
  <si>
    <t>HS2422866</t>
  </si>
  <si>
    <t>HS2368417</t>
  </si>
  <si>
    <t>HS2440236</t>
  </si>
  <si>
    <t>HS2434873</t>
  </si>
  <si>
    <t>HS2395086</t>
  </si>
  <si>
    <t>HS2365514</t>
  </si>
  <si>
    <t>HS2442284</t>
  </si>
  <si>
    <t>HS2397638</t>
  </si>
  <si>
    <t>HS2385189</t>
  </si>
  <si>
    <t>HS2343898</t>
  </si>
  <si>
    <t>HS2369452</t>
  </si>
  <si>
    <t>HS2387390</t>
  </si>
  <si>
    <t>HS2330436</t>
  </si>
  <si>
    <t>HS2418041</t>
  </si>
  <si>
    <t>HS2391111</t>
  </si>
  <si>
    <t>HS2428113</t>
  </si>
  <si>
    <t>HS2406372</t>
  </si>
  <si>
    <t>HS2430293</t>
  </si>
  <si>
    <t>HS2432007</t>
  </si>
  <si>
    <t>HS2413250</t>
  </si>
  <si>
    <t>HS2410703</t>
  </si>
  <si>
    <t>HS2439079</t>
  </si>
  <si>
    <t>HS2347436</t>
  </si>
  <si>
    <t>HS2422261</t>
  </si>
  <si>
    <t>HS2378513</t>
  </si>
  <si>
    <t>HS2440671</t>
  </si>
  <si>
    <t>HS2357704</t>
  </si>
  <si>
    <t>HS2413606</t>
  </si>
  <si>
    <t>HS2437986</t>
  </si>
  <si>
    <t>HS2422867</t>
  </si>
  <si>
    <t>HS2351604</t>
  </si>
  <si>
    <t>HS2407167</t>
  </si>
  <si>
    <t>HS2352300</t>
  </si>
  <si>
    <t>HS2414007</t>
  </si>
  <si>
    <t>HS2374375</t>
  </si>
  <si>
    <t>HS2394706</t>
  </si>
  <si>
    <t>HS2431952</t>
  </si>
  <si>
    <t>HS2390976</t>
  </si>
  <si>
    <t>HS2405025</t>
  </si>
  <si>
    <t>HS2422399</t>
  </si>
  <si>
    <t>HS2377547</t>
  </si>
  <si>
    <t>HS2362512</t>
  </si>
  <si>
    <t>HS2342576</t>
  </si>
  <si>
    <t>HS2366281</t>
  </si>
  <si>
    <t>HS2386551</t>
  </si>
  <si>
    <t>HS2342258</t>
  </si>
  <si>
    <t>HS2356628</t>
  </si>
  <si>
    <t>HS2345669</t>
  </si>
  <si>
    <t>HS2344735</t>
  </si>
  <si>
    <t>HS2360928</t>
  </si>
  <si>
    <t>HS2345025</t>
  </si>
  <si>
    <t>HS2438263</t>
  </si>
  <si>
    <t>HS2401402</t>
  </si>
  <si>
    <t>HS2350232</t>
  </si>
  <si>
    <t>HS2439193</t>
  </si>
  <si>
    <t>HS2354175</t>
  </si>
  <si>
    <t>HS2426905</t>
  </si>
  <si>
    <t>HS2418504</t>
  </si>
  <si>
    <t>HS2428590</t>
  </si>
  <si>
    <t>HS2346261</t>
  </si>
  <si>
    <t>HS2356783</t>
  </si>
  <si>
    <t>HS2389433</t>
  </si>
  <si>
    <t>HS2397158</t>
  </si>
  <si>
    <t>HS2349176</t>
  </si>
  <si>
    <t>HS2351572</t>
  </si>
  <si>
    <t>HS2363979</t>
  </si>
  <si>
    <t>HS2381541</t>
  </si>
  <si>
    <t>HS2354087</t>
  </si>
  <si>
    <t>HS2357519</t>
  </si>
  <si>
    <t>HS2406382</t>
  </si>
  <si>
    <t>HS2360589</t>
  </si>
  <si>
    <t>HS2368832</t>
  </si>
  <si>
    <t>HS2364715</t>
  </si>
  <si>
    <t>HS2442579</t>
  </si>
  <si>
    <t>HS2413782</t>
  </si>
  <si>
    <t>HS2368175</t>
  </si>
  <si>
    <t>HS2366964</t>
  </si>
  <si>
    <t>HS2371015</t>
  </si>
  <si>
    <t>HS2405551</t>
  </si>
  <si>
    <t>HS2382149</t>
  </si>
  <si>
    <t>HS2376967</t>
  </si>
  <si>
    <t>HS2434435</t>
  </si>
  <si>
    <t>HS2389124</t>
  </si>
  <si>
    <t>HS2435313</t>
  </si>
  <si>
    <t>HS2382892</t>
  </si>
  <si>
    <t>HS2383348</t>
  </si>
  <si>
    <t>HS2430446</t>
  </si>
  <si>
    <t>HS2401546</t>
  </si>
  <si>
    <t>HS2396405</t>
  </si>
  <si>
    <t>HS2405589</t>
  </si>
  <si>
    <t>HS2427876</t>
  </si>
  <si>
    <t>HS2422170</t>
  </si>
  <si>
    <t>HS2379765</t>
  </si>
  <si>
    <t>HS2439600</t>
  </si>
  <si>
    <t>HS2428420</t>
  </si>
  <si>
    <t>HS2430481</t>
  </si>
  <si>
    <t>HS2429460</t>
  </si>
  <si>
    <t>HS2386651</t>
  </si>
  <si>
    <t>HS2385774</t>
  </si>
  <si>
    <t>HS2385114</t>
  </si>
  <si>
    <t>HS2385165</t>
  </si>
  <si>
    <t>HS2398119</t>
  </si>
  <si>
    <t>HS2420626</t>
  </si>
  <si>
    <t>HS2385198</t>
  </si>
  <si>
    <t>HS2385323</t>
  </si>
  <si>
    <t>HS2403469</t>
  </si>
  <si>
    <t>HS2386323</t>
  </si>
  <si>
    <t>HS2382988</t>
  </si>
  <si>
    <t>HS2385710</t>
  </si>
  <si>
    <t>HS2398285</t>
  </si>
  <si>
    <t>HS2383796</t>
  </si>
  <si>
    <t>HS2396565</t>
  </si>
  <si>
    <t>HS2393147</t>
  </si>
  <si>
    <t>HS2401083</t>
  </si>
  <si>
    <t>HS2388245</t>
  </si>
  <si>
    <t>HS2389536</t>
  </si>
  <si>
    <t>HS2387570</t>
  </si>
  <si>
    <t>HS2427658</t>
  </si>
  <si>
    <t>HS2387558</t>
  </si>
  <si>
    <t>HS2432701</t>
  </si>
  <si>
    <t>HS2429515</t>
  </si>
  <si>
    <t>HS2389175</t>
  </si>
  <si>
    <t>HS2410706</t>
  </si>
  <si>
    <t>HS2408327</t>
  </si>
  <si>
    <t>HS2399509</t>
  </si>
  <si>
    <t>HS2400429</t>
  </si>
  <si>
    <t>HS2398554</t>
  </si>
  <si>
    <t>HS2429444</t>
  </si>
  <si>
    <t>HS2398545</t>
  </si>
  <si>
    <t>HS2404543</t>
  </si>
  <si>
    <t>HS2396742</t>
  </si>
  <si>
    <t>HS2401463</t>
  </si>
  <si>
    <t>HS2408012</t>
  </si>
  <si>
    <t>HS2409444</t>
  </si>
  <si>
    <t>HS2405022</t>
  </si>
  <si>
    <t>HS2411966</t>
  </si>
  <si>
    <t>HS2432922</t>
  </si>
  <si>
    <t>HS2409187</t>
  </si>
  <si>
    <t>HS2407460</t>
  </si>
  <si>
    <t>HS2408260</t>
  </si>
  <si>
    <t>HS2415452</t>
  </si>
  <si>
    <t>HS2439433</t>
  </si>
  <si>
    <t>HS2411982</t>
  </si>
  <si>
    <t>HS2411977</t>
  </si>
  <si>
    <t>HS2412999</t>
  </si>
  <si>
    <t>HS2416961</t>
  </si>
  <si>
    <t>HS2413204</t>
  </si>
  <si>
    <t>HS2420148</t>
  </si>
  <si>
    <t>HS2415842</t>
  </si>
  <si>
    <t>HS2440866</t>
  </si>
  <si>
    <t>HS2418187</t>
  </si>
  <si>
    <t>HS2439965</t>
  </si>
  <si>
    <t>HS2416952</t>
  </si>
  <si>
    <t>HS2431849</t>
  </si>
  <si>
    <t>HS2418038</t>
  </si>
  <si>
    <t>HS2428519</t>
  </si>
  <si>
    <t>HS2422647</t>
  </si>
  <si>
    <t>HS2420894</t>
  </si>
  <si>
    <t>HS2422731</t>
  </si>
  <si>
    <t>HS2428395</t>
  </si>
  <si>
    <t>HS2429848</t>
  </si>
  <si>
    <t>HS2431203</t>
  </si>
  <si>
    <t>HS2433143</t>
  </si>
  <si>
    <t>HS2432508</t>
  </si>
  <si>
    <t>HS2433996</t>
  </si>
  <si>
    <t>HS2437652</t>
  </si>
  <si>
    <t>HS2434011</t>
  </si>
  <si>
    <t>HS2441596</t>
  </si>
  <si>
    <t>HS2435062</t>
  </si>
  <si>
    <t>HS2437723</t>
  </si>
  <si>
    <t>HS2437115</t>
  </si>
  <si>
    <t>HS2438688</t>
  </si>
  <si>
    <t>HS2440379</t>
  </si>
  <si>
    <t>HO0830042</t>
  </si>
  <si>
    <t>HO0057868</t>
  </si>
  <si>
    <t>HO2308236</t>
  </si>
  <si>
    <t>HO2278104</t>
  </si>
  <si>
    <t>HO0214100</t>
  </si>
  <si>
    <t>HO2401531</t>
  </si>
  <si>
    <t>HO0057896</t>
  </si>
  <si>
    <t>HO2405499</t>
  </si>
  <si>
    <t>HO0041981</t>
  </si>
  <si>
    <t>HO2442997</t>
  </si>
  <si>
    <t>HO2432530</t>
  </si>
  <si>
    <t>HO2303265</t>
  </si>
  <si>
    <t>HO0211759</t>
  </si>
  <si>
    <t>HO2006491</t>
  </si>
  <si>
    <t>HO0503252</t>
  </si>
  <si>
    <t>HO0063375</t>
  </si>
  <si>
    <t>HO2323215</t>
  </si>
  <si>
    <t>HO0287719</t>
  </si>
  <si>
    <t>HO2227567</t>
  </si>
  <si>
    <t>HO2418260</t>
  </si>
  <si>
    <t>HO2201652</t>
  </si>
  <si>
    <t>HO0225322</t>
  </si>
  <si>
    <t>HO0221339</t>
  </si>
  <si>
    <t>HO2347506</t>
  </si>
  <si>
    <t>HO2319936</t>
  </si>
  <si>
    <t>HO0670055</t>
  </si>
  <si>
    <t>HO0426980</t>
  </si>
  <si>
    <t>HO2198493</t>
  </si>
  <si>
    <t>HO2399401</t>
  </si>
  <si>
    <t>HO0412079</t>
  </si>
  <si>
    <t>HO1948247</t>
  </si>
  <si>
    <t>HO2305596</t>
  </si>
  <si>
    <t>HO2268778</t>
  </si>
  <si>
    <t>HO1545604</t>
  </si>
  <si>
    <t>HO2246322</t>
  </si>
  <si>
    <t>HO2185183</t>
  </si>
  <si>
    <t>HO2421662</t>
  </si>
  <si>
    <t>HO0482359</t>
  </si>
  <si>
    <t>HO0499919</t>
  </si>
  <si>
    <t>HO0499934</t>
  </si>
  <si>
    <t>HO2225731</t>
  </si>
  <si>
    <t>HO0506477</t>
  </si>
  <si>
    <t>HO1984178</t>
  </si>
  <si>
    <t>HO2096780</t>
  </si>
  <si>
    <t>HO2194745</t>
  </si>
  <si>
    <t>HO0504834</t>
  </si>
  <si>
    <t>HO0518158</t>
  </si>
  <si>
    <t>HO2022658</t>
  </si>
  <si>
    <t>HO2377352</t>
  </si>
  <si>
    <t>HO1990215</t>
  </si>
  <si>
    <t>HO0680135</t>
  </si>
  <si>
    <t>HO0678335</t>
  </si>
  <si>
    <t>HO0678455</t>
  </si>
  <si>
    <t>HO2283078</t>
  </si>
  <si>
    <t>HO2395145</t>
  </si>
  <si>
    <t>HO2430028</t>
  </si>
  <si>
    <t>HO0831136</t>
  </si>
  <si>
    <t>HO2394333</t>
  </si>
  <si>
    <t>HO2264972</t>
  </si>
  <si>
    <t>HO1137336</t>
  </si>
  <si>
    <t>HO0852216</t>
  </si>
  <si>
    <t>HO2397797</t>
  </si>
  <si>
    <t>HO1382101</t>
  </si>
  <si>
    <t>HO1038096</t>
  </si>
  <si>
    <t>HO1180335</t>
  </si>
  <si>
    <t>HO2300846</t>
  </si>
  <si>
    <t>HO1273876</t>
  </si>
  <si>
    <t>HO2402194</t>
  </si>
  <si>
    <t>HO2389700</t>
  </si>
  <si>
    <t>HO1276015</t>
  </si>
  <si>
    <t>HO2325616</t>
  </si>
  <si>
    <t>HO1420534</t>
  </si>
  <si>
    <t>HO2250817</t>
  </si>
  <si>
    <t>HO2336011</t>
  </si>
  <si>
    <t>HO2413618</t>
  </si>
  <si>
    <t>HO2315398</t>
  </si>
  <si>
    <t>HO2424746</t>
  </si>
  <si>
    <t>HO2300057</t>
  </si>
  <si>
    <t>HO2289230</t>
  </si>
  <si>
    <t>HO2062105</t>
  </si>
  <si>
    <t>HO1534923</t>
  </si>
  <si>
    <t>HO2190980</t>
  </si>
  <si>
    <t>HO2413613</t>
  </si>
  <si>
    <t>HO2395025</t>
  </si>
  <si>
    <t>HO1692823</t>
  </si>
  <si>
    <t>HO1756383</t>
  </si>
  <si>
    <t>HO2323082</t>
  </si>
  <si>
    <t>HO1678844</t>
  </si>
  <si>
    <t>HO2198809</t>
  </si>
  <si>
    <t>HO1824663</t>
  </si>
  <si>
    <t>HO2322900</t>
  </si>
  <si>
    <t>HO2285353</t>
  </si>
  <si>
    <t>HO2391082</t>
  </si>
  <si>
    <t>HO2406032</t>
  </si>
  <si>
    <t>HO2385817</t>
  </si>
  <si>
    <t>HO1953663</t>
  </si>
  <si>
    <t>HO2000378</t>
  </si>
  <si>
    <t>HO1932223</t>
  </si>
  <si>
    <t>HO2339284</t>
  </si>
  <si>
    <t>HO2442177</t>
  </si>
  <si>
    <t>HO2093865</t>
  </si>
  <si>
    <t>HO2432639</t>
  </si>
  <si>
    <t>HO1968457</t>
  </si>
  <si>
    <t>HO2432829</t>
  </si>
  <si>
    <t>HO1971704</t>
  </si>
  <si>
    <t>HO1972172</t>
  </si>
  <si>
    <t>HO2382517</t>
  </si>
  <si>
    <t>HO2415902</t>
  </si>
  <si>
    <t>HO1982208</t>
  </si>
  <si>
    <t>HO1975890</t>
  </si>
  <si>
    <t>HO1984152</t>
  </si>
  <si>
    <t>HO2001778</t>
  </si>
  <si>
    <t>HO2313386</t>
  </si>
  <si>
    <t>HO2007580</t>
  </si>
  <si>
    <t>HO2406923</t>
  </si>
  <si>
    <t>HO1994940</t>
  </si>
  <si>
    <t>HO2323961</t>
  </si>
  <si>
    <t>HO2380855</t>
  </si>
  <si>
    <t>HO2129315</t>
  </si>
  <si>
    <t>HO1996344</t>
  </si>
  <si>
    <t>HO2007396</t>
  </si>
  <si>
    <t>HO1999797</t>
  </si>
  <si>
    <t>HO2069859</t>
  </si>
  <si>
    <t>HO2002818</t>
  </si>
  <si>
    <t>HO2226471</t>
  </si>
  <si>
    <t>HO2348920</t>
  </si>
  <si>
    <t>HO2299292</t>
  </si>
  <si>
    <t>HO2316390</t>
  </si>
  <si>
    <t>HO2245214</t>
  </si>
  <si>
    <t>HO2034421</t>
  </si>
  <si>
    <t>HO2326611</t>
  </si>
  <si>
    <t>HO2338781</t>
  </si>
  <si>
    <t>HO2405344</t>
  </si>
  <si>
    <t>HO2346823</t>
  </si>
  <si>
    <t>HO2166492</t>
  </si>
  <si>
    <t>HO2252396</t>
  </si>
  <si>
    <t>HO2304040</t>
  </si>
  <si>
    <t>HO2248351</t>
  </si>
  <si>
    <t>HO2028857</t>
  </si>
  <si>
    <t>HO2033771</t>
  </si>
  <si>
    <t>HO2320729</t>
  </si>
  <si>
    <t>HO2054471</t>
  </si>
  <si>
    <t>HO2031226</t>
  </si>
  <si>
    <t>HO2037334</t>
  </si>
  <si>
    <t>HO2061762</t>
  </si>
  <si>
    <t>HO2044175</t>
  </si>
  <si>
    <t>HO2382467</t>
  </si>
  <si>
    <t>HO2377640</t>
  </si>
  <si>
    <t>HO2386738</t>
  </si>
  <si>
    <t>HO2086239</t>
  </si>
  <si>
    <t>HO2037332</t>
  </si>
  <si>
    <t>HO2038663</t>
  </si>
  <si>
    <t>HO2054496</t>
  </si>
  <si>
    <t>HO2185570</t>
  </si>
  <si>
    <t>HO2128830</t>
  </si>
  <si>
    <t>HO2349948</t>
  </si>
  <si>
    <t>HO2051203</t>
  </si>
  <si>
    <t>HO2308461</t>
  </si>
  <si>
    <t>HO2063326</t>
  </si>
  <si>
    <t>HO2068253</t>
  </si>
  <si>
    <t>HO2324475</t>
  </si>
  <si>
    <t>HO2335749</t>
  </si>
  <si>
    <t>HO2073231</t>
  </si>
  <si>
    <t>HO2068810</t>
  </si>
  <si>
    <t>HO2434941</t>
  </si>
  <si>
    <t>HO2074429</t>
  </si>
  <si>
    <t>HO2440774</t>
  </si>
  <si>
    <t>HO2276793</t>
  </si>
  <si>
    <t>HO2403389</t>
  </si>
  <si>
    <t>HO2141823</t>
  </si>
  <si>
    <t>HO2297130</t>
  </si>
  <si>
    <t>HO2157495</t>
  </si>
  <si>
    <t>HO2432957</t>
  </si>
  <si>
    <t>HO2096526</t>
  </si>
  <si>
    <t>HO2093293</t>
  </si>
  <si>
    <t>HO2360697</t>
  </si>
  <si>
    <t>HO2096826</t>
  </si>
  <si>
    <t>HO2304612</t>
  </si>
  <si>
    <t>HO2091367</t>
  </si>
  <si>
    <t>HO2272918</t>
  </si>
  <si>
    <t>HO2092222</t>
  </si>
  <si>
    <t>HO2110904</t>
  </si>
  <si>
    <t>HO2128973</t>
  </si>
  <si>
    <t>HO2109002</t>
  </si>
  <si>
    <t>HO2116490</t>
  </si>
  <si>
    <t>HO2412032</t>
  </si>
  <si>
    <t>HO2343405</t>
  </si>
  <si>
    <t>HO2278414</t>
  </si>
  <si>
    <t>HO2252423</t>
  </si>
  <si>
    <t>HO2111015</t>
  </si>
  <si>
    <t>HO2313909</t>
  </si>
  <si>
    <t>HO2119056</t>
  </si>
  <si>
    <t>HO2385262</t>
  </si>
  <si>
    <t>HO2122334</t>
  </si>
  <si>
    <t>HO2258711</t>
  </si>
  <si>
    <t>HO2426925</t>
  </si>
  <si>
    <t>HO2293674</t>
  </si>
  <si>
    <t>HO2127414</t>
  </si>
  <si>
    <t>HO2380806</t>
  </si>
  <si>
    <t>HO2390280</t>
  </si>
  <si>
    <t>HO2131450</t>
  </si>
  <si>
    <t>HO2305739</t>
  </si>
  <si>
    <t>HO2312564</t>
  </si>
  <si>
    <t>HO2348335</t>
  </si>
  <si>
    <t>HO2272842</t>
  </si>
  <si>
    <t>HO2142924</t>
  </si>
  <si>
    <t>HO2276378</t>
  </si>
  <si>
    <t>HO2215994</t>
  </si>
  <si>
    <t>HO2327396</t>
  </si>
  <si>
    <t>HO2398222</t>
  </si>
  <si>
    <t>HO2281253</t>
  </si>
  <si>
    <t>HO2243351</t>
  </si>
  <si>
    <t>HO2251708</t>
  </si>
  <si>
    <t>HO2378292</t>
  </si>
  <si>
    <t>HO2322985</t>
  </si>
  <si>
    <t>HO2165592</t>
  </si>
  <si>
    <t>HO2173390</t>
  </si>
  <si>
    <t>HO2308499</t>
  </si>
  <si>
    <t>HO2191069</t>
  </si>
  <si>
    <t>HO2238013</t>
  </si>
  <si>
    <t>HO2170244</t>
  </si>
  <si>
    <t>HO2174082</t>
  </si>
  <si>
    <t>HO2179630</t>
  </si>
  <si>
    <t>HO2329236</t>
  </si>
  <si>
    <t>HO2226529</t>
  </si>
  <si>
    <t>HO2183286</t>
  </si>
  <si>
    <t>HO2322786</t>
  </si>
  <si>
    <t>HO2416709</t>
  </si>
  <si>
    <t>HO2184602</t>
  </si>
  <si>
    <t>HO2273121</t>
  </si>
  <si>
    <t>HO2187368</t>
  </si>
  <si>
    <t>HO2404316</t>
  </si>
  <si>
    <t>HO2192295</t>
  </si>
  <si>
    <t>HO2362546</t>
  </si>
  <si>
    <t>HO2418767</t>
  </si>
  <si>
    <t>HO2316858</t>
  </si>
  <si>
    <t>HO2419234</t>
  </si>
  <si>
    <t>HO2255712</t>
  </si>
  <si>
    <t>HO2206333</t>
  </si>
  <si>
    <t>HO2411572</t>
  </si>
  <si>
    <t>HO2213531</t>
  </si>
  <si>
    <t>HO2246131</t>
  </si>
  <si>
    <t>HO2307242</t>
  </si>
  <si>
    <t>HO2206172</t>
  </si>
  <si>
    <t>HO2391934</t>
  </si>
  <si>
    <t>HO2215471</t>
  </si>
  <si>
    <t>HO2283178</t>
  </si>
  <si>
    <t>HO2216620</t>
  </si>
  <si>
    <t>HO2253202</t>
  </si>
  <si>
    <t>HO2227085</t>
  </si>
  <si>
    <t>HO2338755</t>
  </si>
  <si>
    <t>HO2252021</t>
  </si>
  <si>
    <t>HO2233134</t>
  </si>
  <si>
    <t>HO2237163</t>
  </si>
  <si>
    <t>HO2239464</t>
  </si>
  <si>
    <t>HO2236434</t>
  </si>
  <si>
    <t>HO2286403</t>
  </si>
  <si>
    <t>HO2240616</t>
  </si>
  <si>
    <t>HO2241921</t>
  </si>
  <si>
    <t>HO2259060</t>
  </si>
  <si>
    <t>HO2250371</t>
  </si>
  <si>
    <t>HO2252171</t>
  </si>
  <si>
    <t>HO2347558</t>
  </si>
  <si>
    <t>HO2258084</t>
  </si>
  <si>
    <t>HO2253831</t>
  </si>
  <si>
    <t>HO2264110</t>
  </si>
  <si>
    <t>HO2263348</t>
  </si>
  <si>
    <t>HO2268386</t>
  </si>
  <si>
    <t>HO2262349</t>
  </si>
  <si>
    <t>HO2334277</t>
  </si>
  <si>
    <t>HO2262933</t>
  </si>
  <si>
    <t>HO2269693</t>
  </si>
  <si>
    <t>HO2271103</t>
  </si>
  <si>
    <t>HO2412915</t>
  </si>
  <si>
    <t>HO2410486</t>
  </si>
  <si>
    <t>HO2294384</t>
  </si>
  <si>
    <t>HO2381674</t>
  </si>
  <si>
    <t>HO2289855</t>
  </si>
  <si>
    <t>HO2309391</t>
  </si>
  <si>
    <t>HO2290864</t>
  </si>
  <si>
    <t>HO2310661</t>
  </si>
  <si>
    <t>HO2322027</t>
  </si>
  <si>
    <t>HO2402962</t>
  </si>
  <si>
    <t>HO2419066</t>
  </si>
  <si>
    <t>HO2295503</t>
  </si>
  <si>
    <t>HO2303168</t>
  </si>
  <si>
    <t>HO2298536</t>
  </si>
  <si>
    <t>HO2314718</t>
  </si>
  <si>
    <t>HO2342499</t>
  </si>
  <si>
    <t>HO2312685</t>
  </si>
  <si>
    <t>HO2309603</t>
  </si>
  <si>
    <t>HO2318247</t>
  </si>
  <si>
    <t>HO2317402</t>
  </si>
  <si>
    <t>HO2342204</t>
  </si>
  <si>
    <t>HO2321873</t>
  </si>
  <si>
    <t>HO2360812</t>
  </si>
  <si>
    <t>HO2320161</t>
  </si>
  <si>
    <t>HO2416625</t>
  </si>
  <si>
    <t>HO2331395</t>
  </si>
  <si>
    <t>HO2335729</t>
  </si>
  <si>
    <t>HO2321095</t>
  </si>
  <si>
    <t>HO2324716</t>
  </si>
  <si>
    <t>HO2340358</t>
  </si>
  <si>
    <t>HO2323755</t>
  </si>
  <si>
    <t>HO2326315</t>
  </si>
  <si>
    <t>HO2325980</t>
  </si>
  <si>
    <t>HO2332332</t>
  </si>
  <si>
    <t>HO2344549</t>
  </si>
  <si>
    <t>HO2335870</t>
  </si>
  <si>
    <t>HO2369693</t>
  </si>
  <si>
    <t>HO2341338</t>
  </si>
  <si>
    <t>HO2343998</t>
  </si>
  <si>
    <t>HO2340487</t>
  </si>
  <si>
    <t>HO2346202</t>
  </si>
  <si>
    <t>HO2348098</t>
  </si>
  <si>
    <t>HO2351308</t>
  </si>
  <si>
    <t>HO2352458</t>
  </si>
  <si>
    <t>HO2359804</t>
  </si>
  <si>
    <t>HO2369110</t>
  </si>
  <si>
    <t>HO2411351</t>
  </si>
  <si>
    <t>HO2392384</t>
  </si>
  <si>
    <t>HO2381242</t>
  </si>
  <si>
    <t>HO2379831</t>
  </si>
  <si>
    <t>HO2384937</t>
  </si>
  <si>
    <t>HO2382561</t>
  </si>
  <si>
    <t>HO2383668</t>
  </si>
  <si>
    <t>HO2386144</t>
  </si>
  <si>
    <t>HO2386685</t>
  </si>
  <si>
    <t>HO2384460</t>
  </si>
  <si>
    <t>HO2392779</t>
  </si>
  <si>
    <t>HO2392981</t>
  </si>
  <si>
    <t>HO2404628</t>
  </si>
  <si>
    <t>HO2431307</t>
  </si>
  <si>
    <t>HO2412044</t>
  </si>
  <si>
    <t>HO2420442</t>
  </si>
  <si>
    <t>HO2415867</t>
  </si>
  <si>
    <t>HO2435540</t>
  </si>
  <si>
    <t>HO2431090</t>
  </si>
  <si>
    <t>HO2419469</t>
  </si>
  <si>
    <t>HO2419559</t>
  </si>
  <si>
    <t>HO2421100</t>
  </si>
  <si>
    <t>HO2431600</t>
  </si>
  <si>
    <t>HO2428306</t>
  </si>
  <si>
    <t>HO2428598</t>
  </si>
  <si>
    <t>HO2433858</t>
  </si>
  <si>
    <t>HO2439117</t>
  </si>
  <si>
    <t>HO2438561</t>
  </si>
  <si>
    <t>Non-Wind Premium</t>
  </si>
  <si>
    <t>Wind Premium</t>
  </si>
  <si>
    <t>Non Wildfire Premium</t>
  </si>
  <si>
    <t>Wildfire Premium</t>
  </si>
  <si>
    <t>Liability Premium</t>
  </si>
  <si>
    <t>Collections Final Premium</t>
  </si>
  <si>
    <t>Premium Adjustment Total</t>
  </si>
  <si>
    <t>Location Premium</t>
  </si>
  <si>
    <t>Optional Coverages Premium</t>
  </si>
  <si>
    <t>Total Location Premium</t>
  </si>
  <si>
    <t>Soft Costs Coverage</t>
  </si>
  <si>
    <t>Soft Costs Covergage Dropdown Options</t>
  </si>
  <si>
    <t>No Coverage</t>
  </si>
  <si>
    <t>RNG</t>
  </si>
  <si>
    <t>Scaffolding and Other Construction Forms Dropdown Options</t>
  </si>
  <si>
    <t>Scaffolding &amp; Other</t>
  </si>
  <si>
    <t>Ensuing Fungi/ Bacteria</t>
  </si>
  <si>
    <t>Percentage of Covered Property Limit</t>
  </si>
  <si>
    <t>Base</t>
  </si>
  <si>
    <t>Valuable Papers and Records Dropdown Options</t>
  </si>
  <si>
    <t>Valuable Papers &amp; Records</t>
  </si>
  <si>
    <t>Property at a Temporary Storage</t>
  </si>
  <si>
    <t>Property at a Temporary Storage Location Dropdown Options</t>
  </si>
  <si>
    <t>Property in Transit</t>
  </si>
  <si>
    <t>Excess_Flood_Coverage_Ind</t>
  </si>
  <si>
    <t>EQ Coverage Ind</t>
  </si>
  <si>
    <t>Square_Footage_No</t>
  </si>
  <si>
    <t>Primary_Residence_Ind</t>
  </si>
  <si>
    <t>Seasonal_Secondary_Residence_Ind</t>
  </si>
  <si>
    <t>PURE_Insures_Primary_Home_Ind</t>
  </si>
  <si>
    <t>Rented_to_Others_Ind</t>
  </si>
  <si>
    <t>Roof_Covering_Type_Name</t>
  </si>
  <si>
    <t>Roof_Deck_Type_Name</t>
  </si>
  <si>
    <t>Roof_Shape_Name</t>
  </si>
  <si>
    <t>Rated Shingle for High Wind Speeds</t>
  </si>
  <si>
    <t>8d @ 6"/6"</t>
  </si>
  <si>
    <t>Concrete / Clay Tiles</t>
  </si>
  <si>
    <t>Hip</t>
  </si>
  <si>
    <t>Normal Shingle</t>
  </si>
  <si>
    <t>Metal Sheathing With Concealed Fasteners</t>
  </si>
  <si>
    <t>8d @ 6"/12"</t>
  </si>
  <si>
    <t>Gable</t>
  </si>
  <si>
    <t>Flat / Other</t>
  </si>
  <si>
    <t>Wood Shake</t>
  </si>
  <si>
    <t xml:space="preserve">Concrete Tile / Clay Tile </t>
  </si>
  <si>
    <t>Other</t>
  </si>
  <si>
    <t xml:space="preserve">Asphalt Shingle </t>
  </si>
  <si>
    <t>Concrete Roof Deck</t>
  </si>
  <si>
    <t>Flat</t>
  </si>
  <si>
    <t xml:space="preserve">Slate </t>
  </si>
  <si>
    <t>6d @ 6"/12"</t>
  </si>
  <si>
    <t>Wood Shingle / Wood Shake - Class A Fire Resistant</t>
  </si>
  <si>
    <t>Fiberglass Shingle</t>
  </si>
  <si>
    <t>Metal - All Other</t>
  </si>
  <si>
    <t>Asphalt Shingle</t>
  </si>
  <si>
    <t>Slate</t>
  </si>
  <si>
    <t>Wood Shingle / Wood Shake Roof</t>
  </si>
  <si>
    <t>Concrete / Clay Tile</t>
  </si>
  <si>
    <t>Asphalt</t>
  </si>
  <si>
    <t>Metal</t>
  </si>
  <si>
    <t>Clay Tile</t>
  </si>
  <si>
    <t>Clay / Concrete Tile</t>
  </si>
  <si>
    <t>Concrete or Clay Tile</t>
  </si>
  <si>
    <t>Concrete Tile</t>
  </si>
  <si>
    <t>wqwe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</si>
</sst>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" fontId="0" fillId="2" borderId="0" xfId="0" applyNumberForma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25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" formatCode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ill>
        <patternFill patternType="none">
          <fgColor indexed="64"/>
          <bgColor indexed="65"/>
        </patternFill>
      </fill>
    </dxf>
    <dxf>
      <numFmt numFmtId="1" formatCode="0"/>
    </dxf>
    <dxf>
      <numFmt numFmtId="1" formatCode="0"/>
    </dxf>
    <dxf>
      <numFmt numFmtId="0" formatCode="General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CB890" totalsRowShown="0">
  <autoFilter ref="A2:CB890" xr:uid="{00000000-0009-0000-0100-000001000000}"/>
  <tableColumns count="80">
    <tableColumn id="1" xr3:uid="{00000000-0010-0000-0000-000001000000}" name="Row_Number"/>
    <tableColumn id="2" xr3:uid="{00000000-0010-0000-0000-000002000000}" name="Policy_Number_Txt"/>
    <tableColumn id="3" xr3:uid="{00000000-0010-0000-0000-000003000000}" name="Term_Effective_Date" dataDxfId="24"/>
    <tableColumn id="4" xr3:uid="{00000000-0010-0000-0000-000004000000}" name="Project_Duration"/>
    <tableColumn id="5" xr3:uid="{00000000-0010-0000-0000-000005000000}" name="Construction_Member_Out_Of_Residence_Duration_Name"/>
    <tableColumn id="6" xr3:uid="{00000000-0010-0000-0000-000006000000}" name="Construction Type"/>
    <tableColumn id="7" xr3:uid="{00000000-0010-0000-0000-000007000000}" name="Foundation_Construction_Phase_ind"/>
    <tableColumn id="8" xr3:uid="{00000000-0010-0000-0000-000008000000}" name="Replacement_Cost_Amt" dataDxfId="23"/>
    <tableColumn id="9" xr3:uid="{00000000-0010-0000-0000-000009000000}" name="Other_Structures_Amt" dataDxfId="22"/>
    <tableColumn id="10" xr3:uid="{00000000-0010-0000-0000-00000A000000}" name="Contents_Amt" dataDxfId="21"/>
    <tableColumn id="11" xr3:uid="{00000000-0010-0000-0000-00000B000000}" name="Homeowners_Risk_Location_Loss_Of_Use_Limit_Amt" dataDxfId="20"/>
    <tableColumn id="12" xr3:uid="{00000000-0010-0000-0000-00000C000000}" name="Residence_Type_Name"/>
    <tableColumn id="13" xr3:uid="{00000000-0010-0000-0000-00000D000000}" name="Address_Key" dataDxfId="19"/>
    <tableColumn id="14" xr3:uid="{00000000-0010-0000-0000-00000E000000}" name="Address_Line_1_Txt"/>
    <tableColumn id="15" xr3:uid="{00000000-0010-0000-0000-00000F000000}" name="Address_Line_2_Txt"/>
    <tableColumn id="16" xr3:uid="{00000000-0010-0000-0000-000010000000}" name="City_Name_Txt"/>
    <tableColumn id="17" xr3:uid="{00000000-0010-0000-0000-000011000000}" name="State_Province_Cd"/>
    <tableColumn id="18" xr3:uid="{00000000-0010-0000-0000-000012000000}" name="Postal_Code_Txt"/>
    <tableColumn id="19" xr3:uid="{00000000-0010-0000-0000-000013000000}" name="County_Name"/>
    <tableColumn id="20" xr3:uid="{00000000-0010-0000-0000-000014000000}" name="Distance_To_Coast_Name"/>
    <tableColumn id="21" xr3:uid="{00000000-0010-0000-0000-000015000000}" name="Less_Than_500_Feet_To_Coast_Ind"/>
    <tableColumn id="22" xr3:uid="{00000000-0010-0000-0000-000016000000}" name="PURE_Rating_Zone_Name_Txt"/>
    <tableColumn id="23" xr3:uid="{00000000-0010-0000-0000-000017000000}" name="Homeowners_Risk_Location_Rating_Aggregation_Zone_Txt"/>
    <tableColumn id="24" xr3:uid="{00000000-0010-0000-0000-000018000000}" name="Policy Region"/>
    <tableColumn id="25" xr3:uid="{00000000-0010-0000-0000-000019000000}" name="All_Other_Perils_Deductible_Amt"/>
    <tableColumn id="26" xr3:uid="{00000000-0010-0000-0000-00001A000000}" name="Hurricane_Deductible_Pct" dataDxfId="18"/>
    <tableColumn id="27" xr3:uid="{00000000-0010-0000-0000-00001B000000}" name="Hail_State_Ind" dataDxfId="17"/>
    <tableColumn id="28" xr3:uid="{00000000-0010-0000-0000-00001C000000}" name="Hail_Deductible_Pct"/>
    <tableColumn id="29" xr3:uid="{00000000-0010-0000-0000-00001D000000}" name="Insurance_Score_Rating_Txt"/>
    <tableColumn id="30" xr3:uid="{00000000-0010-0000-0000-00001E000000}" name="Construction_Type_Name"/>
    <tableColumn id="31" xr3:uid="{00000000-0010-0000-0000-00001F000000}" name="Protection_Class_Txt"/>
    <tableColumn id="32" xr3:uid="{00000000-0010-0000-0000-000020000000}" name="Flood_Zone_Name"/>
    <tableColumn id="33" xr3:uid="{00000000-0010-0000-0000-000021000000}" name="Water_Damage_Claims"/>
    <tableColumn id="34" xr3:uid="{00000000-0010-0000-0000-000022000000}" name="Non_Water_Damage_Claims"/>
    <tableColumn id="35" xr3:uid="{00000000-0010-0000-0000-000023000000}" name="Prior_Losses"/>
    <tableColumn id="36" xr3:uid="{00000000-0010-0000-0000-000024000000}" name="Year_Built_No"/>
    <tableColumn id="37" xr3:uid="{00000000-0010-0000-0000-000025000000}" name="Year_Renovated_No"/>
    <tableColumn id="38" xr3:uid="{00000000-0010-0000-0000-000026000000}" name="Year_Roof_Replaced_No"/>
    <tableColumn id="39" xr3:uid="{00000000-0010-0000-0000-000027000000}" name="Age_of_Building"/>
    <tableColumn id="40" xr3:uid="{00000000-0010-0000-0000-000028000000}" name="PURE_Preferred_Contractor_Credit"/>
    <tableColumn id="41" xr3:uid="{00000000-0010-0000-0000-000029000000}" name="Contractor's Years in Business"/>
    <tableColumn id="42" xr3:uid="{00000000-0010-0000-0000-00002A000000}" name="Contractor's Loss History">
      <calculatedColumnFormula>AI3</calculatedColumnFormula>
    </tableColumn>
    <tableColumn id="43" xr3:uid="{00000000-0010-0000-0000-00002B000000}" name="Contractor Carries Adequate Liability Coverage"/>
    <tableColumn id="44" xr3:uid="{00000000-0010-0000-0000-00002C000000}" name="Subrogation Against Contractor"/>
    <tableColumn id="45" xr3:uid="{00000000-0010-0000-0000-00002D000000}" name="Perimeter Fence"/>
    <tableColumn id="46" xr3:uid="{00000000-0010-0000-0000-00002E000000}" name="Gated Driveway"/>
    <tableColumn id="47" xr3:uid="{00000000-0010-0000-0000-00002F000000}" name="Exterior Lighting"/>
    <tableColumn id="48" xr3:uid="{00000000-0010-0000-0000-000030000000}" name="Security Camera"/>
    <tableColumn id="49" xr3:uid="{00000000-0010-0000-0000-000031000000}" name="Watchman"/>
    <tableColumn id="50" xr3:uid="{00000000-0010-0000-0000-000032000000}" name="Window_And_Other_Opening_Protection_Type_Name"/>
    <tableColumn id="51" xr3:uid="{00000000-0010-0000-0000-000033000000}" name="Opening Protection"/>
    <tableColumn id="52" xr3:uid="{00000000-0010-0000-0000-000034000000}" name="Square_Footage_No" dataDxfId="16"/>
    <tableColumn id="53" xr3:uid="{00000000-0010-0000-0000-000035000000}" name="Wildfire_Threat_No"/>
    <tableColumn id="54" xr3:uid="{00000000-0010-0000-0000-000036000000}" name="Wildfire_Hazard_Severity_Name"/>
    <tableColumn id="55" xr3:uid="{00000000-0010-0000-0000-000037000000}" name="Non-Wind Premium" dataDxfId="15"/>
    <tableColumn id="56" xr3:uid="{00000000-0010-0000-0000-000038000000}" name="Wind Premium" dataDxfId="14"/>
    <tableColumn id="57" xr3:uid="{00000000-0010-0000-0000-000039000000}" name="Non Wildfire Premium" dataDxfId="13"/>
    <tableColumn id="58" xr3:uid="{00000000-0010-0000-0000-00003A000000}" name="Wildfire Premium" dataDxfId="12"/>
    <tableColumn id="59" xr3:uid="{00000000-0010-0000-0000-00003B000000}" name="Liability Premium" dataDxfId="11"/>
    <tableColumn id="60" xr3:uid="{00000000-0010-0000-0000-00003C000000}" name="Collections Final Premium" dataDxfId="10"/>
    <tableColumn id="61" xr3:uid="{00000000-0010-0000-0000-00003D000000}" name="Premium Adjustment Total" dataDxfId="9"/>
    <tableColumn id="62" xr3:uid="{00000000-0010-0000-0000-00003E000000}" name="Location Premium" dataDxfId="8"/>
    <tableColumn id="63" xr3:uid="{00000000-0010-0000-0000-00003F000000}" name="Optional Coverages Premium" dataDxfId="7"/>
    <tableColumn id="64" xr3:uid="{00000000-0010-0000-0000-000040000000}" name="Total Location Premium" dataDxfId="6"/>
    <tableColumn id="65" xr3:uid="{00000000-0010-0000-0000-000041000000}" name="RNG" dataDxfId="5">
      <calculatedColumnFormula>IF(ROUND((6*RAND()),0)=0,1,(ROUND((6*RAND()),0)))</calculatedColumnFormula>
    </tableColumn>
    <tableColumn id="66" xr3:uid="{00000000-0010-0000-0000-000042000000}" name="Soft Costs Coverage" dataDxfId="4"/>
    <tableColumn id="67" xr3:uid="{00000000-0010-0000-0000-000043000000}" name="Scaffolding &amp; Other" dataDxfId="3"/>
    <tableColumn id="68" xr3:uid="{00000000-0010-0000-0000-000044000000}" name="Ensuing Fungi/ Bacteria" dataDxfId="2"/>
    <tableColumn id="69" xr3:uid="{00000000-0010-0000-0000-000045000000}" name="Valuable Papers &amp; Records" dataDxfId="1"/>
    <tableColumn id="70" xr3:uid="{00000000-0010-0000-0000-000046000000}" name="Property at a Temporary Storage" dataDxfId="0"/>
    <tableColumn id="71" xr3:uid="{00000000-0010-0000-0000-000047000000}" name="Property in Transit"/>
    <tableColumn id="72" xr3:uid="{00000000-0010-0000-0000-000048000000}" name="Excess_Flood_Coverage_Ind"/>
    <tableColumn id="73" xr3:uid="{00000000-0010-0000-0000-000049000000}" name="EQ Coverage Ind"/>
    <tableColumn id="74" xr3:uid="{00000000-0010-0000-0000-00004A000000}" name="Primary_Residence_Ind"/>
    <tableColumn id="75" xr3:uid="{00000000-0010-0000-0000-00004B000000}" name="Seasonal_Secondary_Residence_Ind"/>
    <tableColumn id="76" xr3:uid="{00000000-0010-0000-0000-00004C000000}" name="PURE_Insures_Primary_Home_Ind"/>
    <tableColumn id="77" xr3:uid="{00000000-0010-0000-0000-00004D000000}" name="Rented_to_Others_Ind"/>
    <tableColumn id="78" xr3:uid="{00000000-0010-0000-0000-00004E000000}" name="Roof_Covering_Type_Name"/>
    <tableColumn id="79" xr3:uid="{00000000-0010-0000-0000-00004F000000}" name="Roof_Deck_Type_Name"/>
    <tableColumn id="80" xr3:uid="{00000000-0010-0000-0000-000050000000}" name="Roof_Shape_Name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359"/>
  <sheetViews>
    <sheetView tabSelected="1" topLeftCell="AY1" workbookViewId="0">
      <selection activeCell="BI2" sqref="BI2"/>
    </sheetView>
  </sheetViews>
  <sheetFormatPr defaultRowHeight="15" x14ac:dyDescent="0.25"/>
  <cols>
    <col min="1" max="1" width="14.42578125" bestFit="1" customWidth="1"/>
    <col min="2" max="2" width="18.7109375" customWidth="1"/>
    <col min="3" max="3" width="20.7109375" bestFit="1" customWidth="1"/>
    <col min="4" max="4" width="19.140625" customWidth="1"/>
    <col min="5" max="5" width="52.85546875" bestFit="1" customWidth="1"/>
    <col min="6" max="6" width="24" bestFit="1" customWidth="1"/>
    <col min="7" max="7" width="32.7109375" customWidth="1"/>
    <col min="8" max="8" width="23.140625" bestFit="1" customWidth="1"/>
    <col min="9" max="9" width="21.7109375" bestFit="1" customWidth="1"/>
    <col min="10" max="10" width="14.85546875" bestFit="1" customWidth="1"/>
    <col min="11" max="11" width="48.42578125" bestFit="1" customWidth="1"/>
    <col min="12" max="12" width="22.42578125" bestFit="1" customWidth="1"/>
    <col min="13" max="13" width="13.42578125" bestFit="1" customWidth="1"/>
    <col min="14" max="14" width="32.7109375" bestFit="1" customWidth="1"/>
    <col min="15" max="15" width="23.5703125" bestFit="1" customWidth="1"/>
    <col min="16" max="16" width="18.85546875" bestFit="1" customWidth="1"/>
    <col min="17" max="17" width="18.7109375" bestFit="1" customWidth="1"/>
    <col min="18" max="18" width="17.140625" bestFit="1" customWidth="1"/>
    <col min="19" max="19" width="14.85546875" bestFit="1" customWidth="1"/>
    <col min="20" max="20" width="25.28515625" bestFit="1" customWidth="1"/>
    <col min="21" max="21" width="33.140625" bestFit="1" customWidth="1"/>
    <col min="22" max="22" width="28.7109375" bestFit="1" customWidth="1"/>
    <col min="23" max="23" width="52.85546875" bestFit="1" customWidth="1"/>
    <col min="24" max="24" width="19.5703125" customWidth="1"/>
    <col min="25" max="25" width="30.7109375" bestFit="1" customWidth="1"/>
    <col min="26" max="26" width="24.7109375" bestFit="1" customWidth="1"/>
    <col min="27" max="27" width="16" customWidth="1"/>
    <col min="28" max="28" width="19.28515625" customWidth="1"/>
    <col min="29" max="29" width="26" customWidth="1"/>
    <col min="30" max="30" width="24.7109375" bestFit="1" customWidth="1"/>
    <col min="31" max="31" width="20.140625" customWidth="1"/>
    <col min="32" max="32" width="23" bestFit="1" customWidth="1"/>
    <col min="33" max="33" width="22" customWidth="1"/>
    <col min="34" max="34" width="26.42578125" customWidth="1"/>
    <col min="35" max="35" width="13.140625" customWidth="1"/>
    <col min="36" max="36" width="15.28515625" customWidth="1"/>
    <col min="37" max="37" width="19.7109375" customWidth="1"/>
    <col min="38" max="38" width="23.42578125" customWidth="1"/>
    <col min="39" max="39" width="16" customWidth="1"/>
    <col min="40" max="40" width="31.7109375" customWidth="1"/>
    <col min="41" max="41" width="27.140625" customWidth="1"/>
    <col min="42" max="42" width="24.5703125" customWidth="1"/>
    <col min="43" max="43" width="42.7109375" customWidth="1"/>
    <col min="44" max="44" width="28.5703125" customWidth="1"/>
    <col min="45" max="45" width="19.42578125" customWidth="1"/>
    <col min="46" max="46" width="17.7109375" customWidth="1"/>
    <col min="47" max="47" width="19.42578125" customWidth="1"/>
    <col min="48" max="48" width="34.7109375" customWidth="1"/>
    <col min="49" max="49" width="20.42578125" customWidth="1"/>
    <col min="50" max="50" width="47.42578125" customWidth="1"/>
    <col min="51" max="52" width="19.5703125" customWidth="1"/>
    <col min="53" max="53" width="20.42578125" customWidth="1"/>
    <col min="54" max="54" width="29.28515625" customWidth="1"/>
    <col min="55" max="55" width="18.85546875" customWidth="1"/>
    <col min="56" max="56" width="14.7109375" customWidth="1"/>
    <col min="57" max="57" width="20.85546875" customWidth="1"/>
    <col min="58" max="58" width="17" customWidth="1"/>
    <col min="59" max="59" width="16.7109375" customWidth="1"/>
    <col min="60" max="60" width="23.7109375" customWidth="1"/>
    <col min="61" max="61" width="24.42578125" customWidth="1"/>
    <col min="62" max="62" width="17.7109375" customWidth="1"/>
    <col min="63" max="63" width="26.42578125" customWidth="1"/>
    <col min="64" max="64" width="22.28515625" customWidth="1"/>
    <col min="65" max="65" width="20.7109375" style="2" customWidth="1"/>
    <col min="66" max="66" width="21.140625" style="3" customWidth="1"/>
    <col min="67" max="67" width="20" style="3" customWidth="1"/>
    <col min="68" max="68" width="22.5703125" style="3" customWidth="1"/>
    <col min="69" max="69" width="24.5703125" style="3" customWidth="1"/>
    <col min="70" max="70" width="29.42578125" style="3" customWidth="1"/>
    <col min="71" max="71" width="22.42578125" customWidth="1"/>
    <col min="72" max="72" width="26" customWidth="1"/>
    <col min="73" max="73" width="21.7109375" customWidth="1"/>
    <col min="74" max="74" width="28.7109375" customWidth="1"/>
    <col min="75" max="75" width="32.28515625" customWidth="1"/>
    <col min="76" max="76" width="30.7109375" customWidth="1"/>
    <col min="77" max="77" width="28.7109375" customWidth="1"/>
    <col min="78" max="78" width="48.28515625" customWidth="1"/>
    <col min="79" max="79" width="28.28515625" customWidth="1"/>
    <col min="80" max="80" width="23.28515625" customWidth="1"/>
  </cols>
  <sheetData>
    <row r="1" spans="1:80" x14ac:dyDescent="0.25">
      <c r="A1" t="s">
        <v>2968</v>
      </c>
      <c r="B1" t="s">
        <v>2968</v>
      </c>
      <c r="C1" t="s">
        <v>2968</v>
      </c>
      <c r="D1" t="s">
        <v>2968</v>
      </c>
      <c r="E1" t="s">
        <v>2968</v>
      </c>
    </row>
    <row r="2" spans="1:80" x14ac:dyDescent="0.25">
      <c r="A2" t="s">
        <v>0</v>
      </c>
      <c r="B2" t="s">
        <v>2019</v>
      </c>
      <c r="C2" s="1" t="s">
        <v>1</v>
      </c>
      <c r="D2" s="6" t="s">
        <v>2</v>
      </c>
      <c r="E2" t="s">
        <v>3</v>
      </c>
      <c r="F2" s="7" t="s">
        <v>7</v>
      </c>
      <c r="G2" s="7" t="s">
        <v>1318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1189</v>
      </c>
      <c r="M2" t="s">
        <v>1190</v>
      </c>
      <c r="N2" t="s">
        <v>957</v>
      </c>
      <c r="O2" t="s">
        <v>958</v>
      </c>
      <c r="P2" t="s">
        <v>959</v>
      </c>
      <c r="Q2" t="s">
        <v>12</v>
      </c>
      <c r="R2" t="s">
        <v>960</v>
      </c>
      <c r="S2" t="s">
        <v>24</v>
      </c>
      <c r="T2" t="s">
        <v>961</v>
      </c>
      <c r="U2" t="s">
        <v>981</v>
      </c>
      <c r="V2" t="s">
        <v>982</v>
      </c>
      <c r="W2" t="s">
        <v>1193</v>
      </c>
      <c r="X2" s="7" t="s">
        <v>1188</v>
      </c>
      <c r="Y2" t="s">
        <v>1231</v>
      </c>
      <c r="Z2" s="2" t="s">
        <v>1232</v>
      </c>
      <c r="AA2" s="6" t="s">
        <v>1274</v>
      </c>
      <c r="AB2" s="7" t="s">
        <v>1233</v>
      </c>
      <c r="AC2" t="s">
        <v>1278</v>
      </c>
      <c r="AD2" t="s">
        <v>1286</v>
      </c>
      <c r="AE2" t="s">
        <v>1287</v>
      </c>
      <c r="AF2" t="s">
        <v>1289</v>
      </c>
      <c r="AG2" t="s">
        <v>1295</v>
      </c>
      <c r="AH2" t="s">
        <v>1296</v>
      </c>
      <c r="AI2" s="7" t="s">
        <v>1297</v>
      </c>
      <c r="AJ2" t="s">
        <v>1298</v>
      </c>
      <c r="AK2" t="s">
        <v>1299</v>
      </c>
      <c r="AL2" t="s">
        <v>1300</v>
      </c>
      <c r="AM2" s="7" t="s">
        <v>1301</v>
      </c>
      <c r="AN2" s="7" t="s">
        <v>1312</v>
      </c>
      <c r="AO2" s="7" t="s">
        <v>1313</v>
      </c>
      <c r="AP2" s="7" t="s">
        <v>1319</v>
      </c>
      <c r="AQ2" s="7" t="s">
        <v>1990</v>
      </c>
      <c r="AR2" s="7" t="s">
        <v>1991</v>
      </c>
      <c r="AS2" s="7" t="s">
        <v>1994</v>
      </c>
      <c r="AT2" s="7" t="s">
        <v>1997</v>
      </c>
      <c r="AU2" s="7" t="s">
        <v>1998</v>
      </c>
      <c r="AV2" s="7" t="s">
        <v>1999</v>
      </c>
      <c r="AW2" s="7" t="s">
        <v>2000</v>
      </c>
      <c r="AX2" t="s">
        <v>2001</v>
      </c>
      <c r="AY2" s="7" t="s">
        <v>2011</v>
      </c>
      <c r="AZ2" t="s">
        <v>2930</v>
      </c>
      <c r="BA2" t="s">
        <v>2012</v>
      </c>
      <c r="BB2" t="s">
        <v>2013</v>
      </c>
      <c r="BC2" s="3" t="s">
        <v>2904</v>
      </c>
      <c r="BD2" s="3" t="s">
        <v>2905</v>
      </c>
      <c r="BE2" s="3" t="s">
        <v>2906</v>
      </c>
      <c r="BF2" s="3" t="s">
        <v>2907</v>
      </c>
      <c r="BG2" s="3" t="s">
        <v>2908</v>
      </c>
      <c r="BH2" s="3" t="s">
        <v>2909</v>
      </c>
      <c r="BI2" s="3" t="s">
        <v>2910</v>
      </c>
      <c r="BJ2" s="3" t="s">
        <v>2911</v>
      </c>
      <c r="BK2" s="3" t="s">
        <v>2912</v>
      </c>
      <c r="BL2" s="3" t="s">
        <v>2913</v>
      </c>
      <c r="BM2" s="2" t="s">
        <v>2917</v>
      </c>
      <c r="BN2" s="8" t="s">
        <v>2914</v>
      </c>
      <c r="BO2" s="8" t="s">
        <v>2919</v>
      </c>
      <c r="BP2" s="8" t="s">
        <v>2920</v>
      </c>
      <c r="BQ2" s="8" t="s">
        <v>2924</v>
      </c>
      <c r="BR2" s="8" t="s">
        <v>2925</v>
      </c>
      <c r="BS2" s="7" t="s">
        <v>2927</v>
      </c>
      <c r="BT2" t="s">
        <v>2928</v>
      </c>
      <c r="BU2" t="s">
        <v>2929</v>
      </c>
      <c r="BV2" t="s">
        <v>2931</v>
      </c>
      <c r="BW2" t="s">
        <v>2932</v>
      </c>
      <c r="BX2" t="s">
        <v>2933</v>
      </c>
      <c r="BY2" t="s">
        <v>2934</v>
      </c>
      <c r="BZ2" t="s">
        <v>2935</v>
      </c>
      <c r="CA2" t="s">
        <v>2936</v>
      </c>
      <c r="CB2" t="s">
        <v>2937</v>
      </c>
    </row>
    <row r="3" spans="1:80" x14ac:dyDescent="0.25">
      <c r="A3">
        <v>1</v>
      </c>
      <c r="B3" t="s">
        <v>2020</v>
      </c>
      <c r="C3" s="1">
        <v>44785</v>
      </c>
      <c r="D3" s="2">
        <v>24</v>
      </c>
      <c r="E3" t="s">
        <v>4</v>
      </c>
      <c r="F3" t="str">
        <f>IF(AND(E3="More than 30 days",D3&gt;9),"Ground up Construction","Major Renovation/Remodel")</f>
        <v>Ground up Construction</v>
      </c>
      <c r="G3">
        <v>0</v>
      </c>
      <c r="H3" s="3">
        <v>4500000</v>
      </c>
      <c r="I3" s="3">
        <v>0</v>
      </c>
      <c r="J3" s="3">
        <v>0</v>
      </c>
      <c r="K3" s="3">
        <v>0</v>
      </c>
      <c r="L3" s="3" t="s">
        <v>1191</v>
      </c>
      <c r="M3">
        <v>1734288</v>
      </c>
      <c r="N3" t="s">
        <v>108</v>
      </c>
      <c r="P3" t="s">
        <v>25</v>
      </c>
      <c r="Q3" t="s">
        <v>13</v>
      </c>
      <c r="R3">
        <v>2554</v>
      </c>
      <c r="S3" t="s">
        <v>25</v>
      </c>
      <c r="T3" t="s">
        <v>962</v>
      </c>
      <c r="U3">
        <v>0</v>
      </c>
      <c r="V3" t="s">
        <v>983</v>
      </c>
      <c r="W3" t="s">
        <v>1194</v>
      </c>
      <c r="X3" t="str">
        <f>IF(U3=1,"Coastal","Inland")</f>
        <v>Inland</v>
      </c>
      <c r="Y3">
        <v>10000</v>
      </c>
      <c r="Z3" s="2">
        <v>5</v>
      </c>
      <c r="AA3" s="2" t="str">
        <f>INDEX(Sheet3!$B$3:$B$52,MATCH(Sample!Q3,Sheet3!$A$3:$A$52,0))</f>
        <v>N/A</v>
      </c>
      <c r="AB3" t="str">
        <f ca="1">IF(AA3=1,INDEX(Sheet3!$K$2:$K$8,MATCH((ROUND((7*RAND()),0)),Sheet3!$J$2:$J$8,0)),"N/A")</f>
        <v>N/A</v>
      </c>
      <c r="AC3">
        <v>730</v>
      </c>
      <c r="AD3" t="s">
        <v>1279</v>
      </c>
      <c r="AE3">
        <v>8</v>
      </c>
      <c r="AF3" t="s">
        <v>1290</v>
      </c>
      <c r="AG3">
        <v>0</v>
      </c>
      <c r="AH3">
        <v>0</v>
      </c>
      <c r="AI3">
        <f>SUM(AG3:AH3)</f>
        <v>0</v>
      </c>
      <c r="AJ3">
        <v>2021</v>
      </c>
      <c r="AK3" t="s">
        <v>1194</v>
      </c>
      <c r="AL3" t="s">
        <v>1194</v>
      </c>
      <c r="AM3" s="4" t="str">
        <f>IF(F3="Ground up Construction","N/A",LOOKUP((YEAR(C3)-(IF(AK3="Null",AJ3,AK3))),Sheet3!$P$2:$P$6,Sheet3!$Q$2:$Q$6))</f>
        <v>N/A</v>
      </c>
      <c r="AN3">
        <f ca="1">ROUND(1*RAND(),0)</f>
        <v>1</v>
      </c>
      <c r="AO3" t="str">
        <f ca="1">IFERROR(INDEX(Sheet3!$V$2:$V$4,MATCH((ROUND(3*RAND(),0)),Sheet3!$U$2:$U$4,0)),Sheet3!$V$2)</f>
        <v>0 - 5 Years</v>
      </c>
      <c r="AP3">
        <f>AI3</f>
        <v>0</v>
      </c>
      <c r="AQ3">
        <f ca="1">ROUND((1*RAND()),0)</f>
        <v>0</v>
      </c>
      <c r="AR3" t="str">
        <f ca="1">IF(AQ3=0,"Waived","Not Waived")</f>
        <v>Waived</v>
      </c>
      <c r="AS3" t="s">
        <v>1995</v>
      </c>
      <c r="AT3" t="s">
        <v>1995</v>
      </c>
      <c r="AU3" t="s">
        <v>1995</v>
      </c>
      <c r="AV3" t="s">
        <v>1996</v>
      </c>
      <c r="AW3" t="s">
        <v>1995</v>
      </c>
      <c r="AX3" t="s">
        <v>2006</v>
      </c>
      <c r="AY3" t="str">
        <f>INDEX(Sheet3!$AI$2:$AI$11,MATCH(Sample!AX3,Sheet3!$AH$2:$AH$11,0))</f>
        <v>No</v>
      </c>
      <c r="AZ3">
        <v>5000</v>
      </c>
      <c r="BA3" t="s">
        <v>1194</v>
      </c>
      <c r="BB3" t="s">
        <v>1194</v>
      </c>
      <c r="BC3" s="3">
        <v>9805.9580999999998</v>
      </c>
      <c r="BD3" s="3">
        <v>5799.73</v>
      </c>
      <c r="BE3" s="3">
        <v>0</v>
      </c>
      <c r="BF3" s="3">
        <v>0</v>
      </c>
      <c r="BG3" s="3">
        <v>0</v>
      </c>
      <c r="BH3" s="3">
        <v>0</v>
      </c>
      <c r="BI3" s="3">
        <v>4644</v>
      </c>
      <c r="BJ3" s="3">
        <v>20250</v>
      </c>
      <c r="BK3" s="3">
        <v>0</v>
      </c>
      <c r="BL3" s="3">
        <v>20250</v>
      </c>
      <c r="BM3" s="2">
        <f ca="1">IF(ROUND((6*RAND()),0)=0,1,(ROUND((6*RAND()),0)))</f>
        <v>1</v>
      </c>
      <c r="BN3" s="3">
        <v>1000000</v>
      </c>
      <c r="BO3" s="3">
        <v>500000</v>
      </c>
      <c r="BP3" s="3">
        <v>50000</v>
      </c>
      <c r="BQ3" s="3">
        <v>50000</v>
      </c>
      <c r="BR3" s="3">
        <v>1000000</v>
      </c>
      <c r="BS3">
        <v>250000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 t="s">
        <v>2006</v>
      </c>
      <c r="CA3" t="s">
        <v>2006</v>
      </c>
      <c r="CB3" t="s">
        <v>2006</v>
      </c>
    </row>
    <row r="4" spans="1:80" x14ac:dyDescent="0.25">
      <c r="A4">
        <v>2</v>
      </c>
      <c r="B4" t="s">
        <v>2021</v>
      </c>
      <c r="C4" s="1">
        <v>44927</v>
      </c>
      <c r="D4" s="2">
        <v>3</v>
      </c>
      <c r="E4" t="s">
        <v>4</v>
      </c>
      <c r="F4" t="s">
        <v>1310</v>
      </c>
      <c r="G4">
        <v>0</v>
      </c>
      <c r="H4" s="3">
        <v>17000000</v>
      </c>
      <c r="I4" s="3">
        <v>1000000</v>
      </c>
      <c r="J4" s="3">
        <v>0</v>
      </c>
      <c r="K4" s="3">
        <v>0</v>
      </c>
      <c r="L4" s="3" t="s">
        <v>1191</v>
      </c>
      <c r="M4">
        <v>1562910</v>
      </c>
      <c r="N4" t="s">
        <v>109</v>
      </c>
      <c r="O4" t="s">
        <v>110</v>
      </c>
      <c r="P4" t="s">
        <v>111</v>
      </c>
      <c r="Q4" t="s">
        <v>14</v>
      </c>
      <c r="R4">
        <v>11937</v>
      </c>
      <c r="S4" t="s">
        <v>26</v>
      </c>
      <c r="T4" t="s">
        <v>963</v>
      </c>
      <c r="U4">
        <v>0</v>
      </c>
      <c r="V4" t="s">
        <v>984</v>
      </c>
      <c r="W4" t="s">
        <v>1194</v>
      </c>
      <c r="X4" t="s">
        <v>973</v>
      </c>
      <c r="Y4">
        <v>25000</v>
      </c>
      <c r="Z4" s="2">
        <v>1</v>
      </c>
      <c r="AA4" s="2" t="s">
        <v>1238</v>
      </c>
      <c r="AB4" t="s">
        <v>1238</v>
      </c>
      <c r="AC4">
        <v>907</v>
      </c>
      <c r="AD4" t="s">
        <v>1279</v>
      </c>
      <c r="AE4">
        <v>3</v>
      </c>
      <c r="AF4" t="s">
        <v>1290</v>
      </c>
      <c r="AG4">
        <v>0</v>
      </c>
      <c r="AH4">
        <v>0</v>
      </c>
      <c r="AI4">
        <v>0</v>
      </c>
      <c r="AJ4">
        <v>2019</v>
      </c>
      <c r="AK4" t="s">
        <v>1194</v>
      </c>
      <c r="AL4" t="s">
        <v>1194</v>
      </c>
      <c r="AM4" s="4" t="s">
        <v>1304</v>
      </c>
      <c r="AN4">
        <v>1</v>
      </c>
      <c r="AO4" t="s">
        <v>1316</v>
      </c>
      <c r="AP4">
        <f t="shared" ref="AP4:AP67" si="0">AI4</f>
        <v>0</v>
      </c>
      <c r="AQ4">
        <v>1</v>
      </c>
      <c r="AR4" t="s">
        <v>1992</v>
      </c>
      <c r="AS4" t="s">
        <v>1995</v>
      </c>
      <c r="AT4" t="s">
        <v>1996</v>
      </c>
      <c r="AU4" t="s">
        <v>1995</v>
      </c>
      <c r="AV4" t="s">
        <v>1996</v>
      </c>
      <c r="AW4" t="s">
        <v>1995</v>
      </c>
      <c r="AX4" t="s">
        <v>2006</v>
      </c>
      <c r="AY4" t="s">
        <v>1996</v>
      </c>
      <c r="AZ4">
        <v>12000</v>
      </c>
      <c r="BA4" t="s">
        <v>1194</v>
      </c>
      <c r="BB4" t="s">
        <v>1194</v>
      </c>
      <c r="BC4" s="3">
        <v>31125.7932</v>
      </c>
      <c r="BD4" s="3">
        <v>26071.69</v>
      </c>
      <c r="BE4" s="3">
        <v>0</v>
      </c>
      <c r="BF4" s="3">
        <v>0</v>
      </c>
      <c r="BG4" s="3">
        <v>0</v>
      </c>
      <c r="BH4" s="3">
        <v>0</v>
      </c>
      <c r="BI4" s="3">
        <v>36403</v>
      </c>
      <c r="BJ4" s="3">
        <v>93600</v>
      </c>
      <c r="BK4" s="3">
        <v>0</v>
      </c>
      <c r="BL4" s="3">
        <v>93600</v>
      </c>
      <c r="BM4" s="2">
        <f t="shared" ref="BM4:BM67" ca="1" si="1">IF(ROUND((6*RAND()),0)=0,1,(ROUND((6*RAND()),0)))</f>
        <v>1</v>
      </c>
      <c r="BN4" s="3">
        <v>100000</v>
      </c>
      <c r="BO4" s="3">
        <v>500000</v>
      </c>
      <c r="BP4" s="3">
        <v>100000</v>
      </c>
      <c r="BQ4" s="3">
        <v>250000</v>
      </c>
      <c r="BR4" s="3">
        <v>250000</v>
      </c>
      <c r="BS4" t="s">
        <v>2916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 t="s">
        <v>2938</v>
      </c>
      <c r="CA4" t="s">
        <v>2939</v>
      </c>
      <c r="CB4" t="s">
        <v>2006</v>
      </c>
    </row>
    <row r="5" spans="1:80" x14ac:dyDescent="0.25">
      <c r="A5">
        <v>3</v>
      </c>
      <c r="B5" t="s">
        <v>2022</v>
      </c>
      <c r="C5" s="1">
        <v>44726</v>
      </c>
      <c r="D5" s="2">
        <v>18</v>
      </c>
      <c r="E5" t="s">
        <v>4</v>
      </c>
      <c r="F5" t="s">
        <v>1311</v>
      </c>
      <c r="G5">
        <v>0</v>
      </c>
      <c r="H5" s="3">
        <v>2700000</v>
      </c>
      <c r="I5" s="3">
        <v>148000</v>
      </c>
      <c r="J5" s="3">
        <v>250000</v>
      </c>
      <c r="K5" s="3">
        <v>0</v>
      </c>
      <c r="L5" s="3" t="s">
        <v>1191</v>
      </c>
      <c r="M5">
        <v>1224163</v>
      </c>
      <c r="N5" t="s">
        <v>112</v>
      </c>
      <c r="P5" t="s">
        <v>113</v>
      </c>
      <c r="Q5" t="s">
        <v>15</v>
      </c>
      <c r="R5">
        <v>33405</v>
      </c>
      <c r="S5" t="s">
        <v>27</v>
      </c>
      <c r="T5" t="s">
        <v>964</v>
      </c>
      <c r="U5">
        <v>1</v>
      </c>
      <c r="V5" t="s">
        <v>985</v>
      </c>
      <c r="W5" t="s">
        <v>1194</v>
      </c>
      <c r="X5" t="s">
        <v>1309</v>
      </c>
      <c r="Y5">
        <v>10000</v>
      </c>
      <c r="Z5" s="2">
        <v>15</v>
      </c>
      <c r="AA5" s="2" t="s">
        <v>1238</v>
      </c>
      <c r="AB5" t="s">
        <v>1238</v>
      </c>
      <c r="AC5">
        <v>701</v>
      </c>
      <c r="AD5" t="s">
        <v>1280</v>
      </c>
      <c r="AE5">
        <v>2</v>
      </c>
      <c r="AF5" t="s">
        <v>1291</v>
      </c>
      <c r="AG5">
        <v>0</v>
      </c>
      <c r="AH5">
        <v>0</v>
      </c>
      <c r="AI5">
        <v>0</v>
      </c>
      <c r="AJ5">
        <v>1987</v>
      </c>
      <c r="AK5" t="s">
        <v>1194</v>
      </c>
      <c r="AL5">
        <v>2010</v>
      </c>
      <c r="AM5" s="4" t="s">
        <v>1238</v>
      </c>
      <c r="AN5">
        <v>1</v>
      </c>
      <c r="AO5" t="s">
        <v>1316</v>
      </c>
      <c r="AP5">
        <f t="shared" si="0"/>
        <v>0</v>
      </c>
      <c r="AQ5">
        <v>1</v>
      </c>
      <c r="AR5" t="s">
        <v>1992</v>
      </c>
      <c r="AS5" t="s">
        <v>1996</v>
      </c>
      <c r="AT5" t="s">
        <v>1996</v>
      </c>
      <c r="AU5" t="s">
        <v>1995</v>
      </c>
      <c r="AV5" t="s">
        <v>1995</v>
      </c>
      <c r="AW5" t="s">
        <v>1995</v>
      </c>
      <c r="AX5" t="s">
        <v>2007</v>
      </c>
      <c r="AY5" t="s">
        <v>1995</v>
      </c>
      <c r="AZ5">
        <v>4217</v>
      </c>
      <c r="BA5" t="s">
        <v>1194</v>
      </c>
      <c r="BB5" t="s">
        <v>1194</v>
      </c>
      <c r="BC5" s="3">
        <v>10026.073899999999</v>
      </c>
      <c r="BD5" s="3">
        <v>18158.28</v>
      </c>
      <c r="BE5" s="3">
        <v>0</v>
      </c>
      <c r="BF5" s="3">
        <v>0</v>
      </c>
      <c r="BG5" s="3">
        <v>300</v>
      </c>
      <c r="BH5" s="3">
        <v>0</v>
      </c>
      <c r="BI5" s="3">
        <v>52064</v>
      </c>
      <c r="BJ5" s="3">
        <v>80548</v>
      </c>
      <c r="BK5" s="3">
        <v>150</v>
      </c>
      <c r="BL5" s="3">
        <v>80698</v>
      </c>
      <c r="BM5" s="2">
        <f t="shared" ca="1" si="1"/>
        <v>5</v>
      </c>
      <c r="BN5" s="3">
        <v>1000000</v>
      </c>
      <c r="BO5" s="3">
        <v>500000</v>
      </c>
      <c r="BP5" s="3">
        <v>50000</v>
      </c>
      <c r="BQ5" s="3">
        <v>100000</v>
      </c>
      <c r="BR5" s="3">
        <v>50000</v>
      </c>
      <c r="BS5" t="s">
        <v>2916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 t="s">
        <v>2940</v>
      </c>
      <c r="CA5" t="s">
        <v>2939</v>
      </c>
      <c r="CB5" t="s">
        <v>2941</v>
      </c>
    </row>
    <row r="6" spans="1:80" x14ac:dyDescent="0.25">
      <c r="A6">
        <v>4</v>
      </c>
      <c r="B6" t="s">
        <v>2023</v>
      </c>
      <c r="C6" s="1">
        <v>44865</v>
      </c>
      <c r="D6" s="2">
        <v>30</v>
      </c>
      <c r="E6" t="s">
        <v>4</v>
      </c>
      <c r="F6" t="s">
        <v>1311</v>
      </c>
      <c r="G6">
        <v>1</v>
      </c>
      <c r="H6" s="3">
        <v>12850000</v>
      </c>
      <c r="I6" s="3">
        <v>1420000</v>
      </c>
      <c r="J6" s="3">
        <v>0</v>
      </c>
      <c r="K6" s="3">
        <v>0</v>
      </c>
      <c r="L6" s="3" t="s">
        <v>1191</v>
      </c>
      <c r="M6">
        <v>1051429</v>
      </c>
      <c r="N6" t="s">
        <v>114</v>
      </c>
      <c r="P6" t="s">
        <v>115</v>
      </c>
      <c r="Q6" t="s">
        <v>15</v>
      </c>
      <c r="R6">
        <v>33483</v>
      </c>
      <c r="S6" t="s">
        <v>27</v>
      </c>
      <c r="T6" t="s">
        <v>964</v>
      </c>
      <c r="U6">
        <v>1</v>
      </c>
      <c r="V6" t="s">
        <v>985</v>
      </c>
      <c r="W6" t="s">
        <v>1194</v>
      </c>
      <c r="X6" t="s">
        <v>1309</v>
      </c>
      <c r="Y6">
        <v>25000</v>
      </c>
      <c r="Z6" s="2">
        <v>5</v>
      </c>
      <c r="AA6" s="2" t="s">
        <v>1238</v>
      </c>
      <c r="AB6" t="s">
        <v>1238</v>
      </c>
      <c r="AC6">
        <v>898</v>
      </c>
      <c r="AD6" t="s">
        <v>1280</v>
      </c>
      <c r="AE6">
        <v>2</v>
      </c>
      <c r="AF6" t="s">
        <v>1292</v>
      </c>
      <c r="AG6">
        <v>0</v>
      </c>
      <c r="AH6">
        <v>1</v>
      </c>
      <c r="AI6">
        <v>1</v>
      </c>
      <c r="AJ6">
        <v>2018</v>
      </c>
      <c r="AK6" t="s">
        <v>1194</v>
      </c>
      <c r="AL6" t="s">
        <v>1194</v>
      </c>
      <c r="AM6" s="4" t="s">
        <v>1238</v>
      </c>
      <c r="AN6">
        <v>1</v>
      </c>
      <c r="AO6" t="s">
        <v>1316</v>
      </c>
      <c r="AP6">
        <f t="shared" si="0"/>
        <v>1</v>
      </c>
      <c r="AQ6">
        <v>1</v>
      </c>
      <c r="AR6" t="s">
        <v>1992</v>
      </c>
      <c r="AS6" t="s">
        <v>1995</v>
      </c>
      <c r="AT6" t="s">
        <v>1995</v>
      </c>
      <c r="AU6" t="s">
        <v>1995</v>
      </c>
      <c r="AV6" t="s">
        <v>1995</v>
      </c>
      <c r="AW6" t="s">
        <v>1996</v>
      </c>
      <c r="AX6" t="s">
        <v>2007</v>
      </c>
      <c r="AY6" t="s">
        <v>1995</v>
      </c>
      <c r="AZ6">
        <v>10000</v>
      </c>
      <c r="BA6" t="s">
        <v>1194</v>
      </c>
      <c r="BB6" t="s">
        <v>1194</v>
      </c>
      <c r="BC6" s="3">
        <v>27942.182499999999</v>
      </c>
      <c r="BD6" s="3">
        <v>48732.6</v>
      </c>
      <c r="BE6" s="3">
        <v>0</v>
      </c>
      <c r="BF6" s="3">
        <v>0</v>
      </c>
      <c r="BG6" s="3">
        <v>300</v>
      </c>
      <c r="BH6" s="3">
        <v>0</v>
      </c>
      <c r="BI6" s="3">
        <v>74560</v>
      </c>
      <c r="BJ6" s="3">
        <v>151535</v>
      </c>
      <c r="BK6" s="3">
        <v>0</v>
      </c>
      <c r="BL6" s="3">
        <v>151535</v>
      </c>
      <c r="BM6" s="2">
        <f t="shared" ca="1" si="1"/>
        <v>4</v>
      </c>
      <c r="BN6" s="3">
        <v>100000</v>
      </c>
      <c r="BO6" s="3">
        <v>25000</v>
      </c>
      <c r="BP6" s="3">
        <v>50000</v>
      </c>
      <c r="BQ6" s="3">
        <v>500000</v>
      </c>
      <c r="BR6" s="3">
        <v>1000000</v>
      </c>
      <c r="BS6">
        <v>100000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 t="s">
        <v>2940</v>
      </c>
      <c r="CA6" t="s">
        <v>2939</v>
      </c>
      <c r="CB6" t="s">
        <v>2941</v>
      </c>
    </row>
    <row r="7" spans="1:80" x14ac:dyDescent="0.25">
      <c r="A7">
        <v>5</v>
      </c>
      <c r="B7" t="s">
        <v>2024</v>
      </c>
      <c r="C7" s="1">
        <v>44877</v>
      </c>
      <c r="D7" s="2">
        <v>33</v>
      </c>
      <c r="E7" t="s">
        <v>4</v>
      </c>
      <c r="F7" t="s">
        <v>1311</v>
      </c>
      <c r="G7">
        <v>1</v>
      </c>
      <c r="H7" s="3">
        <v>2000000</v>
      </c>
      <c r="I7" s="3">
        <v>150000</v>
      </c>
      <c r="J7" s="3">
        <v>0</v>
      </c>
      <c r="K7" s="3">
        <v>0</v>
      </c>
      <c r="L7" s="3" t="s">
        <v>1191</v>
      </c>
      <c r="M7">
        <v>111163</v>
      </c>
      <c r="N7" t="s">
        <v>116</v>
      </c>
      <c r="P7" t="s">
        <v>117</v>
      </c>
      <c r="Q7" t="s">
        <v>14</v>
      </c>
      <c r="R7">
        <v>11959</v>
      </c>
      <c r="S7" t="s">
        <v>26</v>
      </c>
      <c r="T7" t="s">
        <v>963</v>
      </c>
      <c r="U7">
        <v>0</v>
      </c>
      <c r="V7" t="s">
        <v>986</v>
      </c>
      <c r="W7" t="s">
        <v>1194</v>
      </c>
      <c r="X7" t="s">
        <v>973</v>
      </c>
      <c r="Y7">
        <v>10000</v>
      </c>
      <c r="Z7" s="2">
        <v>1</v>
      </c>
      <c r="AA7" s="2" t="s">
        <v>1238</v>
      </c>
      <c r="AB7" t="s">
        <v>1238</v>
      </c>
      <c r="AC7">
        <v>760</v>
      </c>
      <c r="AD7" t="s">
        <v>1279</v>
      </c>
      <c r="AE7">
        <v>4</v>
      </c>
      <c r="AF7" t="s">
        <v>1290</v>
      </c>
      <c r="AG7">
        <v>0</v>
      </c>
      <c r="AH7">
        <v>0</v>
      </c>
      <c r="AI7">
        <v>0</v>
      </c>
      <c r="AJ7">
        <v>2021</v>
      </c>
      <c r="AK7" t="s">
        <v>1194</v>
      </c>
      <c r="AL7" t="s">
        <v>1194</v>
      </c>
      <c r="AM7" s="4" t="s">
        <v>1238</v>
      </c>
      <c r="AN7">
        <v>0</v>
      </c>
      <c r="AO7" t="s">
        <v>1316</v>
      </c>
      <c r="AP7">
        <f t="shared" si="0"/>
        <v>0</v>
      </c>
      <c r="AQ7">
        <v>1</v>
      </c>
      <c r="AR7" t="s">
        <v>1992</v>
      </c>
      <c r="AS7" t="s">
        <v>1996</v>
      </c>
      <c r="AT7" t="s">
        <v>1996</v>
      </c>
      <c r="AU7" t="s">
        <v>1996</v>
      </c>
      <c r="AV7" t="s">
        <v>1995</v>
      </c>
      <c r="AW7" t="s">
        <v>1995</v>
      </c>
      <c r="AX7" t="s">
        <v>2006</v>
      </c>
      <c r="AY7" t="s">
        <v>1996</v>
      </c>
      <c r="AZ7">
        <v>3970</v>
      </c>
      <c r="BA7" t="s">
        <v>1194</v>
      </c>
      <c r="BB7" t="s">
        <v>1194</v>
      </c>
      <c r="BC7" s="3">
        <v>6010.1917000000003</v>
      </c>
      <c r="BD7" s="3">
        <v>5769.18</v>
      </c>
      <c r="BE7" s="3">
        <v>0</v>
      </c>
      <c r="BF7" s="3">
        <v>0</v>
      </c>
      <c r="BG7" s="3">
        <v>150</v>
      </c>
      <c r="BH7" s="3">
        <v>0</v>
      </c>
      <c r="BI7" s="3">
        <v>-329</v>
      </c>
      <c r="BJ7" s="3">
        <v>11600</v>
      </c>
      <c r="BK7" s="3">
        <v>0</v>
      </c>
      <c r="BL7" s="3">
        <v>11600</v>
      </c>
      <c r="BM7" s="2">
        <f t="shared" ca="1" si="1"/>
        <v>5</v>
      </c>
      <c r="BN7" s="3">
        <v>250000</v>
      </c>
      <c r="BO7" s="3">
        <v>250000</v>
      </c>
      <c r="BP7" s="3">
        <v>50000</v>
      </c>
      <c r="BQ7" s="3">
        <v>100000</v>
      </c>
      <c r="BR7" s="3">
        <v>50000</v>
      </c>
      <c r="BS7">
        <v>500000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 t="s">
        <v>2942</v>
      </c>
      <c r="CA7" t="s">
        <v>2006</v>
      </c>
      <c r="CB7" t="s">
        <v>2006</v>
      </c>
    </row>
    <row r="8" spans="1:80" x14ac:dyDescent="0.25">
      <c r="A8">
        <v>6</v>
      </c>
      <c r="B8" t="s">
        <v>2025</v>
      </c>
      <c r="C8" s="1">
        <v>44825</v>
      </c>
      <c r="D8" s="2">
        <v>27</v>
      </c>
      <c r="E8" t="s">
        <v>4</v>
      </c>
      <c r="F8" t="s">
        <v>1311</v>
      </c>
      <c r="G8">
        <v>0</v>
      </c>
      <c r="H8" s="3">
        <v>1772000</v>
      </c>
      <c r="I8" s="3">
        <v>130000</v>
      </c>
      <c r="J8" s="3">
        <v>0</v>
      </c>
      <c r="K8" s="3">
        <v>0</v>
      </c>
      <c r="L8" s="3" t="s">
        <v>1191</v>
      </c>
      <c r="M8">
        <v>1979885</v>
      </c>
      <c r="N8" t="s">
        <v>118</v>
      </c>
      <c r="P8" t="s">
        <v>119</v>
      </c>
      <c r="Q8" t="s">
        <v>15</v>
      </c>
      <c r="R8">
        <v>33496</v>
      </c>
      <c r="S8" t="s">
        <v>27</v>
      </c>
      <c r="T8" t="s">
        <v>965</v>
      </c>
      <c r="U8">
        <v>0</v>
      </c>
      <c r="V8" t="s">
        <v>987</v>
      </c>
      <c r="W8" t="s">
        <v>1194</v>
      </c>
      <c r="X8" t="s">
        <v>973</v>
      </c>
      <c r="Y8">
        <v>100000</v>
      </c>
      <c r="Z8" s="2">
        <v>10</v>
      </c>
      <c r="AA8" s="2" t="s">
        <v>1238</v>
      </c>
      <c r="AB8" t="s">
        <v>1238</v>
      </c>
      <c r="AC8">
        <v>850</v>
      </c>
      <c r="AD8" t="s">
        <v>1280</v>
      </c>
      <c r="AE8">
        <v>2</v>
      </c>
      <c r="AF8" t="s">
        <v>1290</v>
      </c>
      <c r="AG8">
        <v>0</v>
      </c>
      <c r="AH8">
        <v>0</v>
      </c>
      <c r="AI8">
        <v>0</v>
      </c>
      <c r="AJ8">
        <v>1987</v>
      </c>
      <c r="AK8" t="s">
        <v>1194</v>
      </c>
      <c r="AL8">
        <v>2000</v>
      </c>
      <c r="AM8" s="4" t="s">
        <v>1238</v>
      </c>
      <c r="AN8">
        <v>0</v>
      </c>
      <c r="AO8" t="s">
        <v>1317</v>
      </c>
      <c r="AP8">
        <f t="shared" si="0"/>
        <v>0</v>
      </c>
      <c r="AQ8">
        <v>0</v>
      </c>
      <c r="AR8" t="s">
        <v>1993</v>
      </c>
      <c r="AS8" t="s">
        <v>1996</v>
      </c>
      <c r="AT8" t="s">
        <v>1996</v>
      </c>
      <c r="AU8" t="s">
        <v>1995</v>
      </c>
      <c r="AV8" t="s">
        <v>1995</v>
      </c>
      <c r="AW8" t="s">
        <v>1995</v>
      </c>
      <c r="AX8" t="s">
        <v>2008</v>
      </c>
      <c r="AY8" t="s">
        <v>1995</v>
      </c>
      <c r="AZ8">
        <v>3400</v>
      </c>
      <c r="BA8" t="s">
        <v>1194</v>
      </c>
      <c r="BB8" t="s">
        <v>1194</v>
      </c>
      <c r="BC8" s="3">
        <v>3609.723</v>
      </c>
      <c r="BD8" s="3">
        <v>11977.48</v>
      </c>
      <c r="BE8" s="3">
        <v>0</v>
      </c>
      <c r="BF8" s="3">
        <v>0</v>
      </c>
      <c r="BG8" s="3">
        <v>0</v>
      </c>
      <c r="BH8" s="3">
        <v>0</v>
      </c>
      <c r="BI8" s="3">
        <v>3053</v>
      </c>
      <c r="BJ8" s="3">
        <v>18640</v>
      </c>
      <c r="BK8" s="3">
        <v>0</v>
      </c>
      <c r="BL8" s="3">
        <v>18640</v>
      </c>
      <c r="BM8" s="2">
        <f t="shared" ca="1" si="1"/>
        <v>3</v>
      </c>
      <c r="BN8" s="3">
        <v>250000</v>
      </c>
      <c r="BO8" s="3">
        <v>500000</v>
      </c>
      <c r="BP8" s="3">
        <v>50000</v>
      </c>
      <c r="BQ8" s="3">
        <v>25000</v>
      </c>
      <c r="BR8" s="3">
        <v>100000</v>
      </c>
      <c r="BS8">
        <v>100000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 t="s">
        <v>2940</v>
      </c>
      <c r="CA8" t="s">
        <v>2939</v>
      </c>
      <c r="CB8" t="s">
        <v>2941</v>
      </c>
    </row>
    <row r="9" spans="1:80" x14ac:dyDescent="0.25">
      <c r="A9">
        <v>7</v>
      </c>
      <c r="B9" t="s">
        <v>2026</v>
      </c>
      <c r="C9" s="1">
        <v>44877</v>
      </c>
      <c r="D9" s="2">
        <v>33</v>
      </c>
      <c r="E9" t="s">
        <v>4</v>
      </c>
      <c r="F9" t="s">
        <v>1311</v>
      </c>
      <c r="G9">
        <v>0</v>
      </c>
      <c r="H9" s="3">
        <v>0</v>
      </c>
      <c r="I9" s="3">
        <v>0</v>
      </c>
      <c r="J9" s="3">
        <v>1978410</v>
      </c>
      <c r="K9" s="3">
        <v>0</v>
      </c>
      <c r="L9" s="3" t="s">
        <v>1192</v>
      </c>
      <c r="M9">
        <v>1122004</v>
      </c>
      <c r="N9" t="s">
        <v>120</v>
      </c>
      <c r="O9" t="s">
        <v>121</v>
      </c>
      <c r="P9" t="s">
        <v>122</v>
      </c>
      <c r="Q9" t="s">
        <v>15</v>
      </c>
      <c r="R9">
        <v>33701</v>
      </c>
      <c r="S9" t="s">
        <v>28</v>
      </c>
      <c r="T9" t="s">
        <v>966</v>
      </c>
      <c r="U9">
        <v>0</v>
      </c>
      <c r="V9" t="s">
        <v>988</v>
      </c>
      <c r="W9" t="s">
        <v>1194</v>
      </c>
      <c r="X9" t="s">
        <v>973</v>
      </c>
      <c r="Y9">
        <v>5000</v>
      </c>
      <c r="Z9" s="2">
        <v>1.999989891</v>
      </c>
      <c r="AA9" s="2" t="s">
        <v>1238</v>
      </c>
      <c r="AB9" t="s">
        <v>1238</v>
      </c>
      <c r="AC9">
        <v>909</v>
      </c>
      <c r="AD9" t="s">
        <v>1281</v>
      </c>
      <c r="AE9">
        <v>1</v>
      </c>
      <c r="AF9" t="s">
        <v>1290</v>
      </c>
      <c r="AG9">
        <v>0</v>
      </c>
      <c r="AH9">
        <v>0</v>
      </c>
      <c r="AI9">
        <v>0</v>
      </c>
      <c r="AJ9">
        <v>2006</v>
      </c>
      <c r="AK9" t="s">
        <v>1194</v>
      </c>
      <c r="AL9" t="s">
        <v>1194</v>
      </c>
      <c r="AM9" s="4" t="s">
        <v>1238</v>
      </c>
      <c r="AN9">
        <v>1</v>
      </c>
      <c r="AO9" t="s">
        <v>1315</v>
      </c>
      <c r="AP9">
        <f t="shared" si="0"/>
        <v>0</v>
      </c>
      <c r="AQ9">
        <v>1</v>
      </c>
      <c r="AR9" t="s">
        <v>1992</v>
      </c>
      <c r="AS9" t="s">
        <v>1996</v>
      </c>
      <c r="AT9" t="s">
        <v>1996</v>
      </c>
      <c r="AU9" t="s">
        <v>1996</v>
      </c>
      <c r="AV9" t="s">
        <v>1996</v>
      </c>
      <c r="AW9" t="s">
        <v>1995</v>
      </c>
      <c r="AX9" t="s">
        <v>2007</v>
      </c>
      <c r="AY9" t="s">
        <v>1995</v>
      </c>
      <c r="AZ9">
        <v>4962</v>
      </c>
      <c r="BA9" t="s">
        <v>1194</v>
      </c>
      <c r="BB9" t="s">
        <v>1194</v>
      </c>
      <c r="BC9" s="3">
        <v>3345.7591000000002</v>
      </c>
      <c r="BD9" s="3">
        <v>3364.48</v>
      </c>
      <c r="BE9" s="3">
        <v>0</v>
      </c>
      <c r="BF9" s="3">
        <v>0</v>
      </c>
      <c r="BG9" s="3">
        <v>0</v>
      </c>
      <c r="BH9" s="3">
        <v>0</v>
      </c>
      <c r="BI9" s="3">
        <v>5358.06</v>
      </c>
      <c r="BJ9" s="3">
        <v>12068</v>
      </c>
      <c r="BK9" s="3">
        <v>125.07</v>
      </c>
      <c r="BL9" s="3">
        <v>12193.07</v>
      </c>
      <c r="BM9" s="2">
        <f t="shared" ca="1" si="1"/>
        <v>1</v>
      </c>
      <c r="BN9" s="3">
        <v>50000</v>
      </c>
      <c r="BO9" s="3">
        <v>20000</v>
      </c>
      <c r="BP9" s="3" t="s">
        <v>2922</v>
      </c>
      <c r="BQ9" s="3">
        <v>1000000</v>
      </c>
      <c r="BR9" s="3">
        <v>250000</v>
      </c>
      <c r="BS9">
        <v>50000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 t="s">
        <v>2943</v>
      </c>
      <c r="CA9" t="s">
        <v>2939</v>
      </c>
      <c r="CB9" t="s">
        <v>2941</v>
      </c>
    </row>
    <row r="10" spans="1:80" x14ac:dyDescent="0.25">
      <c r="A10">
        <v>8</v>
      </c>
      <c r="B10" t="s">
        <v>2027</v>
      </c>
      <c r="C10" s="1">
        <v>44799</v>
      </c>
      <c r="D10" s="2">
        <v>24</v>
      </c>
      <c r="E10" t="s">
        <v>4</v>
      </c>
      <c r="F10" t="s">
        <v>1311</v>
      </c>
      <c r="G10">
        <v>1</v>
      </c>
      <c r="H10" s="3">
        <v>8500000</v>
      </c>
      <c r="I10" s="3">
        <v>500000</v>
      </c>
      <c r="J10" s="3">
        <v>0</v>
      </c>
      <c r="K10" s="3">
        <v>0</v>
      </c>
      <c r="L10" s="3" t="s">
        <v>1191</v>
      </c>
      <c r="M10">
        <v>1756779</v>
      </c>
      <c r="N10" t="s">
        <v>123</v>
      </c>
      <c r="P10" t="s">
        <v>124</v>
      </c>
      <c r="Q10" t="s">
        <v>15</v>
      </c>
      <c r="R10">
        <v>33469</v>
      </c>
      <c r="S10" t="s">
        <v>27</v>
      </c>
      <c r="T10" t="s">
        <v>967</v>
      </c>
      <c r="U10">
        <v>1</v>
      </c>
      <c r="V10" t="s">
        <v>989</v>
      </c>
      <c r="W10" t="s">
        <v>1194</v>
      </c>
      <c r="X10" t="s">
        <v>1309</v>
      </c>
      <c r="Y10">
        <v>500000</v>
      </c>
      <c r="Z10" s="2">
        <v>25</v>
      </c>
      <c r="AA10" s="2" t="s">
        <v>1238</v>
      </c>
      <c r="AB10" t="s">
        <v>1238</v>
      </c>
      <c r="AC10">
        <v>897</v>
      </c>
      <c r="AD10" t="s">
        <v>1280</v>
      </c>
      <c r="AE10">
        <v>4</v>
      </c>
      <c r="AF10" t="s">
        <v>1290</v>
      </c>
      <c r="AG10">
        <v>0</v>
      </c>
      <c r="AH10">
        <v>0</v>
      </c>
      <c r="AI10">
        <v>0</v>
      </c>
      <c r="AJ10">
        <v>2021</v>
      </c>
      <c r="AK10">
        <v>2021</v>
      </c>
      <c r="AL10" t="s">
        <v>1194</v>
      </c>
      <c r="AM10" s="4" t="s">
        <v>1238</v>
      </c>
      <c r="AN10">
        <v>0</v>
      </c>
      <c r="AO10" t="s">
        <v>1317</v>
      </c>
      <c r="AP10">
        <f t="shared" si="0"/>
        <v>0</v>
      </c>
      <c r="AQ10">
        <v>0</v>
      </c>
      <c r="AR10" t="s">
        <v>1993</v>
      </c>
      <c r="AS10" t="s">
        <v>1996</v>
      </c>
      <c r="AT10" t="s">
        <v>1995</v>
      </c>
      <c r="AU10" t="s">
        <v>1996</v>
      </c>
      <c r="AV10" t="s">
        <v>1995</v>
      </c>
      <c r="AW10" t="s">
        <v>1995</v>
      </c>
      <c r="AX10" t="s">
        <v>2007</v>
      </c>
      <c r="AY10" t="s">
        <v>1995</v>
      </c>
      <c r="AZ10">
        <v>5000</v>
      </c>
      <c r="BA10" t="s">
        <v>1194</v>
      </c>
      <c r="BB10" t="s">
        <v>1194</v>
      </c>
      <c r="BC10" s="3">
        <v>8209.4305000000004</v>
      </c>
      <c r="BD10" s="3">
        <v>15358.03</v>
      </c>
      <c r="BE10" s="3">
        <v>0</v>
      </c>
      <c r="BF10" s="3">
        <v>0</v>
      </c>
      <c r="BG10" s="3">
        <v>300</v>
      </c>
      <c r="BH10" s="3">
        <v>0</v>
      </c>
      <c r="BI10" s="3">
        <v>50780</v>
      </c>
      <c r="BJ10" s="3">
        <v>74647</v>
      </c>
      <c r="BK10" s="3">
        <v>0</v>
      </c>
      <c r="BL10" s="3">
        <v>74647</v>
      </c>
      <c r="BM10" s="2">
        <f t="shared" ca="1" si="1"/>
        <v>3</v>
      </c>
      <c r="BN10" s="3">
        <v>250000</v>
      </c>
      <c r="BO10" s="3">
        <v>100000</v>
      </c>
      <c r="BP10" s="3">
        <v>100000</v>
      </c>
      <c r="BQ10" s="3">
        <v>100000</v>
      </c>
      <c r="BR10" s="3">
        <v>250000</v>
      </c>
      <c r="BS10">
        <v>50000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 t="s">
        <v>2940</v>
      </c>
      <c r="CA10" t="s">
        <v>2939</v>
      </c>
      <c r="CB10" t="s">
        <v>2941</v>
      </c>
    </row>
    <row r="11" spans="1:80" x14ac:dyDescent="0.25">
      <c r="A11">
        <v>9</v>
      </c>
      <c r="B11" t="s">
        <v>2028</v>
      </c>
      <c r="C11" s="1">
        <v>44823</v>
      </c>
      <c r="D11" s="2">
        <v>27</v>
      </c>
      <c r="E11" t="s">
        <v>4</v>
      </c>
      <c r="F11" t="s">
        <v>1311</v>
      </c>
      <c r="G11">
        <v>1</v>
      </c>
      <c r="H11" s="3">
        <v>0</v>
      </c>
      <c r="I11" s="3">
        <v>0</v>
      </c>
      <c r="J11" s="3">
        <v>10550000</v>
      </c>
      <c r="K11" s="3">
        <v>0</v>
      </c>
      <c r="L11" s="3" t="s">
        <v>1192</v>
      </c>
      <c r="M11">
        <v>814033</v>
      </c>
      <c r="N11" t="s">
        <v>125</v>
      </c>
      <c r="O11" t="s">
        <v>126</v>
      </c>
      <c r="P11" t="s">
        <v>29</v>
      </c>
      <c r="Q11" t="s">
        <v>14</v>
      </c>
      <c r="R11">
        <v>10023</v>
      </c>
      <c r="S11" t="s">
        <v>29</v>
      </c>
      <c r="T11" t="s">
        <v>968</v>
      </c>
      <c r="U11">
        <v>0</v>
      </c>
      <c r="V11" t="s">
        <v>990</v>
      </c>
      <c r="W11" t="s">
        <v>1194</v>
      </c>
      <c r="X11" t="s">
        <v>973</v>
      </c>
      <c r="Y11">
        <v>25000</v>
      </c>
      <c r="Z11" s="2">
        <v>1</v>
      </c>
      <c r="AA11" s="2" t="s">
        <v>1238</v>
      </c>
      <c r="AB11" t="s">
        <v>1238</v>
      </c>
      <c r="AC11">
        <v>743</v>
      </c>
      <c r="AD11" t="s">
        <v>1281</v>
      </c>
      <c r="AE11">
        <v>1</v>
      </c>
      <c r="AF11" t="s">
        <v>1290</v>
      </c>
      <c r="AG11">
        <v>0</v>
      </c>
      <c r="AH11">
        <v>0</v>
      </c>
      <c r="AI11">
        <v>0</v>
      </c>
      <c r="AJ11">
        <v>1931</v>
      </c>
      <c r="AK11">
        <v>2000</v>
      </c>
      <c r="AL11">
        <v>2022</v>
      </c>
      <c r="AM11" s="4" t="s">
        <v>1238</v>
      </c>
      <c r="AN11">
        <v>0</v>
      </c>
      <c r="AO11" t="s">
        <v>1315</v>
      </c>
      <c r="AP11">
        <f t="shared" si="0"/>
        <v>0</v>
      </c>
      <c r="AQ11">
        <v>1</v>
      </c>
      <c r="AR11" t="s">
        <v>1992</v>
      </c>
      <c r="AS11" t="s">
        <v>1996</v>
      </c>
      <c r="AT11" t="s">
        <v>1995</v>
      </c>
      <c r="AU11" t="s">
        <v>1995</v>
      </c>
      <c r="AV11" t="s">
        <v>1995</v>
      </c>
      <c r="AW11" t="s">
        <v>1996</v>
      </c>
      <c r="AX11" t="s">
        <v>2006</v>
      </c>
      <c r="AY11" t="s">
        <v>1996</v>
      </c>
      <c r="AZ11">
        <v>5800</v>
      </c>
      <c r="BA11" t="s">
        <v>1194</v>
      </c>
      <c r="BB11" t="s">
        <v>1194</v>
      </c>
      <c r="BC11" s="3">
        <v>34393.828099999999</v>
      </c>
      <c r="BD11" s="3">
        <v>5107.38</v>
      </c>
      <c r="BE11" s="3">
        <v>0</v>
      </c>
      <c r="BF11" s="3">
        <v>0</v>
      </c>
      <c r="BG11" s="3">
        <v>150</v>
      </c>
      <c r="BH11" s="3">
        <v>0</v>
      </c>
      <c r="BI11" s="3">
        <v>32939</v>
      </c>
      <c r="BJ11" s="3">
        <v>72590</v>
      </c>
      <c r="BK11" s="3">
        <v>0</v>
      </c>
      <c r="BL11" s="3">
        <v>72590</v>
      </c>
      <c r="BM11" s="2">
        <f t="shared" ca="1" si="1"/>
        <v>5</v>
      </c>
      <c r="BN11" s="3">
        <v>500000</v>
      </c>
      <c r="BO11" s="3">
        <v>500000</v>
      </c>
      <c r="BP11" s="3">
        <v>100000</v>
      </c>
      <c r="BQ11" s="3">
        <v>250000</v>
      </c>
      <c r="BR11" s="3" t="s">
        <v>2916</v>
      </c>
      <c r="BS11">
        <v>250000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 t="s">
        <v>2938</v>
      </c>
      <c r="CA11" t="s">
        <v>2939</v>
      </c>
      <c r="CB11" t="s">
        <v>2006</v>
      </c>
    </row>
    <row r="12" spans="1:80" x14ac:dyDescent="0.25">
      <c r="A12">
        <v>10</v>
      </c>
      <c r="B12" t="s">
        <v>2029</v>
      </c>
      <c r="C12" s="1">
        <v>44916</v>
      </c>
      <c r="D12" s="2">
        <v>36</v>
      </c>
      <c r="E12" t="s">
        <v>4</v>
      </c>
      <c r="F12" t="s">
        <v>1311</v>
      </c>
      <c r="G12">
        <v>0</v>
      </c>
      <c r="H12" s="3">
        <v>810000</v>
      </c>
      <c r="I12" s="3">
        <v>10000</v>
      </c>
      <c r="J12" s="3">
        <v>0</v>
      </c>
      <c r="K12" s="3">
        <v>0</v>
      </c>
      <c r="L12" s="3" t="s">
        <v>1191</v>
      </c>
      <c r="M12">
        <v>888821</v>
      </c>
      <c r="N12" t="s">
        <v>127</v>
      </c>
      <c r="P12" t="s">
        <v>128</v>
      </c>
      <c r="Q12" t="s">
        <v>16</v>
      </c>
      <c r="R12">
        <v>8406</v>
      </c>
      <c r="S12" t="s">
        <v>30</v>
      </c>
      <c r="T12" t="s">
        <v>963</v>
      </c>
      <c r="U12">
        <v>0</v>
      </c>
      <c r="V12" t="s">
        <v>991</v>
      </c>
      <c r="W12" t="s">
        <v>1194</v>
      </c>
      <c r="X12" t="s">
        <v>973</v>
      </c>
      <c r="Y12">
        <v>10000</v>
      </c>
      <c r="Z12" s="2">
        <v>2</v>
      </c>
      <c r="AA12" s="2" t="s">
        <v>1238</v>
      </c>
      <c r="AB12" t="s">
        <v>1238</v>
      </c>
      <c r="AC12">
        <v>871</v>
      </c>
      <c r="AD12" t="s">
        <v>1279</v>
      </c>
      <c r="AE12">
        <v>2</v>
      </c>
      <c r="AF12" t="s">
        <v>1290</v>
      </c>
      <c r="AG12">
        <v>0</v>
      </c>
      <c r="AH12">
        <v>1</v>
      </c>
      <c r="AI12">
        <v>1</v>
      </c>
      <c r="AJ12">
        <v>1928</v>
      </c>
      <c r="AK12">
        <v>2021</v>
      </c>
      <c r="AL12">
        <v>2021</v>
      </c>
      <c r="AM12" s="4" t="s">
        <v>1238</v>
      </c>
      <c r="AN12">
        <v>0</v>
      </c>
      <c r="AO12" t="s">
        <v>1315</v>
      </c>
      <c r="AP12">
        <f t="shared" si="0"/>
        <v>1</v>
      </c>
      <c r="AQ12">
        <v>1</v>
      </c>
      <c r="AR12" t="s">
        <v>1992</v>
      </c>
      <c r="AS12" t="s">
        <v>1995</v>
      </c>
      <c r="AT12" t="s">
        <v>1995</v>
      </c>
      <c r="AU12" t="s">
        <v>1996</v>
      </c>
      <c r="AV12" t="s">
        <v>1995</v>
      </c>
      <c r="AW12" t="s">
        <v>1996</v>
      </c>
      <c r="AX12" t="s">
        <v>2006</v>
      </c>
      <c r="AY12" t="s">
        <v>1996</v>
      </c>
      <c r="AZ12">
        <v>2412</v>
      </c>
      <c r="BA12" t="s">
        <v>1194</v>
      </c>
      <c r="BB12" t="s">
        <v>1194</v>
      </c>
      <c r="BC12" s="3">
        <v>1809.1923999999999</v>
      </c>
      <c r="BD12" s="3">
        <v>2505.89</v>
      </c>
      <c r="BE12" s="3">
        <v>0</v>
      </c>
      <c r="BF12" s="3">
        <v>0</v>
      </c>
      <c r="BG12" s="3">
        <v>0</v>
      </c>
      <c r="BH12" s="3">
        <v>0</v>
      </c>
      <c r="BI12" s="3">
        <v>2327</v>
      </c>
      <c r="BJ12" s="3">
        <v>6642</v>
      </c>
      <c r="BK12" s="3">
        <v>0</v>
      </c>
      <c r="BL12" s="3">
        <v>6642</v>
      </c>
      <c r="BM12" s="2">
        <f t="shared" ca="1" si="1"/>
        <v>5</v>
      </c>
      <c r="BN12" s="3">
        <v>500000</v>
      </c>
      <c r="BO12" s="3">
        <v>500000</v>
      </c>
      <c r="BP12" s="3" t="s">
        <v>2922</v>
      </c>
      <c r="BQ12" s="3">
        <v>500000</v>
      </c>
      <c r="BR12" s="3">
        <v>1000000</v>
      </c>
      <c r="BS12">
        <v>1000000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 t="s">
        <v>2942</v>
      </c>
      <c r="CA12" t="s">
        <v>2006</v>
      </c>
      <c r="CB12" t="s">
        <v>2006</v>
      </c>
    </row>
    <row r="13" spans="1:80" x14ac:dyDescent="0.25">
      <c r="A13">
        <v>11</v>
      </c>
      <c r="B13" t="s">
        <v>2030</v>
      </c>
      <c r="C13" s="1">
        <v>44882</v>
      </c>
      <c r="D13" s="2">
        <v>33</v>
      </c>
      <c r="E13" t="s">
        <v>4</v>
      </c>
      <c r="F13" t="s">
        <v>1311</v>
      </c>
      <c r="G13">
        <v>1</v>
      </c>
      <c r="H13" s="3">
        <v>4000000</v>
      </c>
      <c r="I13" s="3">
        <v>300000</v>
      </c>
      <c r="J13" s="3">
        <v>0</v>
      </c>
      <c r="K13" s="3">
        <v>0</v>
      </c>
      <c r="L13" s="3" t="s">
        <v>1191</v>
      </c>
      <c r="M13">
        <v>2017518</v>
      </c>
      <c r="N13" t="s">
        <v>129</v>
      </c>
      <c r="P13" t="s">
        <v>130</v>
      </c>
      <c r="Q13" t="s">
        <v>17</v>
      </c>
      <c r="R13">
        <v>29482</v>
      </c>
      <c r="S13" t="s">
        <v>31</v>
      </c>
      <c r="T13" t="s">
        <v>969</v>
      </c>
      <c r="U13">
        <v>1</v>
      </c>
      <c r="V13" t="s">
        <v>992</v>
      </c>
      <c r="W13" t="s">
        <v>1194</v>
      </c>
      <c r="X13" t="s">
        <v>1309</v>
      </c>
      <c r="Y13">
        <v>25000</v>
      </c>
      <c r="Z13" s="2">
        <v>5</v>
      </c>
      <c r="AA13" s="2" t="s">
        <v>1238</v>
      </c>
      <c r="AB13" t="s">
        <v>1238</v>
      </c>
      <c r="AC13">
        <v>925</v>
      </c>
      <c r="AD13" t="s">
        <v>1279</v>
      </c>
      <c r="AE13">
        <v>1</v>
      </c>
      <c r="AF13" t="s">
        <v>1291</v>
      </c>
      <c r="AG13">
        <v>0</v>
      </c>
      <c r="AH13">
        <v>0</v>
      </c>
      <c r="AI13">
        <v>0</v>
      </c>
      <c r="AJ13">
        <v>2022</v>
      </c>
      <c r="AK13" t="s">
        <v>1194</v>
      </c>
      <c r="AL13" t="s">
        <v>1194</v>
      </c>
      <c r="AM13" s="4" t="s">
        <v>1238</v>
      </c>
      <c r="AN13">
        <v>1</v>
      </c>
      <c r="AO13" t="s">
        <v>1315</v>
      </c>
      <c r="AP13">
        <f t="shared" si="0"/>
        <v>0</v>
      </c>
      <c r="AQ13">
        <v>0</v>
      </c>
      <c r="AR13" t="s">
        <v>1993</v>
      </c>
      <c r="AS13" t="s">
        <v>1995</v>
      </c>
      <c r="AT13" t="s">
        <v>1995</v>
      </c>
      <c r="AU13" t="s">
        <v>1995</v>
      </c>
      <c r="AV13" t="s">
        <v>1995</v>
      </c>
      <c r="AW13" t="s">
        <v>1996</v>
      </c>
      <c r="AX13" t="s">
        <v>2006</v>
      </c>
      <c r="AY13" t="s">
        <v>1996</v>
      </c>
      <c r="AZ13">
        <v>4760</v>
      </c>
      <c r="BA13" t="s">
        <v>1194</v>
      </c>
      <c r="BB13" t="s">
        <v>1194</v>
      </c>
      <c r="BC13" s="3">
        <v>4932.4237000000003</v>
      </c>
      <c r="BD13" s="3">
        <v>13468.06</v>
      </c>
      <c r="BE13" s="3">
        <v>0</v>
      </c>
      <c r="BF13" s="3">
        <v>0</v>
      </c>
      <c r="BG13" s="3">
        <v>150</v>
      </c>
      <c r="BH13" s="3">
        <v>0</v>
      </c>
      <c r="BI13" s="3">
        <v>8540</v>
      </c>
      <c r="BJ13" s="3">
        <v>27090</v>
      </c>
      <c r="BK13" s="3">
        <v>150</v>
      </c>
      <c r="BL13" s="3">
        <v>27240</v>
      </c>
      <c r="BM13" s="2">
        <f t="shared" ca="1" si="1"/>
        <v>6</v>
      </c>
      <c r="BN13" s="3">
        <v>2000000</v>
      </c>
      <c r="BO13" s="3">
        <v>50000</v>
      </c>
      <c r="BP13" s="3">
        <v>100000</v>
      </c>
      <c r="BQ13" s="3">
        <v>500000</v>
      </c>
      <c r="BR13" s="3">
        <v>250000</v>
      </c>
      <c r="BS13">
        <v>500000</v>
      </c>
      <c r="BT13">
        <v>0</v>
      </c>
      <c r="BU13">
        <v>0</v>
      </c>
      <c r="BV13">
        <v>0</v>
      </c>
      <c r="BW13">
        <v>0</v>
      </c>
      <c r="BX13">
        <v>1</v>
      </c>
      <c r="BY13">
        <v>0</v>
      </c>
      <c r="BZ13" t="s">
        <v>2943</v>
      </c>
      <c r="CA13" t="s">
        <v>2944</v>
      </c>
      <c r="CB13" t="s">
        <v>2945</v>
      </c>
    </row>
    <row r="14" spans="1:80" x14ac:dyDescent="0.25">
      <c r="A14">
        <v>12</v>
      </c>
      <c r="B14" t="s">
        <v>2031</v>
      </c>
      <c r="C14" s="1">
        <v>44816</v>
      </c>
      <c r="D14" s="2">
        <v>27</v>
      </c>
      <c r="E14" t="s">
        <v>4</v>
      </c>
      <c r="F14" t="s">
        <v>1311</v>
      </c>
      <c r="G14">
        <v>1</v>
      </c>
      <c r="H14" s="3">
        <v>1400000</v>
      </c>
      <c r="I14" s="3">
        <v>184400</v>
      </c>
      <c r="J14" s="3">
        <v>250000</v>
      </c>
      <c r="K14" s="3">
        <v>0</v>
      </c>
      <c r="L14" s="3" t="s">
        <v>1191</v>
      </c>
      <c r="M14">
        <v>1645092</v>
      </c>
      <c r="N14" t="s">
        <v>131</v>
      </c>
      <c r="P14" t="s">
        <v>132</v>
      </c>
      <c r="Q14" t="s">
        <v>16</v>
      </c>
      <c r="R14">
        <v>8247</v>
      </c>
      <c r="S14" t="s">
        <v>32</v>
      </c>
      <c r="T14" t="s">
        <v>970</v>
      </c>
      <c r="U14">
        <v>0</v>
      </c>
      <c r="V14" t="s">
        <v>993</v>
      </c>
      <c r="W14" t="s">
        <v>1194</v>
      </c>
      <c r="X14" t="s">
        <v>973</v>
      </c>
      <c r="Y14">
        <v>10000</v>
      </c>
      <c r="Z14" s="2">
        <v>2</v>
      </c>
      <c r="AA14" s="2" t="s">
        <v>1238</v>
      </c>
      <c r="AB14" t="s">
        <v>1238</v>
      </c>
      <c r="AC14">
        <v>713</v>
      </c>
      <c r="AD14" t="s">
        <v>1279</v>
      </c>
      <c r="AE14">
        <v>3</v>
      </c>
      <c r="AF14" t="s">
        <v>1291</v>
      </c>
      <c r="AG14">
        <v>0</v>
      </c>
      <c r="AH14">
        <v>0</v>
      </c>
      <c r="AI14">
        <v>0</v>
      </c>
      <c r="AJ14">
        <v>2001</v>
      </c>
      <c r="AK14" t="s">
        <v>1194</v>
      </c>
      <c r="AL14" t="s">
        <v>1194</v>
      </c>
      <c r="AM14" s="4" t="s">
        <v>1238</v>
      </c>
      <c r="AN14">
        <v>1</v>
      </c>
      <c r="AO14" t="s">
        <v>1315</v>
      </c>
      <c r="AP14">
        <f t="shared" si="0"/>
        <v>0</v>
      </c>
      <c r="AQ14">
        <v>0</v>
      </c>
      <c r="AR14" t="s">
        <v>1993</v>
      </c>
      <c r="AS14" t="s">
        <v>1996</v>
      </c>
      <c r="AT14" t="s">
        <v>1996</v>
      </c>
      <c r="AU14" t="s">
        <v>1996</v>
      </c>
      <c r="AV14" t="s">
        <v>1996</v>
      </c>
      <c r="AW14" t="s">
        <v>1995</v>
      </c>
      <c r="AX14" t="s">
        <v>2003</v>
      </c>
      <c r="AY14" t="s">
        <v>1996</v>
      </c>
      <c r="AZ14">
        <v>3180</v>
      </c>
      <c r="BA14" t="s">
        <v>1194</v>
      </c>
      <c r="BB14" t="s">
        <v>1194</v>
      </c>
      <c r="BC14" s="3">
        <v>4882.0340999999999</v>
      </c>
      <c r="BD14" s="3">
        <v>4390.34</v>
      </c>
      <c r="BE14" s="3">
        <v>0</v>
      </c>
      <c r="BF14" s="3">
        <v>0</v>
      </c>
      <c r="BG14" s="3">
        <v>150</v>
      </c>
      <c r="BH14" s="3">
        <v>0</v>
      </c>
      <c r="BI14" s="3">
        <v>1934</v>
      </c>
      <c r="BJ14" s="3">
        <v>11356</v>
      </c>
      <c r="BK14" s="3">
        <v>200</v>
      </c>
      <c r="BL14" s="3">
        <v>11556</v>
      </c>
      <c r="BM14" s="2">
        <f t="shared" ca="1" si="1"/>
        <v>2</v>
      </c>
      <c r="BN14" s="3">
        <v>250000</v>
      </c>
      <c r="BO14" s="3">
        <v>1000000</v>
      </c>
      <c r="BP14" s="3" t="s">
        <v>2922</v>
      </c>
      <c r="BQ14" s="3">
        <v>50000</v>
      </c>
      <c r="BR14" s="3">
        <v>1000000</v>
      </c>
      <c r="BS14">
        <v>250000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 t="s">
        <v>2938</v>
      </c>
      <c r="CA14" t="s">
        <v>2006</v>
      </c>
      <c r="CB14" t="s">
        <v>2945</v>
      </c>
    </row>
    <row r="15" spans="1:80" x14ac:dyDescent="0.25">
      <c r="A15">
        <v>13</v>
      </c>
      <c r="B15" t="s">
        <v>2032</v>
      </c>
      <c r="C15" s="1">
        <v>44812</v>
      </c>
      <c r="D15" s="2">
        <v>27</v>
      </c>
      <c r="E15" t="s">
        <v>4</v>
      </c>
      <c r="F15" t="s">
        <v>1311</v>
      </c>
      <c r="G15">
        <v>0</v>
      </c>
      <c r="H15" s="3">
        <v>5250000</v>
      </c>
      <c r="I15" s="3">
        <v>50000</v>
      </c>
      <c r="J15" s="3">
        <v>0</v>
      </c>
      <c r="K15" s="3">
        <v>0</v>
      </c>
      <c r="L15" s="3" t="s">
        <v>1191</v>
      </c>
      <c r="M15">
        <v>23867</v>
      </c>
      <c r="N15" t="s">
        <v>133</v>
      </c>
      <c r="P15" t="s">
        <v>134</v>
      </c>
      <c r="Q15" t="s">
        <v>17</v>
      </c>
      <c r="R15">
        <v>29455</v>
      </c>
      <c r="S15" t="s">
        <v>31</v>
      </c>
      <c r="T15" t="s">
        <v>971</v>
      </c>
      <c r="U15">
        <v>0</v>
      </c>
      <c r="V15" t="s">
        <v>994</v>
      </c>
      <c r="W15" t="s">
        <v>1194</v>
      </c>
      <c r="X15" t="s">
        <v>973</v>
      </c>
      <c r="Y15">
        <v>25000</v>
      </c>
      <c r="Z15" s="2">
        <v>5</v>
      </c>
      <c r="AA15" s="2" t="s">
        <v>1238</v>
      </c>
      <c r="AB15" t="s">
        <v>1238</v>
      </c>
      <c r="AC15">
        <v>861</v>
      </c>
      <c r="AD15" t="s">
        <v>1279</v>
      </c>
      <c r="AE15">
        <v>2</v>
      </c>
      <c r="AF15" t="s">
        <v>1291</v>
      </c>
      <c r="AG15">
        <v>0</v>
      </c>
      <c r="AH15">
        <v>0</v>
      </c>
      <c r="AI15">
        <v>0</v>
      </c>
      <c r="AJ15">
        <v>2009</v>
      </c>
      <c r="AK15" t="s">
        <v>1194</v>
      </c>
      <c r="AL15" t="s">
        <v>1194</v>
      </c>
      <c r="AM15" s="4" t="s">
        <v>1238</v>
      </c>
      <c r="AN15">
        <v>1</v>
      </c>
      <c r="AO15" t="s">
        <v>1316</v>
      </c>
      <c r="AP15">
        <f t="shared" si="0"/>
        <v>0</v>
      </c>
      <c r="AQ15">
        <v>1</v>
      </c>
      <c r="AR15" t="s">
        <v>1992</v>
      </c>
      <c r="AS15" t="s">
        <v>1995</v>
      </c>
      <c r="AT15" t="s">
        <v>1996</v>
      </c>
      <c r="AU15" t="s">
        <v>1995</v>
      </c>
      <c r="AV15" t="s">
        <v>1995</v>
      </c>
      <c r="AW15" t="s">
        <v>1995</v>
      </c>
      <c r="AX15" t="s">
        <v>2007</v>
      </c>
      <c r="AY15" t="s">
        <v>1995</v>
      </c>
      <c r="AZ15">
        <v>6100</v>
      </c>
      <c r="BA15" t="s">
        <v>1194</v>
      </c>
      <c r="BB15" t="s">
        <v>1194</v>
      </c>
      <c r="BC15" s="3">
        <v>7506.4058999999997</v>
      </c>
      <c r="BD15" s="3">
        <v>18842.62</v>
      </c>
      <c r="BE15" s="3">
        <v>0</v>
      </c>
      <c r="BF15" s="3">
        <v>0</v>
      </c>
      <c r="BG15" s="3">
        <v>150</v>
      </c>
      <c r="BH15" s="3">
        <v>0</v>
      </c>
      <c r="BI15" s="3">
        <v>9011</v>
      </c>
      <c r="BJ15" s="3">
        <v>35510</v>
      </c>
      <c r="BK15" s="3">
        <v>0</v>
      </c>
      <c r="BL15" s="3">
        <v>35510</v>
      </c>
      <c r="BM15" s="2">
        <f t="shared" ca="1" si="1"/>
        <v>4</v>
      </c>
      <c r="BN15" s="3">
        <v>100000</v>
      </c>
      <c r="BO15" s="3">
        <v>250000</v>
      </c>
      <c r="BP15" s="3">
        <v>100000</v>
      </c>
      <c r="BQ15" s="3">
        <v>1000000</v>
      </c>
      <c r="BR15" s="3">
        <v>500000</v>
      </c>
      <c r="BS15">
        <v>100000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 t="s">
        <v>2943</v>
      </c>
      <c r="CA15" t="s">
        <v>2006</v>
      </c>
      <c r="CB15" t="s">
        <v>2945</v>
      </c>
    </row>
    <row r="16" spans="1:80" x14ac:dyDescent="0.25">
      <c r="A16">
        <v>14</v>
      </c>
      <c r="B16" t="s">
        <v>2033</v>
      </c>
      <c r="C16" s="1">
        <v>44963</v>
      </c>
      <c r="D16" s="2">
        <v>6</v>
      </c>
      <c r="E16" t="s">
        <v>4</v>
      </c>
      <c r="F16" t="s">
        <v>1310</v>
      </c>
      <c r="G16">
        <v>0</v>
      </c>
      <c r="H16" s="3">
        <v>0</v>
      </c>
      <c r="I16" s="3">
        <v>0</v>
      </c>
      <c r="J16" s="3">
        <v>2530000</v>
      </c>
      <c r="K16" s="3">
        <v>0</v>
      </c>
      <c r="L16" s="3" t="s">
        <v>1192</v>
      </c>
      <c r="M16">
        <v>1904191</v>
      </c>
      <c r="N16" t="s">
        <v>135</v>
      </c>
      <c r="O16" t="s">
        <v>136</v>
      </c>
      <c r="P16" t="s">
        <v>119</v>
      </c>
      <c r="Q16" t="s">
        <v>15</v>
      </c>
      <c r="R16">
        <v>33432</v>
      </c>
      <c r="S16" t="s">
        <v>27</v>
      </c>
      <c r="T16" t="s">
        <v>967</v>
      </c>
      <c r="U16">
        <v>1</v>
      </c>
      <c r="V16" t="s">
        <v>989</v>
      </c>
      <c r="W16" t="s">
        <v>1194</v>
      </c>
      <c r="X16" t="s">
        <v>1309</v>
      </c>
      <c r="Y16">
        <v>10000</v>
      </c>
      <c r="Z16" s="2">
        <v>10</v>
      </c>
      <c r="AA16" s="2" t="s">
        <v>1238</v>
      </c>
      <c r="AB16" t="s">
        <v>1238</v>
      </c>
      <c r="AC16">
        <v>781</v>
      </c>
      <c r="AD16" t="s">
        <v>1282</v>
      </c>
      <c r="AE16">
        <v>1</v>
      </c>
      <c r="AF16" t="s">
        <v>1290</v>
      </c>
      <c r="AG16">
        <v>0</v>
      </c>
      <c r="AH16">
        <v>0</v>
      </c>
      <c r="AI16">
        <v>0</v>
      </c>
      <c r="AJ16">
        <v>1994</v>
      </c>
      <c r="AK16" t="s">
        <v>1194</v>
      </c>
      <c r="AL16">
        <v>2016</v>
      </c>
      <c r="AM16" s="4" t="s">
        <v>1306</v>
      </c>
      <c r="AN16">
        <v>1</v>
      </c>
      <c r="AO16" t="s">
        <v>1316</v>
      </c>
      <c r="AP16">
        <f t="shared" si="0"/>
        <v>0</v>
      </c>
      <c r="AQ16">
        <v>1</v>
      </c>
      <c r="AR16" t="s">
        <v>1992</v>
      </c>
      <c r="AS16" t="s">
        <v>1996</v>
      </c>
      <c r="AT16" t="s">
        <v>1995</v>
      </c>
      <c r="AU16" t="s">
        <v>1996</v>
      </c>
      <c r="AV16" t="s">
        <v>1995</v>
      </c>
      <c r="AW16" t="s">
        <v>1996</v>
      </c>
      <c r="AX16" t="s">
        <v>2007</v>
      </c>
      <c r="AY16" t="s">
        <v>1995</v>
      </c>
      <c r="AZ16">
        <v>4747</v>
      </c>
      <c r="BA16" t="s">
        <v>1194</v>
      </c>
      <c r="BB16" t="s">
        <v>1194</v>
      </c>
      <c r="BC16" s="3">
        <v>4560.0981000000002</v>
      </c>
      <c r="BD16" s="3">
        <v>12244.12</v>
      </c>
      <c r="BE16" s="3">
        <v>0</v>
      </c>
      <c r="BF16" s="3">
        <v>0</v>
      </c>
      <c r="BG16" s="3">
        <v>300</v>
      </c>
      <c r="BH16" s="3">
        <v>0</v>
      </c>
      <c r="BI16" s="3">
        <v>30333</v>
      </c>
      <c r="BJ16" s="3">
        <v>47437</v>
      </c>
      <c r="BK16" s="3">
        <v>0</v>
      </c>
      <c r="BL16" s="3">
        <v>47437</v>
      </c>
      <c r="BM16" s="2">
        <f t="shared" ca="1" si="1"/>
        <v>4</v>
      </c>
      <c r="BN16" s="3">
        <v>100000</v>
      </c>
      <c r="BO16" s="3">
        <v>25000</v>
      </c>
      <c r="BP16" s="3">
        <v>50000</v>
      </c>
      <c r="BQ16" s="3">
        <v>500000</v>
      </c>
      <c r="BR16" s="3">
        <v>100000</v>
      </c>
      <c r="BS16">
        <v>250000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 t="s">
        <v>2938</v>
      </c>
      <c r="CA16" t="s">
        <v>2939</v>
      </c>
      <c r="CB16" t="s">
        <v>2946</v>
      </c>
    </row>
    <row r="17" spans="1:80" x14ac:dyDescent="0.25">
      <c r="A17">
        <v>15</v>
      </c>
      <c r="B17" t="s">
        <v>2034</v>
      </c>
      <c r="C17" s="1">
        <v>44840</v>
      </c>
      <c r="D17" s="2">
        <v>30</v>
      </c>
      <c r="E17" t="s">
        <v>4</v>
      </c>
      <c r="F17" t="s">
        <v>1311</v>
      </c>
      <c r="G17">
        <v>0</v>
      </c>
      <c r="H17" s="3">
        <v>2000000</v>
      </c>
      <c r="I17" s="3">
        <v>190000</v>
      </c>
      <c r="J17" s="3">
        <v>25000</v>
      </c>
      <c r="K17" s="3">
        <v>0</v>
      </c>
      <c r="L17" s="3" t="s">
        <v>1191</v>
      </c>
      <c r="M17">
        <v>1993374</v>
      </c>
      <c r="N17" t="s">
        <v>137</v>
      </c>
      <c r="P17" t="s">
        <v>138</v>
      </c>
      <c r="Q17" t="s">
        <v>15</v>
      </c>
      <c r="R17">
        <v>33179</v>
      </c>
      <c r="S17" t="s">
        <v>33</v>
      </c>
      <c r="T17" t="s">
        <v>972</v>
      </c>
      <c r="U17">
        <v>0</v>
      </c>
      <c r="V17" t="s">
        <v>995</v>
      </c>
      <c r="W17" t="s">
        <v>1194</v>
      </c>
      <c r="X17" t="s">
        <v>973</v>
      </c>
      <c r="Y17">
        <v>100000</v>
      </c>
      <c r="Z17" s="2">
        <v>5</v>
      </c>
      <c r="AA17" s="2" t="s">
        <v>1238</v>
      </c>
      <c r="AB17" t="s">
        <v>1238</v>
      </c>
      <c r="AC17">
        <v>839</v>
      </c>
      <c r="AD17" t="s">
        <v>1280</v>
      </c>
      <c r="AE17">
        <v>2</v>
      </c>
      <c r="AF17" t="s">
        <v>1290</v>
      </c>
      <c r="AG17">
        <v>0</v>
      </c>
      <c r="AH17">
        <v>0</v>
      </c>
      <c r="AI17">
        <v>0</v>
      </c>
      <c r="AJ17">
        <v>1968</v>
      </c>
      <c r="AK17">
        <v>1995</v>
      </c>
      <c r="AL17">
        <v>2022</v>
      </c>
      <c r="AM17" s="4" t="s">
        <v>1238</v>
      </c>
      <c r="AN17">
        <v>1</v>
      </c>
      <c r="AO17" t="s">
        <v>1316</v>
      </c>
      <c r="AP17">
        <f t="shared" si="0"/>
        <v>0</v>
      </c>
      <c r="AQ17">
        <v>0</v>
      </c>
      <c r="AR17" t="s">
        <v>1993</v>
      </c>
      <c r="AS17" t="s">
        <v>1996</v>
      </c>
      <c r="AT17" t="s">
        <v>1996</v>
      </c>
      <c r="AU17" t="s">
        <v>1995</v>
      </c>
      <c r="AV17" t="s">
        <v>1995</v>
      </c>
      <c r="AW17" t="s">
        <v>1995</v>
      </c>
      <c r="AX17" t="s">
        <v>2007</v>
      </c>
      <c r="AY17" t="s">
        <v>1995</v>
      </c>
      <c r="AZ17">
        <v>2765</v>
      </c>
      <c r="BA17" t="s">
        <v>1194</v>
      </c>
      <c r="BB17" t="s">
        <v>1194</v>
      </c>
      <c r="BC17" s="3">
        <v>4546.0240000000003</v>
      </c>
      <c r="BD17" s="3">
        <v>21059.61</v>
      </c>
      <c r="BE17" s="3">
        <v>0</v>
      </c>
      <c r="BF17" s="3">
        <v>0</v>
      </c>
      <c r="BG17" s="3">
        <v>0</v>
      </c>
      <c r="BH17" s="3">
        <v>0</v>
      </c>
      <c r="BI17" s="3">
        <v>13223</v>
      </c>
      <c r="BJ17" s="3">
        <v>38829</v>
      </c>
      <c r="BK17" s="3">
        <v>0</v>
      </c>
      <c r="BL17" s="3">
        <v>38829</v>
      </c>
      <c r="BM17" s="2">
        <f t="shared" ca="1" si="1"/>
        <v>1</v>
      </c>
      <c r="BN17" s="3">
        <v>500000</v>
      </c>
      <c r="BO17" s="3">
        <v>100000</v>
      </c>
      <c r="BP17" s="3">
        <v>100000</v>
      </c>
      <c r="BQ17" s="3">
        <v>500000</v>
      </c>
      <c r="BR17" s="3">
        <v>50000</v>
      </c>
      <c r="BS17">
        <v>50000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 t="s">
        <v>2938</v>
      </c>
      <c r="CA17" t="s">
        <v>2939</v>
      </c>
      <c r="CB17" t="s">
        <v>2946</v>
      </c>
    </row>
    <row r="18" spans="1:80" x14ac:dyDescent="0.25">
      <c r="A18">
        <v>16</v>
      </c>
      <c r="B18" t="s">
        <v>2035</v>
      </c>
      <c r="C18" s="1">
        <v>44788</v>
      </c>
      <c r="D18" s="2">
        <v>24</v>
      </c>
      <c r="E18" t="s">
        <v>4</v>
      </c>
      <c r="F18" t="s">
        <v>1311</v>
      </c>
      <c r="G18">
        <v>0</v>
      </c>
      <c r="H18" s="3">
        <v>2200000</v>
      </c>
      <c r="I18" s="3">
        <v>0</v>
      </c>
      <c r="J18" s="3">
        <v>0</v>
      </c>
      <c r="K18" s="3">
        <v>0</v>
      </c>
      <c r="L18" s="3" t="s">
        <v>1191</v>
      </c>
      <c r="M18">
        <v>1913825</v>
      </c>
      <c r="N18" t="s">
        <v>139</v>
      </c>
      <c r="P18" t="s">
        <v>140</v>
      </c>
      <c r="Q18" t="s">
        <v>15</v>
      </c>
      <c r="R18">
        <v>34202</v>
      </c>
      <c r="S18" t="s">
        <v>34</v>
      </c>
      <c r="T18" t="s">
        <v>965</v>
      </c>
      <c r="U18">
        <v>0</v>
      </c>
      <c r="V18" t="s">
        <v>996</v>
      </c>
      <c r="W18" t="s">
        <v>1194</v>
      </c>
      <c r="X18" t="s">
        <v>973</v>
      </c>
      <c r="Y18">
        <v>10000</v>
      </c>
      <c r="Z18" s="2">
        <v>5</v>
      </c>
      <c r="AA18" s="2" t="s">
        <v>1238</v>
      </c>
      <c r="AB18" t="s">
        <v>1238</v>
      </c>
      <c r="AC18">
        <v>941</v>
      </c>
      <c r="AD18" t="s">
        <v>1280</v>
      </c>
      <c r="AE18">
        <v>3</v>
      </c>
      <c r="AF18" t="s">
        <v>1290</v>
      </c>
      <c r="AG18">
        <v>0</v>
      </c>
      <c r="AH18">
        <v>0</v>
      </c>
      <c r="AI18">
        <v>0</v>
      </c>
      <c r="AJ18">
        <v>2022</v>
      </c>
      <c r="AK18" t="s">
        <v>1194</v>
      </c>
      <c r="AL18" t="s">
        <v>1194</v>
      </c>
      <c r="AM18" s="4" t="s">
        <v>1238</v>
      </c>
      <c r="AN18">
        <v>1</v>
      </c>
      <c r="AO18" t="s">
        <v>1317</v>
      </c>
      <c r="AP18">
        <f t="shared" si="0"/>
        <v>0</v>
      </c>
      <c r="AQ18">
        <v>1</v>
      </c>
      <c r="AR18" t="s">
        <v>1992</v>
      </c>
      <c r="AS18" t="s">
        <v>1996</v>
      </c>
      <c r="AT18" t="s">
        <v>1996</v>
      </c>
      <c r="AU18" t="s">
        <v>1995</v>
      </c>
      <c r="AV18" t="s">
        <v>1996</v>
      </c>
      <c r="AW18" t="s">
        <v>1996</v>
      </c>
      <c r="AX18" t="s">
        <v>2006</v>
      </c>
      <c r="AY18" t="s">
        <v>1996</v>
      </c>
      <c r="AZ18">
        <v>5520</v>
      </c>
      <c r="BA18" t="s">
        <v>1194</v>
      </c>
      <c r="BB18" t="s">
        <v>1194</v>
      </c>
      <c r="BC18" s="3">
        <v>3285.2662</v>
      </c>
      <c r="BD18" s="3">
        <v>3607.26</v>
      </c>
      <c r="BE18" s="3">
        <v>0</v>
      </c>
      <c r="BF18" s="3">
        <v>0</v>
      </c>
      <c r="BG18" s="3">
        <v>300</v>
      </c>
      <c r="BH18" s="3">
        <v>0</v>
      </c>
      <c r="BI18" s="3">
        <v>8496</v>
      </c>
      <c r="BJ18" s="3">
        <v>15689</v>
      </c>
      <c r="BK18" s="3">
        <v>0</v>
      </c>
      <c r="BL18" s="3">
        <v>15689</v>
      </c>
      <c r="BM18" s="2">
        <f t="shared" ca="1" si="1"/>
        <v>3</v>
      </c>
      <c r="BN18" s="3">
        <v>500000</v>
      </c>
      <c r="BO18" s="3">
        <v>100000</v>
      </c>
      <c r="BP18" s="3">
        <v>200000</v>
      </c>
      <c r="BQ18" s="3">
        <v>1000000</v>
      </c>
      <c r="BR18" s="3">
        <v>50000</v>
      </c>
      <c r="BS18" t="s">
        <v>2916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 t="s">
        <v>2940</v>
      </c>
      <c r="CA18" t="s">
        <v>2006</v>
      </c>
      <c r="CB18" t="s">
        <v>2941</v>
      </c>
    </row>
    <row r="19" spans="1:80" x14ac:dyDescent="0.25">
      <c r="A19">
        <v>17</v>
      </c>
      <c r="B19" t="s">
        <v>2036</v>
      </c>
      <c r="C19" s="1">
        <v>44710</v>
      </c>
      <c r="D19" s="2">
        <v>15</v>
      </c>
      <c r="E19" t="s">
        <v>4</v>
      </c>
      <c r="F19" t="s">
        <v>1311</v>
      </c>
      <c r="G19">
        <v>1</v>
      </c>
      <c r="H19" s="3">
        <v>5850000</v>
      </c>
      <c r="I19" s="3">
        <v>150000</v>
      </c>
      <c r="J19" s="3">
        <v>0</v>
      </c>
      <c r="K19" s="3">
        <v>0</v>
      </c>
      <c r="L19" s="3" t="s">
        <v>1191</v>
      </c>
      <c r="M19">
        <v>109612</v>
      </c>
      <c r="N19" t="s">
        <v>141</v>
      </c>
      <c r="P19" t="s">
        <v>29</v>
      </c>
      <c r="Q19" t="s">
        <v>14</v>
      </c>
      <c r="R19">
        <v>10014</v>
      </c>
      <c r="S19" t="s">
        <v>29</v>
      </c>
      <c r="T19" t="s">
        <v>962</v>
      </c>
      <c r="U19">
        <v>0</v>
      </c>
      <c r="V19" t="s">
        <v>997</v>
      </c>
      <c r="W19" t="s">
        <v>1194</v>
      </c>
      <c r="X19" t="s">
        <v>973</v>
      </c>
      <c r="Y19">
        <v>25000</v>
      </c>
      <c r="Z19" s="2">
        <v>2</v>
      </c>
      <c r="AA19" s="2" t="s">
        <v>1238</v>
      </c>
      <c r="AB19" t="s">
        <v>1238</v>
      </c>
      <c r="AC19">
        <v>731</v>
      </c>
      <c r="AD19" t="s">
        <v>1283</v>
      </c>
      <c r="AE19">
        <v>1</v>
      </c>
      <c r="AF19" t="s">
        <v>1290</v>
      </c>
      <c r="AG19">
        <v>0</v>
      </c>
      <c r="AH19">
        <v>0</v>
      </c>
      <c r="AI19">
        <v>0</v>
      </c>
      <c r="AJ19">
        <v>1856</v>
      </c>
      <c r="AK19" t="s">
        <v>1194</v>
      </c>
      <c r="AL19" t="s">
        <v>1194</v>
      </c>
      <c r="AM19" s="4" t="s">
        <v>1238</v>
      </c>
      <c r="AN19">
        <v>0</v>
      </c>
      <c r="AO19" t="s">
        <v>1316</v>
      </c>
      <c r="AP19">
        <f t="shared" si="0"/>
        <v>0</v>
      </c>
      <c r="AQ19">
        <v>1</v>
      </c>
      <c r="AR19" t="s">
        <v>1992</v>
      </c>
      <c r="AS19" t="s">
        <v>1995</v>
      </c>
      <c r="AT19" t="s">
        <v>1996</v>
      </c>
      <c r="AU19" t="s">
        <v>1996</v>
      </c>
      <c r="AV19" t="s">
        <v>1996</v>
      </c>
      <c r="AW19" t="s">
        <v>1995</v>
      </c>
      <c r="AX19" t="s">
        <v>2006</v>
      </c>
      <c r="AY19" t="s">
        <v>1996</v>
      </c>
      <c r="AZ19">
        <v>2296</v>
      </c>
      <c r="BA19" t="s">
        <v>1194</v>
      </c>
      <c r="BB19" t="s">
        <v>1194</v>
      </c>
      <c r="BC19" s="3">
        <v>23091.700700000001</v>
      </c>
      <c r="BD19" s="3">
        <v>5558.35</v>
      </c>
      <c r="BE19" s="3">
        <v>0</v>
      </c>
      <c r="BF19" s="3">
        <v>0</v>
      </c>
      <c r="BG19" s="3">
        <v>120</v>
      </c>
      <c r="BH19" s="3">
        <v>0</v>
      </c>
      <c r="BI19" s="3">
        <v>4630</v>
      </c>
      <c r="BJ19" s="3">
        <v>33400</v>
      </c>
      <c r="BK19" s="3">
        <v>0</v>
      </c>
      <c r="BL19" s="3">
        <v>33400</v>
      </c>
      <c r="BM19" s="2">
        <f t="shared" ca="1" si="1"/>
        <v>2</v>
      </c>
      <c r="BN19" s="3">
        <v>50000</v>
      </c>
      <c r="BO19" s="3">
        <v>100000</v>
      </c>
      <c r="BP19" s="3">
        <v>100000</v>
      </c>
      <c r="BQ19" s="3">
        <v>500000</v>
      </c>
      <c r="BR19" s="3">
        <v>50000</v>
      </c>
      <c r="BS19">
        <v>1000000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 t="s">
        <v>2942</v>
      </c>
      <c r="CA19" t="s">
        <v>2006</v>
      </c>
      <c r="CB19" t="s">
        <v>2946</v>
      </c>
    </row>
    <row r="20" spans="1:80" x14ac:dyDescent="0.25">
      <c r="A20">
        <v>18</v>
      </c>
      <c r="B20" t="s">
        <v>2037</v>
      </c>
      <c r="C20" s="1">
        <v>44860</v>
      </c>
      <c r="D20" s="2">
        <v>30</v>
      </c>
      <c r="E20" t="s">
        <v>4</v>
      </c>
      <c r="F20" t="s">
        <v>1311</v>
      </c>
      <c r="G20">
        <v>1</v>
      </c>
      <c r="H20" s="3">
        <v>0</v>
      </c>
      <c r="I20" s="3">
        <v>0</v>
      </c>
      <c r="J20" s="3">
        <v>7000000</v>
      </c>
      <c r="K20" s="3">
        <v>0</v>
      </c>
      <c r="L20" s="3" t="s">
        <v>1192</v>
      </c>
      <c r="M20">
        <v>1403936</v>
      </c>
      <c r="N20" t="s">
        <v>142</v>
      </c>
      <c r="O20" t="s">
        <v>143</v>
      </c>
      <c r="P20" t="s">
        <v>35</v>
      </c>
      <c r="Q20" t="s">
        <v>18</v>
      </c>
      <c r="R20">
        <v>75219</v>
      </c>
      <c r="S20" t="s">
        <v>35</v>
      </c>
      <c r="T20" t="s">
        <v>973</v>
      </c>
      <c r="U20">
        <v>0</v>
      </c>
      <c r="V20">
        <v>500</v>
      </c>
      <c r="W20" t="s">
        <v>1195</v>
      </c>
      <c r="X20" t="s">
        <v>973</v>
      </c>
      <c r="Y20">
        <v>25000</v>
      </c>
      <c r="Z20" s="2" t="s">
        <v>1194</v>
      </c>
      <c r="AA20" s="2">
        <v>0</v>
      </c>
      <c r="AB20" t="s">
        <v>1238</v>
      </c>
      <c r="AC20">
        <v>888</v>
      </c>
      <c r="AD20" t="s">
        <v>1282</v>
      </c>
      <c r="AE20">
        <v>1</v>
      </c>
      <c r="AF20" t="s">
        <v>1290</v>
      </c>
      <c r="AG20">
        <v>0</v>
      </c>
      <c r="AH20">
        <v>0</v>
      </c>
      <c r="AI20">
        <v>0</v>
      </c>
      <c r="AJ20">
        <v>1992</v>
      </c>
      <c r="AK20" t="s">
        <v>1194</v>
      </c>
      <c r="AL20">
        <v>2013</v>
      </c>
      <c r="AM20" s="4" t="s">
        <v>1238</v>
      </c>
      <c r="AN20">
        <v>0</v>
      </c>
      <c r="AO20" t="s">
        <v>1317</v>
      </c>
      <c r="AP20">
        <f t="shared" si="0"/>
        <v>0</v>
      </c>
      <c r="AQ20">
        <v>0</v>
      </c>
      <c r="AR20" t="s">
        <v>1993</v>
      </c>
      <c r="AS20" t="s">
        <v>1996</v>
      </c>
      <c r="AT20" t="s">
        <v>1995</v>
      </c>
      <c r="AU20" t="s">
        <v>1996</v>
      </c>
      <c r="AV20" t="s">
        <v>1996</v>
      </c>
      <c r="AW20" t="s">
        <v>1996</v>
      </c>
      <c r="AX20" t="s">
        <v>2003</v>
      </c>
      <c r="AY20" t="s">
        <v>1996</v>
      </c>
      <c r="AZ20">
        <v>9638</v>
      </c>
      <c r="BA20" t="s">
        <v>1194</v>
      </c>
      <c r="BB20" t="s">
        <v>1194</v>
      </c>
      <c r="BC20" s="3">
        <v>18955.5612</v>
      </c>
      <c r="BD20" s="3">
        <v>7597.98</v>
      </c>
      <c r="BE20" s="3">
        <v>0</v>
      </c>
      <c r="BF20" s="3">
        <v>0</v>
      </c>
      <c r="BG20" s="3">
        <v>150</v>
      </c>
      <c r="BH20" s="3">
        <v>0</v>
      </c>
      <c r="BI20" s="3">
        <v>13196</v>
      </c>
      <c r="BJ20" s="3">
        <v>39900</v>
      </c>
      <c r="BK20" s="3">
        <v>0</v>
      </c>
      <c r="BL20" s="3">
        <v>39900</v>
      </c>
      <c r="BM20" s="2">
        <f t="shared" ca="1" si="1"/>
        <v>1</v>
      </c>
      <c r="BN20" s="3">
        <v>500000</v>
      </c>
      <c r="BO20" s="3">
        <v>50000</v>
      </c>
      <c r="BP20" s="3">
        <v>50000</v>
      </c>
      <c r="BQ20" s="3">
        <v>50000</v>
      </c>
      <c r="BR20" s="3">
        <v>500000</v>
      </c>
      <c r="BS20">
        <v>250000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 t="s">
        <v>2940</v>
      </c>
      <c r="CA20" t="s">
        <v>2939</v>
      </c>
      <c r="CB20" t="s">
        <v>2941</v>
      </c>
    </row>
    <row r="21" spans="1:80" x14ac:dyDescent="0.25">
      <c r="A21">
        <v>19</v>
      </c>
      <c r="B21" t="s">
        <v>2038</v>
      </c>
      <c r="C21" s="1">
        <v>44896</v>
      </c>
      <c r="D21" s="2">
        <v>36</v>
      </c>
      <c r="E21" t="s">
        <v>4</v>
      </c>
      <c r="F21" t="s">
        <v>1311</v>
      </c>
      <c r="G21">
        <v>0</v>
      </c>
      <c r="H21" s="3">
        <v>3050000</v>
      </c>
      <c r="I21" s="3">
        <v>450000</v>
      </c>
      <c r="J21" s="3">
        <v>0</v>
      </c>
      <c r="K21" s="3">
        <v>0</v>
      </c>
      <c r="L21" s="3" t="s">
        <v>1191</v>
      </c>
      <c r="M21">
        <v>1630661</v>
      </c>
      <c r="N21" t="s">
        <v>144</v>
      </c>
      <c r="P21" t="s">
        <v>117</v>
      </c>
      <c r="Q21" t="s">
        <v>14</v>
      </c>
      <c r="R21">
        <v>11959</v>
      </c>
      <c r="S21" t="s">
        <v>26</v>
      </c>
      <c r="T21" t="s">
        <v>970</v>
      </c>
      <c r="U21">
        <v>0</v>
      </c>
      <c r="V21" t="s">
        <v>998</v>
      </c>
      <c r="W21" t="s">
        <v>1194</v>
      </c>
      <c r="X21" t="s">
        <v>973</v>
      </c>
      <c r="Y21">
        <v>10000</v>
      </c>
      <c r="Z21" s="2">
        <v>10</v>
      </c>
      <c r="AA21" s="2" t="s">
        <v>1238</v>
      </c>
      <c r="AB21" t="s">
        <v>1238</v>
      </c>
      <c r="AC21">
        <v>818</v>
      </c>
      <c r="AD21" t="s">
        <v>1279</v>
      </c>
      <c r="AE21">
        <v>4</v>
      </c>
      <c r="AF21" t="s">
        <v>1290</v>
      </c>
      <c r="AG21">
        <v>0</v>
      </c>
      <c r="AH21">
        <v>0</v>
      </c>
      <c r="AI21">
        <v>0</v>
      </c>
      <c r="AJ21">
        <v>2001</v>
      </c>
      <c r="AK21" t="s">
        <v>1194</v>
      </c>
      <c r="AL21" t="s">
        <v>1194</v>
      </c>
      <c r="AM21" s="4" t="s">
        <v>1238</v>
      </c>
      <c r="AN21">
        <v>1</v>
      </c>
      <c r="AO21" t="s">
        <v>1315</v>
      </c>
      <c r="AP21">
        <f t="shared" si="0"/>
        <v>0</v>
      </c>
      <c r="AQ21">
        <v>1</v>
      </c>
      <c r="AR21" t="s">
        <v>1992</v>
      </c>
      <c r="AS21" t="s">
        <v>1995</v>
      </c>
      <c r="AT21" t="s">
        <v>1996</v>
      </c>
      <c r="AU21" t="s">
        <v>1995</v>
      </c>
      <c r="AV21" t="s">
        <v>1995</v>
      </c>
      <c r="AW21" t="s">
        <v>1996</v>
      </c>
      <c r="AX21" t="s">
        <v>2006</v>
      </c>
      <c r="AY21" t="s">
        <v>1996</v>
      </c>
      <c r="AZ21">
        <v>3800</v>
      </c>
      <c r="BA21" t="s">
        <v>1194</v>
      </c>
      <c r="BB21" t="s">
        <v>1194</v>
      </c>
      <c r="BC21" s="3">
        <v>10975.6222</v>
      </c>
      <c r="BD21" s="3">
        <v>8926.2000000000007</v>
      </c>
      <c r="BE21" s="3">
        <v>0</v>
      </c>
      <c r="BF21" s="3">
        <v>0</v>
      </c>
      <c r="BG21" s="3">
        <v>150</v>
      </c>
      <c r="BH21" s="3">
        <v>0</v>
      </c>
      <c r="BI21" s="3">
        <v>7211</v>
      </c>
      <c r="BJ21" s="3">
        <v>27263</v>
      </c>
      <c r="BK21" s="3">
        <v>300</v>
      </c>
      <c r="BL21" s="3">
        <v>27563</v>
      </c>
      <c r="BM21" s="2">
        <f t="shared" ca="1" si="1"/>
        <v>2</v>
      </c>
      <c r="BN21" s="3">
        <v>1000000</v>
      </c>
      <c r="BO21" s="3">
        <v>25000</v>
      </c>
      <c r="BP21" s="3">
        <v>100000</v>
      </c>
      <c r="BQ21" s="3">
        <v>50000</v>
      </c>
      <c r="BR21" s="3">
        <v>50000</v>
      </c>
      <c r="BS21">
        <v>2000000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 t="s">
        <v>2947</v>
      </c>
      <c r="CA21" t="s">
        <v>2006</v>
      </c>
      <c r="CB21" t="s">
        <v>2945</v>
      </c>
    </row>
    <row r="22" spans="1:80" x14ac:dyDescent="0.25">
      <c r="A22">
        <v>20</v>
      </c>
      <c r="B22" t="s">
        <v>2039</v>
      </c>
      <c r="C22" s="1">
        <v>44833</v>
      </c>
      <c r="D22" s="2">
        <v>27</v>
      </c>
      <c r="E22" t="s">
        <v>4</v>
      </c>
      <c r="F22" t="s">
        <v>1311</v>
      </c>
      <c r="G22">
        <v>0</v>
      </c>
      <c r="H22" s="3">
        <v>0</v>
      </c>
      <c r="I22" s="3">
        <v>0</v>
      </c>
      <c r="J22" s="3">
        <v>3000000</v>
      </c>
      <c r="K22" s="3">
        <v>0</v>
      </c>
      <c r="L22" s="3" t="s">
        <v>1192</v>
      </c>
      <c r="M22">
        <v>1995683</v>
      </c>
      <c r="N22" t="s">
        <v>145</v>
      </c>
      <c r="O22" t="s">
        <v>146</v>
      </c>
      <c r="P22" t="s">
        <v>29</v>
      </c>
      <c r="Q22" t="s">
        <v>14</v>
      </c>
      <c r="R22">
        <v>10075</v>
      </c>
      <c r="S22" t="s">
        <v>29</v>
      </c>
      <c r="T22" t="s">
        <v>968</v>
      </c>
      <c r="U22">
        <v>0</v>
      </c>
      <c r="V22" t="s">
        <v>999</v>
      </c>
      <c r="W22" t="s">
        <v>1194</v>
      </c>
      <c r="X22" t="s">
        <v>973</v>
      </c>
      <c r="Y22">
        <v>25000</v>
      </c>
      <c r="Z22" s="2">
        <v>1</v>
      </c>
      <c r="AA22" s="2" t="s">
        <v>1238</v>
      </c>
      <c r="AB22" t="s">
        <v>1238</v>
      </c>
      <c r="AC22">
        <v>717</v>
      </c>
      <c r="AD22" t="s">
        <v>1281</v>
      </c>
      <c r="AE22">
        <v>1</v>
      </c>
      <c r="AF22" t="s">
        <v>1290</v>
      </c>
      <c r="AG22">
        <v>0</v>
      </c>
      <c r="AH22">
        <v>0</v>
      </c>
      <c r="AI22">
        <v>0</v>
      </c>
      <c r="AJ22">
        <v>1930</v>
      </c>
      <c r="AK22">
        <v>2022</v>
      </c>
      <c r="AL22">
        <v>2005</v>
      </c>
      <c r="AM22" s="4" t="s">
        <v>1238</v>
      </c>
      <c r="AN22">
        <v>0</v>
      </c>
      <c r="AO22" t="s">
        <v>1317</v>
      </c>
      <c r="AP22">
        <f t="shared" si="0"/>
        <v>0</v>
      </c>
      <c r="AQ22">
        <v>0</v>
      </c>
      <c r="AR22" t="s">
        <v>1993</v>
      </c>
      <c r="AS22" t="s">
        <v>1996</v>
      </c>
      <c r="AT22" t="s">
        <v>1995</v>
      </c>
      <c r="AU22" t="s">
        <v>1996</v>
      </c>
      <c r="AV22" t="s">
        <v>1996</v>
      </c>
      <c r="AW22" t="s">
        <v>1995</v>
      </c>
      <c r="AX22" t="s">
        <v>2006</v>
      </c>
      <c r="AY22" t="s">
        <v>1996</v>
      </c>
      <c r="AZ22">
        <v>3500</v>
      </c>
      <c r="BA22" t="s">
        <v>1194</v>
      </c>
      <c r="BB22" t="s">
        <v>1194</v>
      </c>
      <c r="BC22" s="3">
        <v>10225.5525</v>
      </c>
      <c r="BD22" s="3">
        <v>2556.3200000000002</v>
      </c>
      <c r="BE22" s="3">
        <v>0</v>
      </c>
      <c r="BF22" s="3">
        <v>0</v>
      </c>
      <c r="BG22" s="3">
        <v>0</v>
      </c>
      <c r="BH22" s="3">
        <v>0</v>
      </c>
      <c r="BI22" s="3">
        <v>4468</v>
      </c>
      <c r="BJ22" s="3">
        <v>17250</v>
      </c>
      <c r="BK22" s="3">
        <v>0</v>
      </c>
      <c r="BL22" s="3">
        <v>17250</v>
      </c>
      <c r="BM22" s="2">
        <f t="shared" ca="1" si="1"/>
        <v>0</v>
      </c>
      <c r="BN22" s="3">
        <v>2000000</v>
      </c>
      <c r="BO22" s="3">
        <v>500000</v>
      </c>
      <c r="BP22" s="3">
        <v>50000</v>
      </c>
      <c r="BQ22" s="3">
        <v>250000</v>
      </c>
      <c r="BR22" s="3">
        <v>100000</v>
      </c>
      <c r="BS22">
        <v>250000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 t="s">
        <v>2942</v>
      </c>
      <c r="CA22" t="s">
        <v>2006</v>
      </c>
      <c r="CB22" t="s">
        <v>2946</v>
      </c>
    </row>
    <row r="23" spans="1:80" x14ac:dyDescent="0.25">
      <c r="A23">
        <v>21</v>
      </c>
      <c r="B23" t="s">
        <v>2040</v>
      </c>
      <c r="C23" s="1">
        <v>44789</v>
      </c>
      <c r="D23" s="2">
        <v>24</v>
      </c>
      <c r="E23" t="s">
        <v>4</v>
      </c>
      <c r="F23" t="s">
        <v>1311</v>
      </c>
      <c r="G23">
        <v>0</v>
      </c>
      <c r="H23" s="3">
        <v>0</v>
      </c>
      <c r="I23" s="3">
        <v>0</v>
      </c>
      <c r="J23" s="3">
        <v>1044400</v>
      </c>
      <c r="K23" s="3">
        <v>0</v>
      </c>
      <c r="L23" s="3" t="s">
        <v>1192</v>
      </c>
      <c r="M23">
        <v>1899247</v>
      </c>
      <c r="N23" t="s">
        <v>147</v>
      </c>
      <c r="O23" t="s">
        <v>148</v>
      </c>
      <c r="P23" t="s">
        <v>29</v>
      </c>
      <c r="Q23" t="s">
        <v>14</v>
      </c>
      <c r="R23">
        <v>10028</v>
      </c>
      <c r="S23" t="s">
        <v>29</v>
      </c>
      <c r="T23" t="s">
        <v>968</v>
      </c>
      <c r="U23">
        <v>0</v>
      </c>
      <c r="V23" t="s">
        <v>1000</v>
      </c>
      <c r="W23" t="s">
        <v>1194</v>
      </c>
      <c r="X23" t="s">
        <v>973</v>
      </c>
      <c r="Y23">
        <v>10000</v>
      </c>
      <c r="Z23" s="2">
        <v>1</v>
      </c>
      <c r="AA23" s="2" t="s">
        <v>1238</v>
      </c>
      <c r="AB23" t="s">
        <v>1238</v>
      </c>
      <c r="AC23">
        <v>746</v>
      </c>
      <c r="AD23" t="s">
        <v>1281</v>
      </c>
      <c r="AE23">
        <v>1</v>
      </c>
      <c r="AF23" t="s">
        <v>1290</v>
      </c>
      <c r="AG23">
        <v>0</v>
      </c>
      <c r="AH23">
        <v>0</v>
      </c>
      <c r="AI23">
        <v>0</v>
      </c>
      <c r="AJ23">
        <v>1923</v>
      </c>
      <c r="AK23">
        <v>2022</v>
      </c>
      <c r="AL23" t="s">
        <v>1194</v>
      </c>
      <c r="AM23" s="4" t="s">
        <v>1238</v>
      </c>
      <c r="AN23">
        <v>0</v>
      </c>
      <c r="AO23" t="s">
        <v>1316</v>
      </c>
      <c r="AP23">
        <f t="shared" si="0"/>
        <v>0</v>
      </c>
      <c r="AQ23">
        <v>1</v>
      </c>
      <c r="AR23" t="s">
        <v>1992</v>
      </c>
      <c r="AS23" t="s">
        <v>1995</v>
      </c>
      <c r="AT23" t="s">
        <v>1995</v>
      </c>
      <c r="AU23" t="s">
        <v>1995</v>
      </c>
      <c r="AV23" t="s">
        <v>1995</v>
      </c>
      <c r="AW23" t="s">
        <v>1996</v>
      </c>
      <c r="AX23" t="s">
        <v>2006</v>
      </c>
      <c r="AY23" t="s">
        <v>1996</v>
      </c>
      <c r="AZ23">
        <v>1492</v>
      </c>
      <c r="BA23" t="s">
        <v>1194</v>
      </c>
      <c r="BB23" t="s">
        <v>1194</v>
      </c>
      <c r="BC23" s="3">
        <v>4347.6378999999997</v>
      </c>
      <c r="BD23" s="3">
        <v>1128.3399999999999</v>
      </c>
      <c r="BE23" s="3">
        <v>0</v>
      </c>
      <c r="BF23" s="3">
        <v>0</v>
      </c>
      <c r="BG23" s="3">
        <v>0</v>
      </c>
      <c r="BH23" s="3">
        <v>0</v>
      </c>
      <c r="BI23" s="3">
        <v>1835</v>
      </c>
      <c r="BJ23" s="3">
        <v>7311</v>
      </c>
      <c r="BK23" s="3">
        <v>0</v>
      </c>
      <c r="BL23" s="3">
        <v>7311</v>
      </c>
      <c r="BM23" s="2">
        <f t="shared" ca="1" si="1"/>
        <v>1</v>
      </c>
      <c r="BN23" s="3">
        <v>1000000</v>
      </c>
      <c r="BO23" s="3">
        <v>1000000</v>
      </c>
      <c r="BP23" s="3">
        <v>100000</v>
      </c>
      <c r="BQ23" s="3">
        <v>250000</v>
      </c>
      <c r="BR23" s="3">
        <v>50000</v>
      </c>
      <c r="BS23">
        <v>250000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 t="s">
        <v>2942</v>
      </c>
      <c r="CA23" t="s">
        <v>2006</v>
      </c>
      <c r="CB23" t="s">
        <v>2946</v>
      </c>
    </row>
    <row r="24" spans="1:80" x14ac:dyDescent="0.25">
      <c r="A24">
        <v>22</v>
      </c>
      <c r="B24" t="s">
        <v>2041</v>
      </c>
      <c r="C24" s="1">
        <v>44881</v>
      </c>
      <c r="D24" s="2">
        <v>33</v>
      </c>
      <c r="E24" t="s">
        <v>4</v>
      </c>
      <c r="F24" t="s">
        <v>1311</v>
      </c>
      <c r="G24">
        <v>1</v>
      </c>
      <c r="H24" s="3">
        <v>1850000</v>
      </c>
      <c r="I24" s="3">
        <v>300000</v>
      </c>
      <c r="J24" s="3">
        <v>0</v>
      </c>
      <c r="K24" s="3">
        <v>0</v>
      </c>
      <c r="L24" s="3" t="s">
        <v>1191</v>
      </c>
      <c r="M24">
        <v>33562</v>
      </c>
      <c r="N24" t="s">
        <v>149</v>
      </c>
      <c r="P24" t="s">
        <v>150</v>
      </c>
      <c r="Q24" t="s">
        <v>14</v>
      </c>
      <c r="R24">
        <v>10514</v>
      </c>
      <c r="S24" t="s">
        <v>36</v>
      </c>
      <c r="T24" t="s">
        <v>968</v>
      </c>
      <c r="U24">
        <v>0</v>
      </c>
      <c r="V24" t="s">
        <v>1001</v>
      </c>
      <c r="W24" t="s">
        <v>1194</v>
      </c>
      <c r="X24" t="s">
        <v>973</v>
      </c>
      <c r="Y24">
        <v>10000</v>
      </c>
      <c r="Z24" s="2">
        <v>1</v>
      </c>
      <c r="AA24" s="2" t="s">
        <v>1238</v>
      </c>
      <c r="AB24" t="s">
        <v>1238</v>
      </c>
      <c r="AC24">
        <v>720</v>
      </c>
      <c r="AD24" t="s">
        <v>1279</v>
      </c>
      <c r="AE24">
        <v>4</v>
      </c>
      <c r="AF24" t="s">
        <v>1290</v>
      </c>
      <c r="AG24">
        <v>0</v>
      </c>
      <c r="AH24">
        <v>0</v>
      </c>
      <c r="AI24">
        <v>0</v>
      </c>
      <c r="AJ24">
        <v>1906</v>
      </c>
      <c r="AK24">
        <v>1995</v>
      </c>
      <c r="AL24">
        <v>2011</v>
      </c>
      <c r="AM24" s="4" t="s">
        <v>1238</v>
      </c>
      <c r="AN24">
        <v>0</v>
      </c>
      <c r="AO24" t="s">
        <v>1316</v>
      </c>
      <c r="AP24">
        <f t="shared" si="0"/>
        <v>0</v>
      </c>
      <c r="AQ24">
        <v>0</v>
      </c>
      <c r="AR24" t="s">
        <v>1993</v>
      </c>
      <c r="AS24" t="s">
        <v>1995</v>
      </c>
      <c r="AT24" t="s">
        <v>1996</v>
      </c>
      <c r="AU24" t="s">
        <v>1995</v>
      </c>
      <c r="AV24" t="s">
        <v>1995</v>
      </c>
      <c r="AW24" t="s">
        <v>1996</v>
      </c>
      <c r="AX24" t="s">
        <v>2003</v>
      </c>
      <c r="AY24" t="s">
        <v>1996</v>
      </c>
      <c r="AZ24">
        <v>3066</v>
      </c>
      <c r="BA24" t="s">
        <v>1194</v>
      </c>
      <c r="BB24" t="s">
        <v>1194</v>
      </c>
      <c r="BC24" s="3">
        <v>5899.7331000000004</v>
      </c>
      <c r="BD24" s="3">
        <v>1588.19</v>
      </c>
      <c r="BE24" s="3">
        <v>0</v>
      </c>
      <c r="BF24" s="3">
        <v>0</v>
      </c>
      <c r="BG24" s="3">
        <v>150</v>
      </c>
      <c r="BH24" s="3">
        <v>0</v>
      </c>
      <c r="BI24" s="3">
        <v>3972</v>
      </c>
      <c r="BJ24" s="3">
        <v>11610</v>
      </c>
      <c r="BK24" s="3">
        <v>0</v>
      </c>
      <c r="BL24" s="3">
        <v>11610</v>
      </c>
      <c r="BM24" s="2">
        <f t="shared" ca="1" si="1"/>
        <v>4</v>
      </c>
      <c r="BN24" s="3">
        <v>250000</v>
      </c>
      <c r="BO24" s="3">
        <v>25000</v>
      </c>
      <c r="BP24" s="3">
        <v>200000</v>
      </c>
      <c r="BQ24" s="3">
        <v>100000</v>
      </c>
      <c r="BR24" s="3">
        <v>100000</v>
      </c>
      <c r="BS24">
        <v>50000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 t="s">
        <v>2942</v>
      </c>
      <c r="CA24" t="s">
        <v>2006</v>
      </c>
      <c r="CB24" t="s">
        <v>2945</v>
      </c>
    </row>
    <row r="25" spans="1:80" x14ac:dyDescent="0.25">
      <c r="A25">
        <v>23</v>
      </c>
      <c r="B25" t="s">
        <v>2042</v>
      </c>
      <c r="C25" s="1">
        <v>44954</v>
      </c>
      <c r="D25" s="2">
        <v>3</v>
      </c>
      <c r="E25" t="s">
        <v>4</v>
      </c>
      <c r="F25" t="s">
        <v>1310</v>
      </c>
      <c r="G25">
        <v>0</v>
      </c>
      <c r="H25" s="3">
        <v>4864000</v>
      </c>
      <c r="I25" s="3">
        <v>900000</v>
      </c>
      <c r="J25" s="3">
        <v>0</v>
      </c>
      <c r="K25" s="3">
        <v>0</v>
      </c>
      <c r="L25" s="3" t="s">
        <v>1191</v>
      </c>
      <c r="M25">
        <v>1546956</v>
      </c>
      <c r="N25" t="s">
        <v>151</v>
      </c>
      <c r="P25" t="s">
        <v>117</v>
      </c>
      <c r="Q25" t="s">
        <v>14</v>
      </c>
      <c r="R25">
        <v>11959</v>
      </c>
      <c r="S25" t="s">
        <v>26</v>
      </c>
      <c r="T25" t="s">
        <v>970</v>
      </c>
      <c r="U25">
        <v>1</v>
      </c>
      <c r="V25" t="s">
        <v>998</v>
      </c>
      <c r="W25" t="s">
        <v>1194</v>
      </c>
      <c r="X25" t="s">
        <v>1309</v>
      </c>
      <c r="Y25">
        <v>10000</v>
      </c>
      <c r="Z25" s="2">
        <v>2</v>
      </c>
      <c r="AA25" s="2" t="s">
        <v>1238</v>
      </c>
      <c r="AB25" t="s">
        <v>1238</v>
      </c>
      <c r="AC25">
        <v>757</v>
      </c>
      <c r="AD25" t="s">
        <v>1279</v>
      </c>
      <c r="AE25">
        <v>4</v>
      </c>
      <c r="AF25" t="s">
        <v>1291</v>
      </c>
      <c r="AG25">
        <v>0</v>
      </c>
      <c r="AH25">
        <v>0</v>
      </c>
      <c r="AI25">
        <v>0</v>
      </c>
      <c r="AJ25">
        <v>2021</v>
      </c>
      <c r="AK25" t="s">
        <v>1194</v>
      </c>
      <c r="AL25" t="s">
        <v>1194</v>
      </c>
      <c r="AM25" s="4" t="s">
        <v>1304</v>
      </c>
      <c r="AN25">
        <v>1</v>
      </c>
      <c r="AO25" t="s">
        <v>1315</v>
      </c>
      <c r="AP25">
        <f t="shared" si="0"/>
        <v>0</v>
      </c>
      <c r="AQ25">
        <v>0</v>
      </c>
      <c r="AR25" t="s">
        <v>1993</v>
      </c>
      <c r="AS25" t="s">
        <v>1995</v>
      </c>
      <c r="AT25" t="s">
        <v>1996</v>
      </c>
      <c r="AU25" t="s">
        <v>1996</v>
      </c>
      <c r="AV25" t="s">
        <v>1995</v>
      </c>
      <c r="AW25" t="s">
        <v>1995</v>
      </c>
      <c r="AX25" t="s">
        <v>2006</v>
      </c>
      <c r="AY25" t="s">
        <v>1996</v>
      </c>
      <c r="AZ25">
        <v>7500</v>
      </c>
      <c r="BA25" t="s">
        <v>1194</v>
      </c>
      <c r="BB25" t="s">
        <v>1194</v>
      </c>
      <c r="BC25" s="3">
        <v>16541.954600000001</v>
      </c>
      <c r="BD25" s="3">
        <v>12842.45</v>
      </c>
      <c r="BE25" s="3">
        <v>0</v>
      </c>
      <c r="BF25" s="3">
        <v>0</v>
      </c>
      <c r="BG25" s="3">
        <v>0</v>
      </c>
      <c r="BH25" s="3">
        <v>0</v>
      </c>
      <c r="BI25" s="3">
        <v>2318</v>
      </c>
      <c r="BJ25" s="3">
        <v>31702</v>
      </c>
      <c r="BK25" s="3">
        <v>0</v>
      </c>
      <c r="BL25" s="3">
        <v>31702</v>
      </c>
      <c r="BM25" s="2">
        <f t="shared" ca="1" si="1"/>
        <v>4</v>
      </c>
      <c r="BN25" s="3">
        <v>100000</v>
      </c>
      <c r="BO25" s="3">
        <v>50000</v>
      </c>
      <c r="BP25" s="3">
        <v>200000</v>
      </c>
      <c r="BQ25" s="3">
        <v>1000000</v>
      </c>
      <c r="BR25" s="3">
        <v>1000000</v>
      </c>
      <c r="BS25">
        <v>2000000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 t="s">
        <v>2006</v>
      </c>
      <c r="CA25" t="s">
        <v>2006</v>
      </c>
      <c r="CB25" t="s">
        <v>2006</v>
      </c>
    </row>
    <row r="26" spans="1:80" x14ac:dyDescent="0.25">
      <c r="A26">
        <v>24</v>
      </c>
      <c r="B26" t="s">
        <v>2043</v>
      </c>
      <c r="C26" s="1">
        <v>44698</v>
      </c>
      <c r="D26" s="2">
        <v>15</v>
      </c>
      <c r="E26" t="s">
        <v>4</v>
      </c>
      <c r="F26" t="s">
        <v>1311</v>
      </c>
      <c r="G26">
        <v>0</v>
      </c>
      <c r="H26" s="3">
        <v>15000000</v>
      </c>
      <c r="I26" s="3">
        <v>620000</v>
      </c>
      <c r="J26" s="3">
        <v>0</v>
      </c>
      <c r="K26" s="3">
        <v>0</v>
      </c>
      <c r="L26" s="3" t="s">
        <v>1191</v>
      </c>
      <c r="M26">
        <v>1918579</v>
      </c>
      <c r="N26" t="s">
        <v>152</v>
      </c>
      <c r="P26" t="s">
        <v>153</v>
      </c>
      <c r="Q26" t="s">
        <v>15</v>
      </c>
      <c r="R26">
        <v>34786</v>
      </c>
      <c r="S26" t="s">
        <v>37</v>
      </c>
      <c r="T26" t="s">
        <v>965</v>
      </c>
      <c r="U26">
        <v>0</v>
      </c>
      <c r="V26" t="s">
        <v>1002</v>
      </c>
      <c r="W26" t="s">
        <v>1194</v>
      </c>
      <c r="X26" t="s">
        <v>973</v>
      </c>
      <c r="Y26">
        <v>25000</v>
      </c>
      <c r="Z26" s="2">
        <v>2</v>
      </c>
      <c r="AA26" s="2" t="s">
        <v>1238</v>
      </c>
      <c r="AB26" t="s">
        <v>1238</v>
      </c>
      <c r="AC26">
        <v>771</v>
      </c>
      <c r="AD26" t="s">
        <v>1280</v>
      </c>
      <c r="AE26">
        <v>1</v>
      </c>
      <c r="AF26" t="s">
        <v>1290</v>
      </c>
      <c r="AG26">
        <v>0</v>
      </c>
      <c r="AH26">
        <v>0</v>
      </c>
      <c r="AI26">
        <v>0</v>
      </c>
      <c r="AJ26">
        <v>2006</v>
      </c>
      <c r="AK26" t="s">
        <v>1194</v>
      </c>
      <c r="AL26" t="s">
        <v>1194</v>
      </c>
      <c r="AM26" s="4" t="s">
        <v>1238</v>
      </c>
      <c r="AN26">
        <v>0</v>
      </c>
      <c r="AO26" t="s">
        <v>1316</v>
      </c>
      <c r="AP26">
        <f t="shared" si="0"/>
        <v>0</v>
      </c>
      <c r="AQ26">
        <v>1</v>
      </c>
      <c r="AR26" t="s">
        <v>1992</v>
      </c>
      <c r="AS26" t="s">
        <v>1995</v>
      </c>
      <c r="AT26" t="s">
        <v>1996</v>
      </c>
      <c r="AU26" t="s">
        <v>1996</v>
      </c>
      <c r="AV26" t="s">
        <v>1996</v>
      </c>
      <c r="AW26" t="s">
        <v>1995</v>
      </c>
      <c r="AX26" t="s">
        <v>2007</v>
      </c>
      <c r="AY26" t="s">
        <v>1995</v>
      </c>
      <c r="AZ26">
        <v>12298</v>
      </c>
      <c r="BA26" t="s">
        <v>1194</v>
      </c>
      <c r="BB26" t="s">
        <v>1194</v>
      </c>
      <c r="BC26" s="3">
        <v>19967.641500000002</v>
      </c>
      <c r="BD26" s="3">
        <v>11446.35</v>
      </c>
      <c r="BE26" s="3">
        <v>0</v>
      </c>
      <c r="BF26" s="3">
        <v>0</v>
      </c>
      <c r="BG26" s="3">
        <v>200</v>
      </c>
      <c r="BH26" s="3">
        <v>0</v>
      </c>
      <c r="BI26" s="3">
        <v>71683</v>
      </c>
      <c r="BJ26" s="3">
        <v>103297</v>
      </c>
      <c r="BK26" s="3">
        <v>700</v>
      </c>
      <c r="BL26" s="3">
        <v>103997</v>
      </c>
      <c r="BM26" s="2">
        <f t="shared" ca="1" si="1"/>
        <v>3</v>
      </c>
      <c r="BN26" s="3">
        <v>50000</v>
      </c>
      <c r="BO26" s="3">
        <v>500000</v>
      </c>
      <c r="BP26" s="3" t="s">
        <v>2922</v>
      </c>
      <c r="BQ26" s="3">
        <v>250000</v>
      </c>
      <c r="BR26" s="3">
        <v>50000</v>
      </c>
      <c r="BS26">
        <v>2000000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 t="s">
        <v>2940</v>
      </c>
      <c r="CA26" t="s">
        <v>2006</v>
      </c>
      <c r="CB26" t="s">
        <v>2941</v>
      </c>
    </row>
    <row r="27" spans="1:80" x14ac:dyDescent="0.25">
      <c r="A27">
        <v>25</v>
      </c>
      <c r="B27" t="s">
        <v>2044</v>
      </c>
      <c r="C27" s="1">
        <v>44810</v>
      </c>
      <c r="D27" s="2">
        <v>27</v>
      </c>
      <c r="E27" t="s">
        <v>4</v>
      </c>
      <c r="F27" t="s">
        <v>1311</v>
      </c>
      <c r="G27">
        <v>1</v>
      </c>
      <c r="H27" s="3">
        <v>0</v>
      </c>
      <c r="I27" s="3">
        <v>0</v>
      </c>
      <c r="J27" s="3">
        <v>475000</v>
      </c>
      <c r="K27" s="3">
        <v>0</v>
      </c>
      <c r="L27" s="3" t="s">
        <v>1192</v>
      </c>
      <c r="M27">
        <v>1978487</v>
      </c>
      <c r="N27" t="s">
        <v>154</v>
      </c>
      <c r="P27" t="s">
        <v>155</v>
      </c>
      <c r="Q27" t="s">
        <v>15</v>
      </c>
      <c r="R27">
        <v>33156</v>
      </c>
      <c r="S27" t="s">
        <v>33</v>
      </c>
      <c r="T27" t="s">
        <v>972</v>
      </c>
      <c r="U27">
        <v>0</v>
      </c>
      <c r="V27" t="s">
        <v>995</v>
      </c>
      <c r="W27" t="s">
        <v>1194</v>
      </c>
      <c r="X27" t="s">
        <v>973</v>
      </c>
      <c r="Y27">
        <v>50000</v>
      </c>
      <c r="Z27" s="2">
        <v>5</v>
      </c>
      <c r="AA27" s="2" t="s">
        <v>1238</v>
      </c>
      <c r="AB27" t="s">
        <v>1238</v>
      </c>
      <c r="AC27">
        <v>771</v>
      </c>
      <c r="AD27" t="s">
        <v>1282</v>
      </c>
      <c r="AE27">
        <v>2</v>
      </c>
      <c r="AF27" t="s">
        <v>1290</v>
      </c>
      <c r="AG27">
        <v>0</v>
      </c>
      <c r="AH27">
        <v>0</v>
      </c>
      <c r="AI27">
        <v>0</v>
      </c>
      <c r="AJ27">
        <v>2008</v>
      </c>
      <c r="AK27" t="s">
        <v>1194</v>
      </c>
      <c r="AL27" t="s">
        <v>1194</v>
      </c>
      <c r="AM27" s="4" t="s">
        <v>1238</v>
      </c>
      <c r="AN27">
        <v>1</v>
      </c>
      <c r="AO27" t="s">
        <v>1316</v>
      </c>
      <c r="AP27">
        <f t="shared" si="0"/>
        <v>0</v>
      </c>
      <c r="AQ27">
        <v>0</v>
      </c>
      <c r="AR27" t="s">
        <v>1993</v>
      </c>
      <c r="AS27" t="s">
        <v>1996</v>
      </c>
      <c r="AT27" t="s">
        <v>1995</v>
      </c>
      <c r="AU27" t="s">
        <v>1995</v>
      </c>
      <c r="AV27" t="s">
        <v>1995</v>
      </c>
      <c r="AW27" t="s">
        <v>1996</v>
      </c>
      <c r="AX27" t="s">
        <v>2007</v>
      </c>
      <c r="AY27" t="s">
        <v>1995</v>
      </c>
      <c r="AZ27">
        <v>1064</v>
      </c>
      <c r="BA27" t="s">
        <v>1194</v>
      </c>
      <c r="BB27" t="s">
        <v>1194</v>
      </c>
      <c r="BC27" s="3">
        <v>1031.5109</v>
      </c>
      <c r="BD27" s="3">
        <v>5500.31</v>
      </c>
      <c r="BE27" s="3">
        <v>0</v>
      </c>
      <c r="BF27" s="3">
        <v>0</v>
      </c>
      <c r="BG27" s="3">
        <v>0</v>
      </c>
      <c r="BH27" s="3">
        <v>0</v>
      </c>
      <c r="BI27" s="3">
        <v>2255</v>
      </c>
      <c r="BJ27" s="3">
        <v>8787</v>
      </c>
      <c r="BK27" s="3">
        <v>0</v>
      </c>
      <c r="BL27" s="3">
        <v>8787</v>
      </c>
      <c r="BM27" s="2">
        <f t="shared" ca="1" si="1"/>
        <v>0</v>
      </c>
      <c r="BN27" s="3">
        <v>50000</v>
      </c>
      <c r="BO27" s="3">
        <v>50000</v>
      </c>
      <c r="BP27" s="3">
        <v>50000</v>
      </c>
      <c r="BQ27" s="3">
        <v>50000</v>
      </c>
      <c r="BR27" s="3">
        <v>50000</v>
      </c>
      <c r="BS27">
        <v>100000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 t="s">
        <v>2938</v>
      </c>
      <c r="CA27" t="s">
        <v>2939</v>
      </c>
      <c r="CB27" t="s">
        <v>2946</v>
      </c>
    </row>
    <row r="28" spans="1:80" x14ac:dyDescent="0.25">
      <c r="A28">
        <v>26</v>
      </c>
      <c r="B28" t="s">
        <v>2045</v>
      </c>
      <c r="C28" s="1">
        <v>44810</v>
      </c>
      <c r="D28" s="2">
        <v>27</v>
      </c>
      <c r="E28" t="s">
        <v>4</v>
      </c>
      <c r="F28" t="s">
        <v>1311</v>
      </c>
      <c r="G28">
        <v>0</v>
      </c>
      <c r="H28" s="3">
        <v>2200000</v>
      </c>
      <c r="I28" s="3">
        <v>109000</v>
      </c>
      <c r="J28" s="3">
        <v>0</v>
      </c>
      <c r="K28" s="3">
        <v>0</v>
      </c>
      <c r="L28" s="3" t="s">
        <v>1191</v>
      </c>
      <c r="M28">
        <v>48613</v>
      </c>
      <c r="N28" t="s">
        <v>156</v>
      </c>
      <c r="P28" t="s">
        <v>157</v>
      </c>
      <c r="Q28" t="s">
        <v>14</v>
      </c>
      <c r="R28">
        <v>11530</v>
      </c>
      <c r="S28" t="s">
        <v>38</v>
      </c>
      <c r="T28" t="s">
        <v>962</v>
      </c>
      <c r="U28">
        <v>0</v>
      </c>
      <c r="V28" t="s">
        <v>1003</v>
      </c>
      <c r="W28" t="s">
        <v>1194</v>
      </c>
      <c r="X28" t="s">
        <v>973</v>
      </c>
      <c r="Y28">
        <v>25000</v>
      </c>
      <c r="Z28" s="2">
        <v>2</v>
      </c>
      <c r="AA28" s="2" t="s">
        <v>1238</v>
      </c>
      <c r="AB28" t="s">
        <v>1238</v>
      </c>
      <c r="AC28">
        <v>788</v>
      </c>
      <c r="AD28" t="s">
        <v>1279</v>
      </c>
      <c r="AE28">
        <v>3</v>
      </c>
      <c r="AF28" t="s">
        <v>1290</v>
      </c>
      <c r="AG28">
        <v>0</v>
      </c>
      <c r="AH28">
        <v>0</v>
      </c>
      <c r="AI28">
        <v>0</v>
      </c>
      <c r="AJ28">
        <v>1953</v>
      </c>
      <c r="AK28" t="s">
        <v>1194</v>
      </c>
      <c r="AL28" t="s">
        <v>1194</v>
      </c>
      <c r="AM28" s="4" t="s">
        <v>1238</v>
      </c>
      <c r="AN28">
        <v>0</v>
      </c>
      <c r="AO28" t="s">
        <v>1316</v>
      </c>
      <c r="AP28">
        <f t="shared" si="0"/>
        <v>0</v>
      </c>
      <c r="AQ28">
        <v>1</v>
      </c>
      <c r="AR28" t="s">
        <v>1992</v>
      </c>
      <c r="AS28" t="s">
        <v>1996</v>
      </c>
      <c r="AT28" t="s">
        <v>1996</v>
      </c>
      <c r="AU28" t="s">
        <v>1996</v>
      </c>
      <c r="AV28" t="s">
        <v>1995</v>
      </c>
      <c r="AW28" t="s">
        <v>1995</v>
      </c>
      <c r="AX28" t="s">
        <v>2003</v>
      </c>
      <c r="AY28" t="s">
        <v>1996</v>
      </c>
      <c r="AZ28">
        <v>3013</v>
      </c>
      <c r="BA28" t="s">
        <v>1194</v>
      </c>
      <c r="BB28" t="s">
        <v>1194</v>
      </c>
      <c r="BC28" s="3">
        <v>7590.2003000000004</v>
      </c>
      <c r="BD28" s="3">
        <v>2776.79</v>
      </c>
      <c r="BE28" s="3">
        <v>0</v>
      </c>
      <c r="BF28" s="3">
        <v>0</v>
      </c>
      <c r="BG28" s="3">
        <v>150</v>
      </c>
      <c r="BH28" s="3">
        <v>0</v>
      </c>
      <c r="BI28" s="3">
        <v>3033</v>
      </c>
      <c r="BJ28" s="3">
        <v>13550</v>
      </c>
      <c r="BK28" s="3">
        <v>250</v>
      </c>
      <c r="BL28" s="3">
        <v>13800</v>
      </c>
      <c r="BM28" s="2">
        <f t="shared" ca="1" si="1"/>
        <v>3</v>
      </c>
      <c r="BN28" s="3">
        <v>50000</v>
      </c>
      <c r="BO28" s="3">
        <v>20000</v>
      </c>
      <c r="BP28" s="3">
        <v>200000</v>
      </c>
      <c r="BQ28" s="3">
        <v>100000</v>
      </c>
      <c r="BR28" s="3">
        <v>100000</v>
      </c>
      <c r="BS28">
        <v>1000000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 t="s">
        <v>2006</v>
      </c>
      <c r="CA28" t="s">
        <v>2006</v>
      </c>
      <c r="CB28" t="s">
        <v>2945</v>
      </c>
    </row>
    <row r="29" spans="1:80" x14ac:dyDescent="0.25">
      <c r="A29">
        <v>27</v>
      </c>
      <c r="B29" t="s">
        <v>2046</v>
      </c>
      <c r="C29" s="1">
        <v>44769</v>
      </c>
      <c r="D29" s="2">
        <v>21</v>
      </c>
      <c r="E29" t="s">
        <v>4</v>
      </c>
      <c r="F29" t="s">
        <v>1311</v>
      </c>
      <c r="G29">
        <v>0</v>
      </c>
      <c r="H29" s="3">
        <v>1800000</v>
      </c>
      <c r="I29" s="3">
        <v>3921000</v>
      </c>
      <c r="J29" s="3">
        <v>0</v>
      </c>
      <c r="K29" s="3">
        <v>0</v>
      </c>
      <c r="L29" s="3" t="s">
        <v>1191</v>
      </c>
      <c r="M29">
        <v>106951</v>
      </c>
      <c r="N29" t="s">
        <v>158</v>
      </c>
      <c r="P29" t="s">
        <v>159</v>
      </c>
      <c r="Q29" t="s">
        <v>15</v>
      </c>
      <c r="R29">
        <v>33414</v>
      </c>
      <c r="S29" t="s">
        <v>27</v>
      </c>
      <c r="T29" t="s">
        <v>965</v>
      </c>
      <c r="U29">
        <v>0</v>
      </c>
      <c r="V29" t="s">
        <v>987</v>
      </c>
      <c r="W29" t="s">
        <v>1194</v>
      </c>
      <c r="X29" t="s">
        <v>973</v>
      </c>
      <c r="Y29">
        <v>50000</v>
      </c>
      <c r="Z29" s="2">
        <v>10</v>
      </c>
      <c r="AA29" s="2" t="s">
        <v>1238</v>
      </c>
      <c r="AB29" t="s">
        <v>1238</v>
      </c>
      <c r="AC29">
        <v>728</v>
      </c>
      <c r="AD29" t="s">
        <v>1280</v>
      </c>
      <c r="AE29">
        <v>2</v>
      </c>
      <c r="AF29" t="s">
        <v>1290</v>
      </c>
      <c r="AG29">
        <v>0</v>
      </c>
      <c r="AH29">
        <v>0</v>
      </c>
      <c r="AI29">
        <v>0</v>
      </c>
      <c r="AJ29">
        <v>1995</v>
      </c>
      <c r="AK29" t="s">
        <v>1194</v>
      </c>
      <c r="AL29" t="s">
        <v>1194</v>
      </c>
      <c r="AM29" s="4" t="s">
        <v>1238</v>
      </c>
      <c r="AN29">
        <v>1</v>
      </c>
      <c r="AO29" t="s">
        <v>1316</v>
      </c>
      <c r="AP29">
        <f t="shared" si="0"/>
        <v>0</v>
      </c>
      <c r="AQ29">
        <v>0</v>
      </c>
      <c r="AR29" t="s">
        <v>1993</v>
      </c>
      <c r="AS29" t="s">
        <v>1996</v>
      </c>
      <c r="AT29" t="s">
        <v>1995</v>
      </c>
      <c r="AU29" t="s">
        <v>1996</v>
      </c>
      <c r="AV29" t="s">
        <v>1995</v>
      </c>
      <c r="AW29" t="s">
        <v>1996</v>
      </c>
      <c r="AX29" t="s">
        <v>2006</v>
      </c>
      <c r="AY29" t="s">
        <v>1996</v>
      </c>
      <c r="AZ29">
        <v>3639</v>
      </c>
      <c r="BA29" t="s">
        <v>1194</v>
      </c>
      <c r="BB29" t="s">
        <v>1194</v>
      </c>
      <c r="BC29" s="3">
        <v>13334.634700000001</v>
      </c>
      <c r="BD29" s="3">
        <v>35900.449999999997</v>
      </c>
      <c r="BE29" s="3">
        <v>0</v>
      </c>
      <c r="BF29" s="3">
        <v>0</v>
      </c>
      <c r="BG29" s="3">
        <v>0</v>
      </c>
      <c r="BH29" s="3">
        <v>0</v>
      </c>
      <c r="BI29" s="3">
        <v>45163</v>
      </c>
      <c r="BJ29" s="3">
        <v>94398</v>
      </c>
      <c r="BK29" s="3">
        <v>400</v>
      </c>
      <c r="BL29" s="3">
        <v>94798</v>
      </c>
      <c r="BM29" s="2">
        <f t="shared" ca="1" si="1"/>
        <v>1</v>
      </c>
      <c r="BN29" s="3">
        <v>100000</v>
      </c>
      <c r="BO29" s="3">
        <v>50000</v>
      </c>
      <c r="BP29" s="3">
        <v>50000</v>
      </c>
      <c r="BQ29" s="3">
        <v>25000</v>
      </c>
      <c r="BR29" s="3">
        <v>50000</v>
      </c>
      <c r="BS29">
        <v>2000000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 t="s">
        <v>2940</v>
      </c>
      <c r="CA29" t="s">
        <v>2006</v>
      </c>
      <c r="CB29" t="s">
        <v>2941</v>
      </c>
    </row>
    <row r="30" spans="1:80" x14ac:dyDescent="0.25">
      <c r="A30">
        <v>28</v>
      </c>
      <c r="B30" t="s">
        <v>2047</v>
      </c>
      <c r="C30" s="1">
        <v>44786</v>
      </c>
      <c r="D30" s="2">
        <v>24</v>
      </c>
      <c r="E30" t="s">
        <v>4</v>
      </c>
      <c r="F30" t="s">
        <v>1311</v>
      </c>
      <c r="G30">
        <v>0</v>
      </c>
      <c r="H30" s="3">
        <v>19500000</v>
      </c>
      <c r="I30" s="3">
        <v>4500000</v>
      </c>
      <c r="J30" s="3">
        <v>0</v>
      </c>
      <c r="K30" s="3">
        <v>0</v>
      </c>
      <c r="L30" s="3" t="s">
        <v>1191</v>
      </c>
      <c r="M30">
        <v>1015626</v>
      </c>
      <c r="N30" t="s">
        <v>160</v>
      </c>
      <c r="P30" t="s">
        <v>161</v>
      </c>
      <c r="Q30" t="s">
        <v>15</v>
      </c>
      <c r="R30">
        <v>33462</v>
      </c>
      <c r="S30" t="s">
        <v>27</v>
      </c>
      <c r="T30" t="s">
        <v>967</v>
      </c>
      <c r="U30">
        <v>1</v>
      </c>
      <c r="V30" t="s">
        <v>989</v>
      </c>
      <c r="W30" t="s">
        <v>1194</v>
      </c>
      <c r="X30" t="s">
        <v>1309</v>
      </c>
      <c r="Y30">
        <v>100000</v>
      </c>
      <c r="Z30" s="2">
        <v>10</v>
      </c>
      <c r="AA30" s="2" t="s">
        <v>1238</v>
      </c>
      <c r="AB30" t="s">
        <v>1238</v>
      </c>
      <c r="AC30">
        <v>869</v>
      </c>
      <c r="AD30" t="s">
        <v>1280</v>
      </c>
      <c r="AE30">
        <v>2</v>
      </c>
      <c r="AF30" t="s">
        <v>1292</v>
      </c>
      <c r="AG30">
        <v>0</v>
      </c>
      <c r="AH30">
        <v>0</v>
      </c>
      <c r="AI30">
        <v>0</v>
      </c>
      <c r="AJ30">
        <v>1995</v>
      </c>
      <c r="AK30" t="s">
        <v>1194</v>
      </c>
      <c r="AL30" t="s">
        <v>1194</v>
      </c>
      <c r="AM30" s="4" t="s">
        <v>1238</v>
      </c>
      <c r="AN30">
        <v>1</v>
      </c>
      <c r="AO30" t="s">
        <v>1315</v>
      </c>
      <c r="AP30">
        <f t="shared" si="0"/>
        <v>0</v>
      </c>
      <c r="AQ30">
        <v>0</v>
      </c>
      <c r="AR30" t="s">
        <v>1993</v>
      </c>
      <c r="AS30" t="s">
        <v>1996</v>
      </c>
      <c r="AT30" t="s">
        <v>1995</v>
      </c>
      <c r="AU30" t="s">
        <v>1996</v>
      </c>
      <c r="AV30" t="s">
        <v>1995</v>
      </c>
      <c r="AW30" t="s">
        <v>1995</v>
      </c>
      <c r="AX30" t="s">
        <v>2007</v>
      </c>
      <c r="AY30" t="s">
        <v>1995</v>
      </c>
      <c r="AZ30">
        <v>14814</v>
      </c>
      <c r="BA30" t="s">
        <v>1194</v>
      </c>
      <c r="BB30" t="s">
        <v>1194</v>
      </c>
      <c r="BC30" s="3">
        <v>44103.984299999996</v>
      </c>
      <c r="BD30" s="3">
        <v>78298.850000000006</v>
      </c>
      <c r="BE30" s="3">
        <v>0</v>
      </c>
      <c r="BF30" s="3">
        <v>0</v>
      </c>
      <c r="BG30" s="3">
        <v>300</v>
      </c>
      <c r="BH30" s="3">
        <v>0</v>
      </c>
      <c r="BI30" s="3">
        <v>231681</v>
      </c>
      <c r="BJ30" s="3">
        <v>354384</v>
      </c>
      <c r="BK30" s="3">
        <v>0</v>
      </c>
      <c r="BL30" s="3">
        <v>354384</v>
      </c>
      <c r="BM30" s="2">
        <f t="shared" ca="1" si="1"/>
        <v>3</v>
      </c>
      <c r="BN30" s="3">
        <v>1000000</v>
      </c>
      <c r="BO30" s="3">
        <v>25000</v>
      </c>
      <c r="BP30" s="3">
        <v>100000</v>
      </c>
      <c r="BQ30" s="3">
        <v>100000</v>
      </c>
      <c r="BR30" s="3">
        <v>2000000</v>
      </c>
      <c r="BS30">
        <v>250000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 t="s">
        <v>2940</v>
      </c>
      <c r="CA30" t="s">
        <v>2939</v>
      </c>
      <c r="CB30" t="s">
        <v>2941</v>
      </c>
    </row>
    <row r="31" spans="1:80" x14ac:dyDescent="0.25">
      <c r="A31">
        <v>29</v>
      </c>
      <c r="B31" t="s">
        <v>2048</v>
      </c>
      <c r="C31" s="1">
        <v>44897</v>
      </c>
      <c r="D31" s="2">
        <v>36</v>
      </c>
      <c r="E31" t="s">
        <v>4</v>
      </c>
      <c r="F31" t="s">
        <v>1311</v>
      </c>
      <c r="G31">
        <v>0</v>
      </c>
      <c r="H31" s="3">
        <v>2100000</v>
      </c>
      <c r="I31" s="3">
        <v>180000</v>
      </c>
      <c r="J31" s="3">
        <v>0</v>
      </c>
      <c r="K31" s="3">
        <v>0</v>
      </c>
      <c r="L31" s="3" t="s">
        <v>1191</v>
      </c>
      <c r="M31">
        <v>1686602</v>
      </c>
      <c r="N31" t="s">
        <v>162</v>
      </c>
      <c r="P31" t="s">
        <v>163</v>
      </c>
      <c r="Q31" t="s">
        <v>18</v>
      </c>
      <c r="R31">
        <v>78704</v>
      </c>
      <c r="S31" t="s">
        <v>39</v>
      </c>
      <c r="T31" t="s">
        <v>973</v>
      </c>
      <c r="U31">
        <v>0</v>
      </c>
      <c r="V31">
        <v>1000</v>
      </c>
      <c r="W31" t="s">
        <v>1195</v>
      </c>
      <c r="X31" t="s">
        <v>973</v>
      </c>
      <c r="Y31">
        <v>10000</v>
      </c>
      <c r="Z31" s="2" t="s">
        <v>1194</v>
      </c>
      <c r="AA31" s="2">
        <v>0</v>
      </c>
      <c r="AB31" t="s">
        <v>1238</v>
      </c>
      <c r="AC31">
        <v>844</v>
      </c>
      <c r="AD31" t="s">
        <v>1279</v>
      </c>
      <c r="AE31">
        <v>1</v>
      </c>
      <c r="AF31" t="s">
        <v>1290</v>
      </c>
      <c r="AG31">
        <v>0</v>
      </c>
      <c r="AH31">
        <v>0</v>
      </c>
      <c r="AI31">
        <v>0</v>
      </c>
      <c r="AJ31">
        <v>1954</v>
      </c>
      <c r="AK31">
        <v>2014</v>
      </c>
      <c r="AL31">
        <v>2007</v>
      </c>
      <c r="AM31" s="4" t="s">
        <v>1238</v>
      </c>
      <c r="AN31">
        <v>0</v>
      </c>
      <c r="AO31" t="s">
        <v>1315</v>
      </c>
      <c r="AP31">
        <f t="shared" si="0"/>
        <v>0</v>
      </c>
      <c r="AQ31">
        <v>1</v>
      </c>
      <c r="AR31" t="s">
        <v>1992</v>
      </c>
      <c r="AS31" t="s">
        <v>1996</v>
      </c>
      <c r="AT31" t="s">
        <v>1996</v>
      </c>
      <c r="AU31" t="s">
        <v>1995</v>
      </c>
      <c r="AV31" t="s">
        <v>1995</v>
      </c>
      <c r="AW31" t="s">
        <v>1995</v>
      </c>
      <c r="AX31" t="s">
        <v>2006</v>
      </c>
      <c r="AY31" t="s">
        <v>1996</v>
      </c>
      <c r="AZ31">
        <v>4519</v>
      </c>
      <c r="BA31" t="s">
        <v>1194</v>
      </c>
      <c r="BB31" t="s">
        <v>1194</v>
      </c>
      <c r="BC31" s="3">
        <v>7693.0644000000002</v>
      </c>
      <c r="BD31" s="3">
        <v>3984.42</v>
      </c>
      <c r="BE31" s="3">
        <v>0</v>
      </c>
      <c r="BF31" s="3">
        <v>0</v>
      </c>
      <c r="BG31" s="3">
        <v>150</v>
      </c>
      <c r="BH31" s="3">
        <v>0</v>
      </c>
      <c r="BI31" s="3">
        <v>3772</v>
      </c>
      <c r="BJ31" s="3">
        <v>15599</v>
      </c>
      <c r="BK31" s="3">
        <v>0</v>
      </c>
      <c r="BL31" s="3">
        <v>15599</v>
      </c>
      <c r="BM31" s="2">
        <f t="shared" ca="1" si="1"/>
        <v>4</v>
      </c>
      <c r="BN31" s="3">
        <v>2000000</v>
      </c>
      <c r="BO31" s="3">
        <v>2000000</v>
      </c>
      <c r="BP31" s="3">
        <v>50000</v>
      </c>
      <c r="BQ31" s="3">
        <v>100000</v>
      </c>
      <c r="BR31" s="3">
        <v>500000</v>
      </c>
      <c r="BS31">
        <v>1000000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 t="s">
        <v>2942</v>
      </c>
      <c r="CA31" t="s">
        <v>2006</v>
      </c>
      <c r="CB31" t="s">
        <v>2941</v>
      </c>
    </row>
    <row r="32" spans="1:80" x14ac:dyDescent="0.25">
      <c r="A32">
        <v>30</v>
      </c>
      <c r="B32" t="s">
        <v>2049</v>
      </c>
      <c r="C32" s="1">
        <v>44835</v>
      </c>
      <c r="D32" s="2">
        <v>30</v>
      </c>
      <c r="E32" t="s">
        <v>4</v>
      </c>
      <c r="F32" t="s">
        <v>1311</v>
      </c>
      <c r="G32">
        <v>1</v>
      </c>
      <c r="H32" s="3">
        <v>0</v>
      </c>
      <c r="I32" s="3">
        <v>0</v>
      </c>
      <c r="J32" s="3">
        <v>1250000</v>
      </c>
      <c r="K32" s="3">
        <v>0</v>
      </c>
      <c r="L32" s="3" t="s">
        <v>1192</v>
      </c>
      <c r="M32">
        <v>1535737</v>
      </c>
      <c r="N32" t="s">
        <v>164</v>
      </c>
      <c r="P32" t="s">
        <v>40</v>
      </c>
      <c r="Q32" t="s">
        <v>19</v>
      </c>
      <c r="R32">
        <v>93108</v>
      </c>
      <c r="S32" t="s">
        <v>40</v>
      </c>
      <c r="T32" t="s">
        <v>974</v>
      </c>
      <c r="U32">
        <v>0</v>
      </c>
      <c r="V32">
        <v>1</v>
      </c>
      <c r="W32" t="s">
        <v>1196</v>
      </c>
      <c r="X32" t="s">
        <v>973</v>
      </c>
      <c r="Y32">
        <v>5000</v>
      </c>
      <c r="Z32" s="2" t="s">
        <v>1194</v>
      </c>
      <c r="AA32" s="2" t="s">
        <v>1238</v>
      </c>
      <c r="AB32" t="s">
        <v>1238</v>
      </c>
      <c r="AC32" t="s">
        <v>1194</v>
      </c>
      <c r="AD32" t="s">
        <v>1279</v>
      </c>
      <c r="AE32">
        <v>3</v>
      </c>
      <c r="AF32" t="s">
        <v>1290</v>
      </c>
      <c r="AG32">
        <v>0</v>
      </c>
      <c r="AH32">
        <v>0</v>
      </c>
      <c r="AI32">
        <v>0</v>
      </c>
      <c r="AJ32">
        <v>1974</v>
      </c>
      <c r="AK32" t="s">
        <v>1194</v>
      </c>
      <c r="AL32" t="s">
        <v>1194</v>
      </c>
      <c r="AM32" s="4" t="s">
        <v>1238</v>
      </c>
      <c r="AN32">
        <v>0</v>
      </c>
      <c r="AO32" t="s">
        <v>1315</v>
      </c>
      <c r="AP32">
        <f t="shared" si="0"/>
        <v>0</v>
      </c>
      <c r="AQ32">
        <v>1</v>
      </c>
      <c r="AR32" t="s">
        <v>1992</v>
      </c>
      <c r="AS32" t="s">
        <v>1996</v>
      </c>
      <c r="AT32" t="s">
        <v>1996</v>
      </c>
      <c r="AU32" t="s">
        <v>1995</v>
      </c>
      <c r="AV32" t="s">
        <v>1995</v>
      </c>
      <c r="AW32" t="s">
        <v>1996</v>
      </c>
      <c r="AX32" t="s">
        <v>1194</v>
      </c>
      <c r="AY32" t="s">
        <v>1996</v>
      </c>
      <c r="AZ32">
        <v>1994</v>
      </c>
      <c r="BA32" t="s">
        <v>1194</v>
      </c>
      <c r="BB32" t="s">
        <v>2014</v>
      </c>
      <c r="BC32" s="3">
        <v>0</v>
      </c>
      <c r="BD32" s="3">
        <v>0</v>
      </c>
      <c r="BE32" s="3">
        <v>6354.04</v>
      </c>
      <c r="BF32" s="3">
        <v>3032.98</v>
      </c>
      <c r="BG32" s="3">
        <v>0</v>
      </c>
      <c r="BH32" s="3">
        <v>0</v>
      </c>
      <c r="BI32" s="3">
        <v>0</v>
      </c>
      <c r="BJ32" s="3">
        <v>9387.02</v>
      </c>
      <c r="BK32" s="3">
        <v>0</v>
      </c>
      <c r="BL32" s="3">
        <v>9387.02</v>
      </c>
      <c r="BM32" s="2">
        <f t="shared" ca="1" si="1"/>
        <v>3</v>
      </c>
      <c r="BN32" s="3">
        <v>100000</v>
      </c>
      <c r="BO32" s="3">
        <v>500000</v>
      </c>
      <c r="BP32" s="3">
        <v>100000</v>
      </c>
      <c r="BQ32" s="3">
        <v>1000000</v>
      </c>
      <c r="BR32" s="3">
        <v>100000</v>
      </c>
      <c r="BS32">
        <v>500000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 t="s">
        <v>2948</v>
      </c>
      <c r="CA32" t="s">
        <v>1194</v>
      </c>
      <c r="CB32" t="s">
        <v>2949</v>
      </c>
    </row>
    <row r="33" spans="1:80" x14ac:dyDescent="0.25">
      <c r="A33">
        <v>31</v>
      </c>
      <c r="B33" t="s">
        <v>2050</v>
      </c>
      <c r="C33" s="1">
        <v>44677</v>
      </c>
      <c r="D33" s="2">
        <v>12</v>
      </c>
      <c r="E33" t="s">
        <v>4</v>
      </c>
      <c r="F33" t="s">
        <v>1311</v>
      </c>
      <c r="G33">
        <v>1</v>
      </c>
      <c r="H33" s="3">
        <v>1600000</v>
      </c>
      <c r="I33" s="3">
        <v>0</v>
      </c>
      <c r="J33" s="3">
        <v>0</v>
      </c>
      <c r="K33" s="3">
        <v>0</v>
      </c>
      <c r="L33" s="3" t="s">
        <v>1191</v>
      </c>
      <c r="M33">
        <v>1716890</v>
      </c>
      <c r="N33" t="s">
        <v>165</v>
      </c>
      <c r="P33" t="s">
        <v>166</v>
      </c>
      <c r="Q33" t="s">
        <v>15</v>
      </c>
      <c r="R33">
        <v>33070</v>
      </c>
      <c r="S33" t="s">
        <v>41</v>
      </c>
      <c r="T33" t="s">
        <v>967</v>
      </c>
      <c r="U33">
        <v>1</v>
      </c>
      <c r="V33" t="s">
        <v>1004</v>
      </c>
      <c r="W33" t="s">
        <v>1194</v>
      </c>
      <c r="X33" t="s">
        <v>1309</v>
      </c>
      <c r="Y33">
        <v>25000</v>
      </c>
      <c r="Z33" s="2">
        <v>5</v>
      </c>
      <c r="AA33" s="2" t="s">
        <v>1238</v>
      </c>
      <c r="AB33" t="s">
        <v>1238</v>
      </c>
      <c r="AC33">
        <v>873</v>
      </c>
      <c r="AD33" t="s">
        <v>1282</v>
      </c>
      <c r="AE33">
        <v>2</v>
      </c>
      <c r="AF33" t="s">
        <v>1291</v>
      </c>
      <c r="AG33">
        <v>0</v>
      </c>
      <c r="AH33">
        <v>0</v>
      </c>
      <c r="AI33">
        <v>0</v>
      </c>
      <c r="AJ33">
        <v>2022</v>
      </c>
      <c r="AK33" t="s">
        <v>1194</v>
      </c>
      <c r="AL33" t="s">
        <v>1194</v>
      </c>
      <c r="AM33" s="4" t="s">
        <v>1238</v>
      </c>
      <c r="AN33">
        <v>0</v>
      </c>
      <c r="AO33" t="s">
        <v>1317</v>
      </c>
      <c r="AP33">
        <f t="shared" si="0"/>
        <v>0</v>
      </c>
      <c r="AQ33">
        <v>0</v>
      </c>
      <c r="AR33" t="s">
        <v>1993</v>
      </c>
      <c r="AS33" t="s">
        <v>1996</v>
      </c>
      <c r="AT33" t="s">
        <v>1995</v>
      </c>
      <c r="AU33" t="s">
        <v>1995</v>
      </c>
      <c r="AV33" t="s">
        <v>1995</v>
      </c>
      <c r="AW33" t="s">
        <v>1996</v>
      </c>
      <c r="AX33" t="s">
        <v>2007</v>
      </c>
      <c r="AY33" t="s">
        <v>1995</v>
      </c>
      <c r="AZ33">
        <v>3830</v>
      </c>
      <c r="BA33" t="s">
        <v>1194</v>
      </c>
      <c r="BB33" t="s">
        <v>1194</v>
      </c>
      <c r="BC33" s="3">
        <v>2247.2148999999999</v>
      </c>
      <c r="BD33" s="3">
        <v>15594.46</v>
      </c>
      <c r="BE33" s="3">
        <v>0</v>
      </c>
      <c r="BF33" s="3">
        <v>0</v>
      </c>
      <c r="BG33" s="3">
        <v>0</v>
      </c>
      <c r="BH33" s="3">
        <v>0</v>
      </c>
      <c r="BI33" s="3">
        <v>15758</v>
      </c>
      <c r="BJ33" s="3">
        <v>33600</v>
      </c>
      <c r="BK33" s="3">
        <v>300</v>
      </c>
      <c r="BL33" s="3">
        <v>33900</v>
      </c>
      <c r="BM33" s="2">
        <f t="shared" ca="1" si="1"/>
        <v>2</v>
      </c>
      <c r="BN33" s="3">
        <v>100000</v>
      </c>
      <c r="BO33" s="3">
        <v>100000</v>
      </c>
      <c r="BP33" s="3">
        <v>50000</v>
      </c>
      <c r="BQ33" s="3">
        <v>500000</v>
      </c>
      <c r="BR33" s="3">
        <v>250000</v>
      </c>
      <c r="BS33">
        <v>50000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 t="s">
        <v>2940</v>
      </c>
      <c r="CA33" t="s">
        <v>2939</v>
      </c>
      <c r="CB33" t="s">
        <v>2941</v>
      </c>
    </row>
    <row r="34" spans="1:80" x14ac:dyDescent="0.25">
      <c r="A34">
        <v>32</v>
      </c>
      <c r="B34" t="s">
        <v>2051</v>
      </c>
      <c r="C34" s="1">
        <v>44936</v>
      </c>
      <c r="D34" s="2">
        <v>3</v>
      </c>
      <c r="E34" t="s">
        <v>4</v>
      </c>
      <c r="F34" t="s">
        <v>1310</v>
      </c>
      <c r="G34">
        <v>0</v>
      </c>
      <c r="H34" s="3">
        <v>0</v>
      </c>
      <c r="I34" s="3">
        <v>0</v>
      </c>
      <c r="J34" s="3">
        <v>1500000</v>
      </c>
      <c r="K34" s="3">
        <v>0</v>
      </c>
      <c r="L34" s="3" t="s">
        <v>1192</v>
      </c>
      <c r="M34">
        <v>1963385</v>
      </c>
      <c r="N34" t="s">
        <v>167</v>
      </c>
      <c r="O34" t="s">
        <v>168</v>
      </c>
      <c r="P34" t="s">
        <v>29</v>
      </c>
      <c r="Q34" t="s">
        <v>14</v>
      </c>
      <c r="R34">
        <v>10014</v>
      </c>
      <c r="S34" t="s">
        <v>29</v>
      </c>
      <c r="T34" t="s">
        <v>962</v>
      </c>
      <c r="U34">
        <v>0</v>
      </c>
      <c r="V34" t="s">
        <v>997</v>
      </c>
      <c r="W34" t="s">
        <v>1194</v>
      </c>
      <c r="X34" t="s">
        <v>973</v>
      </c>
      <c r="Y34">
        <v>10000</v>
      </c>
      <c r="Z34" s="2">
        <v>1</v>
      </c>
      <c r="AA34" s="2" t="s">
        <v>1238</v>
      </c>
      <c r="AB34" t="s">
        <v>1238</v>
      </c>
      <c r="AC34">
        <v>722</v>
      </c>
      <c r="AD34" t="s">
        <v>1281</v>
      </c>
      <c r="AE34">
        <v>1</v>
      </c>
      <c r="AF34" t="s">
        <v>1290</v>
      </c>
      <c r="AG34">
        <v>0</v>
      </c>
      <c r="AH34">
        <v>0</v>
      </c>
      <c r="AI34">
        <v>0</v>
      </c>
      <c r="AJ34">
        <v>1920</v>
      </c>
      <c r="AK34" t="s">
        <v>1194</v>
      </c>
      <c r="AL34" t="s">
        <v>1194</v>
      </c>
      <c r="AM34" s="4" t="s">
        <v>1308</v>
      </c>
      <c r="AN34">
        <v>1</v>
      </c>
      <c r="AO34" t="s">
        <v>1315</v>
      </c>
      <c r="AP34">
        <f t="shared" si="0"/>
        <v>0</v>
      </c>
      <c r="AQ34">
        <v>1</v>
      </c>
      <c r="AR34" t="s">
        <v>1992</v>
      </c>
      <c r="AS34" t="s">
        <v>1996</v>
      </c>
      <c r="AT34" t="s">
        <v>1996</v>
      </c>
      <c r="AU34" t="s">
        <v>1996</v>
      </c>
      <c r="AV34" t="s">
        <v>1995</v>
      </c>
      <c r="AW34" t="s">
        <v>1995</v>
      </c>
      <c r="AX34" t="s">
        <v>2006</v>
      </c>
      <c r="AY34" t="s">
        <v>1996</v>
      </c>
      <c r="AZ34">
        <v>1517</v>
      </c>
      <c r="BA34" t="s">
        <v>1194</v>
      </c>
      <c r="BB34" t="s">
        <v>1194</v>
      </c>
      <c r="BC34" s="3">
        <v>7791.3987999999999</v>
      </c>
      <c r="BD34" s="3">
        <v>2074.8200000000002</v>
      </c>
      <c r="BE34" s="3">
        <v>0</v>
      </c>
      <c r="BF34" s="3">
        <v>0</v>
      </c>
      <c r="BG34" s="3">
        <v>150</v>
      </c>
      <c r="BH34" s="3">
        <v>0</v>
      </c>
      <c r="BI34" s="3">
        <v>0</v>
      </c>
      <c r="BJ34" s="3">
        <v>10016</v>
      </c>
      <c r="BK34" s="3">
        <v>0</v>
      </c>
      <c r="BL34" s="3">
        <v>10016</v>
      </c>
      <c r="BM34" s="2">
        <f t="shared" ca="1" si="1"/>
        <v>1</v>
      </c>
      <c r="BN34" s="3">
        <v>250000</v>
      </c>
      <c r="BO34" s="3">
        <v>25000</v>
      </c>
      <c r="BP34" s="3">
        <v>50000</v>
      </c>
      <c r="BQ34" s="3">
        <v>1000000</v>
      </c>
      <c r="BR34" s="3">
        <v>250000</v>
      </c>
      <c r="BS34">
        <v>250000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 t="s">
        <v>2943</v>
      </c>
      <c r="CA34" t="s">
        <v>2006</v>
      </c>
      <c r="CB34" t="s">
        <v>2946</v>
      </c>
    </row>
    <row r="35" spans="1:80" x14ac:dyDescent="0.25">
      <c r="A35">
        <v>33</v>
      </c>
      <c r="B35" t="s">
        <v>2052</v>
      </c>
      <c r="C35" s="1">
        <v>44979</v>
      </c>
      <c r="D35" s="2">
        <v>6</v>
      </c>
      <c r="E35" t="s">
        <v>4</v>
      </c>
      <c r="F35" t="s">
        <v>1310</v>
      </c>
      <c r="G35">
        <v>0</v>
      </c>
      <c r="H35" s="3">
        <v>1154000</v>
      </c>
      <c r="I35" s="3">
        <v>65000</v>
      </c>
      <c r="J35" s="3">
        <v>0</v>
      </c>
      <c r="K35" s="3">
        <v>0</v>
      </c>
      <c r="L35" s="3" t="s">
        <v>1191</v>
      </c>
      <c r="M35">
        <v>2018423</v>
      </c>
      <c r="N35" t="s">
        <v>169</v>
      </c>
      <c r="P35" t="s">
        <v>111</v>
      </c>
      <c r="Q35" t="s">
        <v>14</v>
      </c>
      <c r="R35">
        <v>11937</v>
      </c>
      <c r="S35" t="s">
        <v>26</v>
      </c>
      <c r="T35" t="s">
        <v>962</v>
      </c>
      <c r="U35">
        <v>0</v>
      </c>
      <c r="V35" t="s">
        <v>1005</v>
      </c>
      <c r="W35" t="s">
        <v>1194</v>
      </c>
      <c r="X35" t="s">
        <v>973</v>
      </c>
      <c r="Y35">
        <v>10000</v>
      </c>
      <c r="Z35" s="2">
        <v>2</v>
      </c>
      <c r="AA35" s="2" t="s">
        <v>1238</v>
      </c>
      <c r="AB35" t="s">
        <v>1238</v>
      </c>
      <c r="AC35">
        <v>764</v>
      </c>
      <c r="AD35" t="s">
        <v>1279</v>
      </c>
      <c r="AE35">
        <v>3</v>
      </c>
      <c r="AF35" t="s">
        <v>1290</v>
      </c>
      <c r="AG35">
        <v>0</v>
      </c>
      <c r="AH35">
        <v>0</v>
      </c>
      <c r="AI35">
        <v>0</v>
      </c>
      <c r="AJ35">
        <v>1981</v>
      </c>
      <c r="AK35" t="s">
        <v>1194</v>
      </c>
      <c r="AL35">
        <v>2023</v>
      </c>
      <c r="AM35" s="4" t="s">
        <v>1306</v>
      </c>
      <c r="AN35">
        <v>0</v>
      </c>
      <c r="AO35" t="s">
        <v>1316</v>
      </c>
      <c r="AP35">
        <f t="shared" si="0"/>
        <v>0</v>
      </c>
      <c r="AQ35">
        <v>0</v>
      </c>
      <c r="AR35" t="s">
        <v>1993</v>
      </c>
      <c r="AS35" t="s">
        <v>1995</v>
      </c>
      <c r="AT35" t="s">
        <v>1996</v>
      </c>
      <c r="AU35" t="s">
        <v>1996</v>
      </c>
      <c r="AV35" t="s">
        <v>1995</v>
      </c>
      <c r="AW35" t="s">
        <v>1995</v>
      </c>
      <c r="AX35" t="s">
        <v>2006</v>
      </c>
      <c r="AY35" t="s">
        <v>1996</v>
      </c>
      <c r="AZ35">
        <v>1776</v>
      </c>
      <c r="BA35" t="s">
        <v>1194</v>
      </c>
      <c r="BB35" t="s">
        <v>1194</v>
      </c>
      <c r="BC35" s="3">
        <v>4877.5465999999997</v>
      </c>
      <c r="BD35" s="3">
        <v>6076.11</v>
      </c>
      <c r="BE35" s="3">
        <v>0</v>
      </c>
      <c r="BF35" s="3">
        <v>0</v>
      </c>
      <c r="BG35" s="3">
        <v>0</v>
      </c>
      <c r="BH35" s="3">
        <v>0</v>
      </c>
      <c r="BI35" s="3">
        <v>2455</v>
      </c>
      <c r="BJ35" s="3">
        <v>13409</v>
      </c>
      <c r="BK35" s="3">
        <v>0</v>
      </c>
      <c r="BL35" s="3">
        <v>13409</v>
      </c>
      <c r="BM35" s="2">
        <f t="shared" ca="1" si="1"/>
        <v>0</v>
      </c>
      <c r="BN35" s="3">
        <v>250000</v>
      </c>
      <c r="BO35" s="3">
        <v>20000</v>
      </c>
      <c r="BP35" s="3">
        <v>50000</v>
      </c>
      <c r="BQ35" s="3">
        <v>50000</v>
      </c>
      <c r="BR35" s="3">
        <v>1000000</v>
      </c>
      <c r="BS35">
        <v>100000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 t="s">
        <v>2942</v>
      </c>
      <c r="CA35" t="s">
        <v>2006</v>
      </c>
      <c r="CB35" t="s">
        <v>2006</v>
      </c>
    </row>
    <row r="36" spans="1:80" x14ac:dyDescent="0.25">
      <c r="A36">
        <v>34</v>
      </c>
      <c r="B36" t="s">
        <v>2053</v>
      </c>
      <c r="C36" s="1">
        <v>44762</v>
      </c>
      <c r="D36" s="2">
        <v>21</v>
      </c>
      <c r="E36" t="s">
        <v>4</v>
      </c>
      <c r="F36" t="s">
        <v>1311</v>
      </c>
      <c r="G36">
        <v>1</v>
      </c>
      <c r="H36" s="3">
        <v>2556345</v>
      </c>
      <c r="I36" s="3">
        <v>280000</v>
      </c>
      <c r="J36" s="3">
        <v>0</v>
      </c>
      <c r="K36" s="3">
        <v>0</v>
      </c>
      <c r="L36" s="3" t="s">
        <v>1191</v>
      </c>
      <c r="M36">
        <v>1875744</v>
      </c>
      <c r="N36" t="s">
        <v>170</v>
      </c>
      <c r="P36" t="s">
        <v>111</v>
      </c>
      <c r="Q36" t="s">
        <v>14</v>
      </c>
      <c r="R36">
        <v>11937</v>
      </c>
      <c r="S36" t="s">
        <v>26</v>
      </c>
      <c r="T36" t="s">
        <v>963</v>
      </c>
      <c r="U36">
        <v>0</v>
      </c>
      <c r="V36" t="s">
        <v>984</v>
      </c>
      <c r="W36" t="s">
        <v>1194</v>
      </c>
      <c r="X36" t="s">
        <v>973</v>
      </c>
      <c r="Y36">
        <v>10000</v>
      </c>
      <c r="Z36" s="2">
        <v>2.0000039119999999</v>
      </c>
      <c r="AA36" s="2" t="s">
        <v>1238</v>
      </c>
      <c r="AB36" t="s">
        <v>1238</v>
      </c>
      <c r="AC36">
        <v>764</v>
      </c>
      <c r="AD36" t="s">
        <v>1279</v>
      </c>
      <c r="AE36">
        <v>8</v>
      </c>
      <c r="AF36" t="s">
        <v>1290</v>
      </c>
      <c r="AG36">
        <v>0</v>
      </c>
      <c r="AH36">
        <v>0</v>
      </c>
      <c r="AI36">
        <v>0</v>
      </c>
      <c r="AJ36">
        <v>2022</v>
      </c>
      <c r="AK36" t="s">
        <v>1194</v>
      </c>
      <c r="AL36" t="s">
        <v>1194</v>
      </c>
      <c r="AM36" s="4" t="s">
        <v>1238</v>
      </c>
      <c r="AN36">
        <v>0</v>
      </c>
      <c r="AO36" t="s">
        <v>1315</v>
      </c>
      <c r="AP36">
        <f t="shared" si="0"/>
        <v>0</v>
      </c>
      <c r="AQ36">
        <v>1</v>
      </c>
      <c r="AR36" t="s">
        <v>1992</v>
      </c>
      <c r="AS36" t="s">
        <v>1996</v>
      </c>
      <c r="AT36" t="s">
        <v>1996</v>
      </c>
      <c r="AU36" t="s">
        <v>1996</v>
      </c>
      <c r="AV36" t="s">
        <v>1996</v>
      </c>
      <c r="AW36" t="s">
        <v>1996</v>
      </c>
      <c r="AX36" t="s">
        <v>2006</v>
      </c>
      <c r="AY36" t="s">
        <v>1996</v>
      </c>
      <c r="AZ36">
        <v>4500</v>
      </c>
      <c r="BA36" t="s">
        <v>1194</v>
      </c>
      <c r="BB36" t="s">
        <v>1194</v>
      </c>
      <c r="BC36" s="3">
        <v>9449.4112000000005</v>
      </c>
      <c r="BD36" s="3">
        <v>6794</v>
      </c>
      <c r="BE36" s="3">
        <v>0</v>
      </c>
      <c r="BF36" s="3">
        <v>0</v>
      </c>
      <c r="BG36" s="3">
        <v>0</v>
      </c>
      <c r="BH36" s="3">
        <v>0</v>
      </c>
      <c r="BI36" s="3">
        <v>2192.83</v>
      </c>
      <c r="BJ36" s="3">
        <v>18436</v>
      </c>
      <c r="BK36" s="3">
        <v>0</v>
      </c>
      <c r="BL36" s="3">
        <v>18436</v>
      </c>
      <c r="BM36" s="2">
        <f t="shared" ca="1" si="1"/>
        <v>5</v>
      </c>
      <c r="BN36" s="3">
        <v>2000000</v>
      </c>
      <c r="BO36" s="3">
        <v>500000</v>
      </c>
      <c r="BP36" s="3">
        <v>100000</v>
      </c>
      <c r="BQ36" s="3">
        <v>100000</v>
      </c>
      <c r="BR36" s="3">
        <v>100000</v>
      </c>
      <c r="BS36">
        <v>100000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 t="s">
        <v>2942</v>
      </c>
      <c r="CA36" t="s">
        <v>2006</v>
      </c>
      <c r="CB36" t="s">
        <v>2006</v>
      </c>
    </row>
    <row r="37" spans="1:80" x14ac:dyDescent="0.25">
      <c r="A37">
        <v>35</v>
      </c>
      <c r="B37" t="s">
        <v>2054</v>
      </c>
      <c r="C37" s="1">
        <v>44665</v>
      </c>
      <c r="D37" s="2">
        <v>12</v>
      </c>
      <c r="E37" t="s">
        <v>4</v>
      </c>
      <c r="F37" t="s">
        <v>1311</v>
      </c>
      <c r="G37">
        <v>0</v>
      </c>
      <c r="H37" s="3">
        <v>1250000</v>
      </c>
      <c r="I37" s="3">
        <v>59333</v>
      </c>
      <c r="J37" s="3">
        <v>0</v>
      </c>
      <c r="K37" s="3">
        <v>0</v>
      </c>
      <c r="L37" s="3" t="s">
        <v>1191</v>
      </c>
      <c r="M37">
        <v>1812244</v>
      </c>
      <c r="N37" t="s">
        <v>171</v>
      </c>
      <c r="P37" t="s">
        <v>172</v>
      </c>
      <c r="Q37" t="s">
        <v>17</v>
      </c>
      <c r="R37">
        <v>29928</v>
      </c>
      <c r="S37" t="s">
        <v>42</v>
      </c>
      <c r="T37" t="s">
        <v>962</v>
      </c>
      <c r="U37">
        <v>0</v>
      </c>
      <c r="V37" t="s">
        <v>1006</v>
      </c>
      <c r="W37" t="s">
        <v>1194</v>
      </c>
      <c r="X37" t="s">
        <v>973</v>
      </c>
      <c r="Y37">
        <v>5000</v>
      </c>
      <c r="Z37" s="2">
        <v>5</v>
      </c>
      <c r="AA37" s="2" t="s">
        <v>1238</v>
      </c>
      <c r="AB37" t="s">
        <v>1238</v>
      </c>
      <c r="AC37">
        <v>797</v>
      </c>
      <c r="AD37" t="s">
        <v>1279</v>
      </c>
      <c r="AE37">
        <v>2</v>
      </c>
      <c r="AF37" t="s">
        <v>1290</v>
      </c>
      <c r="AG37">
        <v>0</v>
      </c>
      <c r="AH37">
        <v>0</v>
      </c>
      <c r="AI37">
        <v>0</v>
      </c>
      <c r="AJ37">
        <v>2021</v>
      </c>
      <c r="AK37" t="s">
        <v>1194</v>
      </c>
      <c r="AL37" t="s">
        <v>1194</v>
      </c>
      <c r="AM37" s="4" t="s">
        <v>1238</v>
      </c>
      <c r="AN37">
        <v>1</v>
      </c>
      <c r="AO37" t="s">
        <v>1317</v>
      </c>
      <c r="AP37">
        <f t="shared" si="0"/>
        <v>0</v>
      </c>
      <c r="AQ37">
        <v>0</v>
      </c>
      <c r="AR37" t="s">
        <v>1993</v>
      </c>
      <c r="AS37" t="s">
        <v>1995</v>
      </c>
      <c r="AT37" t="s">
        <v>1996</v>
      </c>
      <c r="AU37" t="s">
        <v>1995</v>
      </c>
      <c r="AV37" t="s">
        <v>1996</v>
      </c>
      <c r="AW37" t="s">
        <v>1995</v>
      </c>
      <c r="AX37" t="s">
        <v>2007</v>
      </c>
      <c r="AY37" t="s">
        <v>1995</v>
      </c>
      <c r="AZ37">
        <v>3000</v>
      </c>
      <c r="BA37" t="s">
        <v>1194</v>
      </c>
      <c r="BB37" t="s">
        <v>1194</v>
      </c>
      <c r="BC37" s="3">
        <v>2290.4947999999999</v>
      </c>
      <c r="BD37" s="3">
        <v>3733.52</v>
      </c>
      <c r="BE37" s="3">
        <v>0</v>
      </c>
      <c r="BF37" s="3">
        <v>0</v>
      </c>
      <c r="BG37" s="3">
        <v>150</v>
      </c>
      <c r="BH37" s="3">
        <v>0</v>
      </c>
      <c r="BI37" s="3">
        <v>3963</v>
      </c>
      <c r="BJ37" s="3">
        <v>10137</v>
      </c>
      <c r="BK37" s="3">
        <v>225</v>
      </c>
      <c r="BL37" s="3">
        <v>10362</v>
      </c>
      <c r="BM37" s="2">
        <f t="shared" ca="1" si="1"/>
        <v>4</v>
      </c>
      <c r="BN37" s="3">
        <v>500000</v>
      </c>
      <c r="BO37" s="3">
        <v>25000</v>
      </c>
      <c r="BP37" s="3">
        <v>100000</v>
      </c>
      <c r="BQ37" s="3">
        <v>50000</v>
      </c>
      <c r="BR37" s="3">
        <v>500000</v>
      </c>
      <c r="BS37">
        <v>1000000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 t="s">
        <v>2938</v>
      </c>
      <c r="CA37" t="s">
        <v>2944</v>
      </c>
      <c r="CB37" t="s">
        <v>2941</v>
      </c>
    </row>
    <row r="38" spans="1:80" x14ac:dyDescent="0.25">
      <c r="A38">
        <v>36</v>
      </c>
      <c r="B38" t="s">
        <v>2055</v>
      </c>
      <c r="C38" s="1">
        <v>44930</v>
      </c>
      <c r="D38" s="2">
        <v>3</v>
      </c>
      <c r="E38" t="s">
        <v>4</v>
      </c>
      <c r="F38" t="s">
        <v>1310</v>
      </c>
      <c r="G38">
        <v>0</v>
      </c>
      <c r="H38" s="3">
        <v>650000</v>
      </c>
      <c r="I38" s="3">
        <v>6000</v>
      </c>
      <c r="J38" s="3">
        <v>0</v>
      </c>
      <c r="K38" s="3">
        <v>0</v>
      </c>
      <c r="L38" s="3" t="s">
        <v>1191</v>
      </c>
      <c r="M38">
        <v>1832409</v>
      </c>
      <c r="N38" t="s">
        <v>173</v>
      </c>
      <c r="P38" t="s">
        <v>174</v>
      </c>
      <c r="Q38" t="s">
        <v>20</v>
      </c>
      <c r="R38">
        <v>31061</v>
      </c>
      <c r="S38" t="s">
        <v>43</v>
      </c>
      <c r="T38" t="s">
        <v>973</v>
      </c>
      <c r="U38">
        <v>0</v>
      </c>
      <c r="V38">
        <v>12</v>
      </c>
      <c r="W38" t="s">
        <v>1195</v>
      </c>
      <c r="X38" t="s">
        <v>973</v>
      </c>
      <c r="Y38">
        <v>10000</v>
      </c>
      <c r="Z38" s="2" t="s">
        <v>1194</v>
      </c>
      <c r="AA38" s="2">
        <v>0</v>
      </c>
      <c r="AB38" t="s">
        <v>1238</v>
      </c>
      <c r="AC38">
        <v>858</v>
      </c>
      <c r="AD38" t="s">
        <v>1279</v>
      </c>
      <c r="AE38">
        <v>9</v>
      </c>
      <c r="AF38" t="s">
        <v>1290</v>
      </c>
      <c r="AG38">
        <v>0</v>
      </c>
      <c r="AH38">
        <v>0</v>
      </c>
      <c r="AI38">
        <v>0</v>
      </c>
      <c r="AJ38">
        <v>2021</v>
      </c>
      <c r="AK38" t="s">
        <v>1194</v>
      </c>
      <c r="AL38" t="s">
        <v>1194</v>
      </c>
      <c r="AM38" s="4" t="s">
        <v>1304</v>
      </c>
      <c r="AN38">
        <v>0</v>
      </c>
      <c r="AO38" t="s">
        <v>1315</v>
      </c>
      <c r="AP38">
        <f t="shared" si="0"/>
        <v>0</v>
      </c>
      <c r="AQ38">
        <v>0</v>
      </c>
      <c r="AR38" t="s">
        <v>1993</v>
      </c>
      <c r="AS38" t="s">
        <v>1995</v>
      </c>
      <c r="AT38" t="s">
        <v>1996</v>
      </c>
      <c r="AU38" t="s">
        <v>1995</v>
      </c>
      <c r="AV38" t="s">
        <v>1995</v>
      </c>
      <c r="AW38" t="s">
        <v>1995</v>
      </c>
      <c r="AX38" t="s">
        <v>2006</v>
      </c>
      <c r="AY38" t="s">
        <v>1996</v>
      </c>
      <c r="AZ38">
        <v>2749</v>
      </c>
      <c r="BA38" t="s">
        <v>1194</v>
      </c>
      <c r="BB38" t="s">
        <v>1194</v>
      </c>
      <c r="BC38" s="3">
        <v>2072.0825</v>
      </c>
      <c r="BD38" s="3">
        <v>1390.94</v>
      </c>
      <c r="BE38" s="3">
        <v>0</v>
      </c>
      <c r="BF38" s="3">
        <v>0</v>
      </c>
      <c r="BG38" s="3">
        <v>120</v>
      </c>
      <c r="BH38" s="3">
        <v>0</v>
      </c>
      <c r="BI38" s="3">
        <v>250</v>
      </c>
      <c r="BJ38" s="3">
        <v>3833</v>
      </c>
      <c r="BK38" s="3">
        <v>50</v>
      </c>
      <c r="BL38" s="3">
        <v>3883</v>
      </c>
      <c r="BM38" s="2">
        <f t="shared" ca="1" si="1"/>
        <v>5</v>
      </c>
      <c r="BN38" s="3">
        <v>500000</v>
      </c>
      <c r="BO38" s="3">
        <v>50000</v>
      </c>
      <c r="BP38" s="3">
        <v>100000</v>
      </c>
      <c r="BQ38" s="3">
        <v>500000</v>
      </c>
      <c r="BR38" s="3">
        <v>2000000</v>
      </c>
      <c r="BS38">
        <v>1000000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 t="s">
        <v>2006</v>
      </c>
      <c r="CA38" t="s">
        <v>2006</v>
      </c>
      <c r="CB38" t="s">
        <v>2006</v>
      </c>
    </row>
    <row r="39" spans="1:80" x14ac:dyDescent="0.25">
      <c r="A39">
        <v>37</v>
      </c>
      <c r="B39" t="s">
        <v>2056</v>
      </c>
      <c r="C39" s="1">
        <v>44778</v>
      </c>
      <c r="D39" s="2">
        <v>24</v>
      </c>
      <c r="E39" t="s">
        <v>4</v>
      </c>
      <c r="F39" t="s">
        <v>1311</v>
      </c>
      <c r="G39">
        <v>1</v>
      </c>
      <c r="H39" s="3">
        <v>7992896</v>
      </c>
      <c r="I39" s="3">
        <v>399645</v>
      </c>
      <c r="J39" s="3">
        <v>0</v>
      </c>
      <c r="K39" s="3">
        <v>0</v>
      </c>
      <c r="L39" s="3" t="s">
        <v>1191</v>
      </c>
      <c r="M39">
        <v>536832</v>
      </c>
      <c r="N39" t="s">
        <v>175</v>
      </c>
      <c r="P39" t="s">
        <v>176</v>
      </c>
      <c r="Q39" t="s">
        <v>14</v>
      </c>
      <c r="R39">
        <v>10014</v>
      </c>
      <c r="S39" t="s">
        <v>29</v>
      </c>
      <c r="T39" t="s">
        <v>962</v>
      </c>
      <c r="U39">
        <v>0</v>
      </c>
      <c r="V39" t="s">
        <v>997</v>
      </c>
      <c r="W39" t="s">
        <v>1194</v>
      </c>
      <c r="X39" t="s">
        <v>973</v>
      </c>
      <c r="Y39">
        <v>50000</v>
      </c>
      <c r="Z39" s="2">
        <v>25</v>
      </c>
      <c r="AA39" s="2" t="s">
        <v>1238</v>
      </c>
      <c r="AB39" t="s">
        <v>1238</v>
      </c>
      <c r="AC39">
        <v>731</v>
      </c>
      <c r="AD39" t="s">
        <v>1280</v>
      </c>
      <c r="AE39">
        <v>1</v>
      </c>
      <c r="AF39" t="s">
        <v>1290</v>
      </c>
      <c r="AG39">
        <v>0</v>
      </c>
      <c r="AH39">
        <v>0</v>
      </c>
      <c r="AI39">
        <v>0</v>
      </c>
      <c r="AJ39">
        <v>1827</v>
      </c>
      <c r="AK39">
        <v>1999</v>
      </c>
      <c r="AL39">
        <v>2021</v>
      </c>
      <c r="AM39" s="4" t="s">
        <v>1238</v>
      </c>
      <c r="AN39">
        <v>0</v>
      </c>
      <c r="AO39" t="s">
        <v>1315</v>
      </c>
      <c r="AP39">
        <f t="shared" si="0"/>
        <v>0</v>
      </c>
      <c r="AQ39">
        <v>1</v>
      </c>
      <c r="AR39" t="s">
        <v>1992</v>
      </c>
      <c r="AS39" t="s">
        <v>1995</v>
      </c>
      <c r="AT39" t="s">
        <v>1995</v>
      </c>
      <c r="AU39" t="s">
        <v>1995</v>
      </c>
      <c r="AV39" t="s">
        <v>1995</v>
      </c>
      <c r="AW39" t="s">
        <v>1996</v>
      </c>
      <c r="AX39" t="s">
        <v>2006</v>
      </c>
      <c r="AY39" t="s">
        <v>1996</v>
      </c>
      <c r="AZ39">
        <v>4200</v>
      </c>
      <c r="BA39" t="s">
        <v>1194</v>
      </c>
      <c r="BB39" t="s">
        <v>1194</v>
      </c>
      <c r="BC39" s="3">
        <v>26840.899300000001</v>
      </c>
      <c r="BD39" s="3">
        <v>2045.09</v>
      </c>
      <c r="BE39" s="3">
        <v>0</v>
      </c>
      <c r="BF39" s="3">
        <v>0</v>
      </c>
      <c r="BG39" s="3">
        <v>150</v>
      </c>
      <c r="BH39" s="3">
        <v>0</v>
      </c>
      <c r="BI39" s="3">
        <v>17973</v>
      </c>
      <c r="BJ39" s="3">
        <v>47009</v>
      </c>
      <c r="BK39" s="3">
        <v>0</v>
      </c>
      <c r="BL39" s="3">
        <v>47009</v>
      </c>
      <c r="BM39" s="2">
        <f t="shared" ca="1" si="1"/>
        <v>5</v>
      </c>
      <c r="BN39" s="3">
        <v>100000</v>
      </c>
      <c r="BO39" s="3">
        <v>100000</v>
      </c>
      <c r="BP39" s="3">
        <v>100000</v>
      </c>
      <c r="BQ39" s="3">
        <v>25000</v>
      </c>
      <c r="BR39" s="3">
        <v>250000</v>
      </c>
      <c r="BS39">
        <v>50000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 t="s">
        <v>2006</v>
      </c>
      <c r="CA39" t="s">
        <v>2006</v>
      </c>
      <c r="CB39" t="s">
        <v>2006</v>
      </c>
    </row>
    <row r="40" spans="1:80" x14ac:dyDescent="0.25">
      <c r="A40">
        <v>38</v>
      </c>
      <c r="B40" t="s">
        <v>2057</v>
      </c>
      <c r="C40" s="1">
        <v>44974</v>
      </c>
      <c r="D40" s="2">
        <v>6</v>
      </c>
      <c r="E40" t="s">
        <v>4</v>
      </c>
      <c r="F40" t="s">
        <v>1310</v>
      </c>
      <c r="G40">
        <v>0</v>
      </c>
      <c r="H40" s="3">
        <v>7943757</v>
      </c>
      <c r="I40" s="3">
        <v>0</v>
      </c>
      <c r="J40" s="3">
        <v>0</v>
      </c>
      <c r="K40" s="3">
        <v>0</v>
      </c>
      <c r="L40" s="3" t="s">
        <v>1191</v>
      </c>
      <c r="M40">
        <v>1942444</v>
      </c>
      <c r="N40" t="s">
        <v>177</v>
      </c>
      <c r="P40" t="s">
        <v>178</v>
      </c>
      <c r="Q40" t="s">
        <v>18</v>
      </c>
      <c r="R40">
        <v>77019</v>
      </c>
      <c r="S40" t="s">
        <v>44</v>
      </c>
      <c r="T40" t="s">
        <v>968</v>
      </c>
      <c r="U40">
        <v>0</v>
      </c>
      <c r="V40" t="s">
        <v>1007</v>
      </c>
      <c r="W40" t="s">
        <v>1195</v>
      </c>
      <c r="X40" t="s">
        <v>973</v>
      </c>
      <c r="Y40">
        <v>100000</v>
      </c>
      <c r="Z40" s="2">
        <v>1.9999982380000001</v>
      </c>
      <c r="AA40" s="2">
        <v>0</v>
      </c>
      <c r="AB40" t="s">
        <v>1238</v>
      </c>
      <c r="AC40">
        <v>724</v>
      </c>
      <c r="AD40" t="s">
        <v>1279</v>
      </c>
      <c r="AE40">
        <v>1</v>
      </c>
      <c r="AF40" t="s">
        <v>1290</v>
      </c>
      <c r="AG40">
        <v>0</v>
      </c>
      <c r="AH40">
        <v>0</v>
      </c>
      <c r="AI40">
        <v>0</v>
      </c>
      <c r="AJ40">
        <v>2022</v>
      </c>
      <c r="AK40" t="s">
        <v>1194</v>
      </c>
      <c r="AL40" t="s">
        <v>1194</v>
      </c>
      <c r="AM40" s="4" t="s">
        <v>1304</v>
      </c>
      <c r="AN40">
        <v>0</v>
      </c>
      <c r="AO40" t="s">
        <v>1317</v>
      </c>
      <c r="AP40">
        <f t="shared" si="0"/>
        <v>0</v>
      </c>
      <c r="AQ40">
        <v>1</v>
      </c>
      <c r="AR40" t="s">
        <v>1992</v>
      </c>
      <c r="AS40" t="s">
        <v>1996</v>
      </c>
      <c r="AT40" t="s">
        <v>1996</v>
      </c>
      <c r="AU40" t="s">
        <v>1995</v>
      </c>
      <c r="AV40" t="s">
        <v>1996</v>
      </c>
      <c r="AW40" t="s">
        <v>1996</v>
      </c>
      <c r="AX40" t="s">
        <v>2006</v>
      </c>
      <c r="AY40" t="s">
        <v>1996</v>
      </c>
      <c r="AZ40">
        <v>10606</v>
      </c>
      <c r="BA40" t="s">
        <v>1194</v>
      </c>
      <c r="BB40" t="s">
        <v>1194</v>
      </c>
      <c r="BC40" s="3">
        <v>9502.1208000000006</v>
      </c>
      <c r="BD40" s="3">
        <v>8266.17</v>
      </c>
      <c r="BE40" s="3">
        <v>0</v>
      </c>
      <c r="BF40" s="3">
        <v>0</v>
      </c>
      <c r="BG40" s="3">
        <v>150</v>
      </c>
      <c r="BH40" s="3">
        <v>0</v>
      </c>
      <c r="BI40" s="3">
        <v>19358</v>
      </c>
      <c r="BJ40" s="3">
        <v>37276</v>
      </c>
      <c r="BK40" s="3">
        <v>0</v>
      </c>
      <c r="BL40" s="3">
        <v>37276</v>
      </c>
      <c r="BM40" s="2">
        <f t="shared" ca="1" si="1"/>
        <v>4</v>
      </c>
      <c r="BN40" s="3">
        <v>500000</v>
      </c>
      <c r="BO40" s="3">
        <v>100000</v>
      </c>
      <c r="BP40" s="3">
        <v>50000</v>
      </c>
      <c r="BQ40" s="3">
        <v>50000</v>
      </c>
      <c r="BR40" s="3">
        <v>2000000</v>
      </c>
      <c r="BS40" t="s">
        <v>2916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 t="s">
        <v>2006</v>
      </c>
      <c r="CA40" t="s">
        <v>2006</v>
      </c>
      <c r="CB40" t="s">
        <v>2946</v>
      </c>
    </row>
    <row r="41" spans="1:80" x14ac:dyDescent="0.25">
      <c r="A41">
        <v>39</v>
      </c>
      <c r="B41" t="s">
        <v>2058</v>
      </c>
      <c r="C41" s="1">
        <v>44774</v>
      </c>
      <c r="D41" s="2">
        <v>24</v>
      </c>
      <c r="E41" t="s">
        <v>5</v>
      </c>
      <c r="F41" t="s">
        <v>1310</v>
      </c>
      <c r="G41">
        <v>0</v>
      </c>
      <c r="H41" s="3">
        <v>1500000</v>
      </c>
      <c r="I41" s="3">
        <v>285000</v>
      </c>
      <c r="J41" s="3">
        <v>300000</v>
      </c>
      <c r="K41" s="3">
        <v>150000</v>
      </c>
      <c r="L41" s="3" t="s">
        <v>1191</v>
      </c>
      <c r="M41">
        <v>1219058</v>
      </c>
      <c r="N41" t="s">
        <v>179</v>
      </c>
      <c r="P41" t="s">
        <v>180</v>
      </c>
      <c r="Q41" t="s">
        <v>21</v>
      </c>
      <c r="R41">
        <v>28207</v>
      </c>
      <c r="S41" t="s">
        <v>45</v>
      </c>
      <c r="T41" t="s">
        <v>973</v>
      </c>
      <c r="U41">
        <v>0</v>
      </c>
      <c r="V41" t="s">
        <v>1008</v>
      </c>
      <c r="W41" t="s">
        <v>1194</v>
      </c>
      <c r="X41" t="s">
        <v>973</v>
      </c>
      <c r="Y41">
        <v>10000</v>
      </c>
      <c r="Z41" s="2" t="s">
        <v>1194</v>
      </c>
      <c r="AA41" s="2" t="s">
        <v>1238</v>
      </c>
      <c r="AB41" t="s">
        <v>1238</v>
      </c>
      <c r="AC41">
        <v>654</v>
      </c>
      <c r="AD41" t="s">
        <v>1279</v>
      </c>
      <c r="AE41">
        <v>1</v>
      </c>
      <c r="AF41" t="s">
        <v>1290</v>
      </c>
      <c r="AG41">
        <v>0</v>
      </c>
      <c r="AH41">
        <v>0</v>
      </c>
      <c r="AI41">
        <v>0</v>
      </c>
      <c r="AJ41">
        <v>1992</v>
      </c>
      <c r="AK41" t="s">
        <v>1194</v>
      </c>
      <c r="AL41">
        <v>2022</v>
      </c>
      <c r="AM41" s="4" t="s">
        <v>1306</v>
      </c>
      <c r="AN41">
        <v>1</v>
      </c>
      <c r="AO41" t="s">
        <v>1315</v>
      </c>
      <c r="AP41">
        <f t="shared" si="0"/>
        <v>0</v>
      </c>
      <c r="AQ41">
        <v>0</v>
      </c>
      <c r="AR41" t="s">
        <v>1993</v>
      </c>
      <c r="AS41" t="s">
        <v>1995</v>
      </c>
      <c r="AT41" t="s">
        <v>1995</v>
      </c>
      <c r="AU41" t="s">
        <v>1996</v>
      </c>
      <c r="AV41" t="s">
        <v>1995</v>
      </c>
      <c r="AW41" t="s">
        <v>1995</v>
      </c>
      <c r="AX41" t="s">
        <v>2006</v>
      </c>
      <c r="AY41" t="s">
        <v>1996</v>
      </c>
      <c r="AZ41">
        <v>2877</v>
      </c>
      <c r="BA41" t="s">
        <v>1194</v>
      </c>
      <c r="BB41" t="s">
        <v>1194</v>
      </c>
      <c r="BC41" s="3">
        <v>4529.75</v>
      </c>
      <c r="BD41" s="3">
        <v>3068.53</v>
      </c>
      <c r="BE41" s="3">
        <v>0</v>
      </c>
      <c r="BF41" s="3">
        <v>0</v>
      </c>
      <c r="BG41" s="3">
        <v>150</v>
      </c>
      <c r="BH41" s="3">
        <v>0</v>
      </c>
      <c r="BI41" s="3">
        <v>-372</v>
      </c>
      <c r="BJ41" s="3">
        <v>7376</v>
      </c>
      <c r="BK41" s="3">
        <v>0</v>
      </c>
      <c r="BL41" s="3">
        <v>7376</v>
      </c>
      <c r="BM41" s="2">
        <f t="shared" ca="1" si="1"/>
        <v>1</v>
      </c>
      <c r="BN41" s="3" t="s">
        <v>2916</v>
      </c>
      <c r="BO41" s="3">
        <v>100000</v>
      </c>
      <c r="BP41" s="3">
        <v>100000</v>
      </c>
      <c r="BQ41" s="3">
        <v>100000</v>
      </c>
      <c r="BR41" s="3">
        <v>250000</v>
      </c>
      <c r="BS41">
        <v>250000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 t="s">
        <v>2947</v>
      </c>
      <c r="CA41" t="s">
        <v>2006</v>
      </c>
      <c r="CB41" t="s">
        <v>2006</v>
      </c>
    </row>
    <row r="42" spans="1:80" x14ac:dyDescent="0.25">
      <c r="A42">
        <v>40</v>
      </c>
      <c r="B42" t="s">
        <v>2059</v>
      </c>
      <c r="C42" s="1">
        <v>44879</v>
      </c>
      <c r="D42" s="2">
        <v>33</v>
      </c>
      <c r="E42" t="s">
        <v>4</v>
      </c>
      <c r="F42" t="s">
        <v>1311</v>
      </c>
      <c r="G42">
        <v>1</v>
      </c>
      <c r="H42" s="3">
        <v>0</v>
      </c>
      <c r="I42" s="3">
        <v>0</v>
      </c>
      <c r="J42" s="3">
        <v>3000000</v>
      </c>
      <c r="K42" s="3">
        <v>0</v>
      </c>
      <c r="L42" s="3" t="s">
        <v>1192</v>
      </c>
      <c r="M42">
        <v>1828508</v>
      </c>
      <c r="N42" t="s">
        <v>181</v>
      </c>
      <c r="P42" t="s">
        <v>29</v>
      </c>
      <c r="Q42" t="s">
        <v>14</v>
      </c>
      <c r="R42">
        <v>10021</v>
      </c>
      <c r="S42" t="s">
        <v>29</v>
      </c>
      <c r="T42" t="s">
        <v>962</v>
      </c>
      <c r="U42">
        <v>0</v>
      </c>
      <c r="V42" t="s">
        <v>1009</v>
      </c>
      <c r="W42" t="s">
        <v>1194</v>
      </c>
      <c r="X42" t="s">
        <v>973</v>
      </c>
      <c r="Y42">
        <v>25000</v>
      </c>
      <c r="Z42" s="2">
        <v>10</v>
      </c>
      <c r="AA42" s="2" t="s">
        <v>1238</v>
      </c>
      <c r="AB42" t="s">
        <v>1238</v>
      </c>
      <c r="AC42">
        <v>825</v>
      </c>
      <c r="AD42" t="s">
        <v>1281</v>
      </c>
      <c r="AE42">
        <v>1</v>
      </c>
      <c r="AF42" t="s">
        <v>1290</v>
      </c>
      <c r="AG42">
        <v>0</v>
      </c>
      <c r="AH42">
        <v>0</v>
      </c>
      <c r="AI42">
        <v>0</v>
      </c>
      <c r="AJ42">
        <v>1976</v>
      </c>
      <c r="AK42">
        <v>2010</v>
      </c>
      <c r="AL42" t="s">
        <v>1194</v>
      </c>
      <c r="AM42" s="4" t="s">
        <v>1238</v>
      </c>
      <c r="AN42">
        <v>0</v>
      </c>
      <c r="AO42" t="s">
        <v>1315</v>
      </c>
      <c r="AP42">
        <f t="shared" si="0"/>
        <v>0</v>
      </c>
      <c r="AQ42">
        <v>0</v>
      </c>
      <c r="AR42" t="s">
        <v>1993</v>
      </c>
      <c r="AS42" t="s">
        <v>1996</v>
      </c>
      <c r="AT42" t="s">
        <v>1995</v>
      </c>
      <c r="AU42" t="s">
        <v>1996</v>
      </c>
      <c r="AV42" t="s">
        <v>1996</v>
      </c>
      <c r="AW42" t="s">
        <v>1995</v>
      </c>
      <c r="AX42" t="s">
        <v>2003</v>
      </c>
      <c r="AY42" t="s">
        <v>1996</v>
      </c>
      <c r="AZ42">
        <v>3500</v>
      </c>
      <c r="BA42" t="s">
        <v>1194</v>
      </c>
      <c r="BB42" t="s">
        <v>1194</v>
      </c>
      <c r="BC42" s="3">
        <v>8999.8618000000006</v>
      </c>
      <c r="BD42" s="3">
        <v>1139.51</v>
      </c>
      <c r="BE42" s="3">
        <v>0</v>
      </c>
      <c r="BF42" s="3">
        <v>0</v>
      </c>
      <c r="BG42" s="3">
        <v>0</v>
      </c>
      <c r="BH42" s="3">
        <v>0</v>
      </c>
      <c r="BI42" s="3">
        <v>5461</v>
      </c>
      <c r="BJ42" s="3">
        <v>15600</v>
      </c>
      <c r="BK42" s="3">
        <v>300</v>
      </c>
      <c r="BL42" s="3">
        <v>15900</v>
      </c>
      <c r="BM42" s="2">
        <f t="shared" ca="1" si="1"/>
        <v>4</v>
      </c>
      <c r="BN42" s="3" t="s">
        <v>2916</v>
      </c>
      <c r="BO42" s="3">
        <v>25000</v>
      </c>
      <c r="BP42" s="3">
        <v>100000</v>
      </c>
      <c r="BQ42" s="3">
        <v>50000</v>
      </c>
      <c r="BR42" s="3">
        <v>500000</v>
      </c>
      <c r="BS42">
        <v>1000000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 t="s">
        <v>2940</v>
      </c>
      <c r="CA42" t="s">
        <v>2006</v>
      </c>
      <c r="CB42" t="s">
        <v>2946</v>
      </c>
    </row>
    <row r="43" spans="1:80" x14ac:dyDescent="0.25">
      <c r="A43">
        <v>41</v>
      </c>
      <c r="B43" t="s">
        <v>2060</v>
      </c>
      <c r="C43" s="1">
        <v>44932</v>
      </c>
      <c r="D43" s="2">
        <v>3</v>
      </c>
      <c r="E43" t="s">
        <v>4</v>
      </c>
      <c r="F43" t="s">
        <v>1310</v>
      </c>
      <c r="G43">
        <v>0</v>
      </c>
      <c r="H43" s="3">
        <v>1589916</v>
      </c>
      <c r="I43" s="3">
        <v>410830</v>
      </c>
      <c r="J43" s="3">
        <v>0</v>
      </c>
      <c r="K43" s="3">
        <v>0</v>
      </c>
      <c r="L43" s="3" t="s">
        <v>1191</v>
      </c>
      <c r="M43">
        <v>1708734</v>
      </c>
      <c r="N43" t="s">
        <v>182</v>
      </c>
      <c r="P43" t="s">
        <v>46</v>
      </c>
      <c r="Q43" t="s">
        <v>19</v>
      </c>
      <c r="R43">
        <v>90046</v>
      </c>
      <c r="S43" t="s">
        <v>46</v>
      </c>
      <c r="T43" t="s">
        <v>965</v>
      </c>
      <c r="U43">
        <v>0</v>
      </c>
      <c r="V43">
        <v>41</v>
      </c>
      <c r="W43" t="s">
        <v>1197</v>
      </c>
      <c r="X43" t="s">
        <v>973</v>
      </c>
      <c r="Y43">
        <v>10000</v>
      </c>
      <c r="Z43" s="2" t="s">
        <v>1194</v>
      </c>
      <c r="AA43" s="2" t="s">
        <v>1238</v>
      </c>
      <c r="AB43" t="s">
        <v>1238</v>
      </c>
      <c r="AC43" t="s">
        <v>1194</v>
      </c>
      <c r="AD43" t="s">
        <v>1279</v>
      </c>
      <c r="AE43">
        <v>1</v>
      </c>
      <c r="AF43" t="s">
        <v>1290</v>
      </c>
      <c r="AG43">
        <v>0</v>
      </c>
      <c r="AH43">
        <v>0</v>
      </c>
      <c r="AI43">
        <v>0</v>
      </c>
      <c r="AJ43">
        <v>1955</v>
      </c>
      <c r="AK43">
        <v>2021</v>
      </c>
      <c r="AL43">
        <v>2001</v>
      </c>
      <c r="AM43" s="4" t="s">
        <v>1304</v>
      </c>
      <c r="AN43">
        <v>0</v>
      </c>
      <c r="AO43" t="s">
        <v>1315</v>
      </c>
      <c r="AP43">
        <f t="shared" si="0"/>
        <v>0</v>
      </c>
      <c r="AQ43">
        <v>0</v>
      </c>
      <c r="AR43" t="s">
        <v>1993</v>
      </c>
      <c r="AS43" t="s">
        <v>1996</v>
      </c>
      <c r="AT43" t="s">
        <v>1996</v>
      </c>
      <c r="AU43" t="s">
        <v>1996</v>
      </c>
      <c r="AV43" t="s">
        <v>1995</v>
      </c>
      <c r="AW43" t="s">
        <v>1995</v>
      </c>
      <c r="AX43" t="s">
        <v>1194</v>
      </c>
      <c r="AY43" t="s">
        <v>1996</v>
      </c>
      <c r="AZ43">
        <v>1901</v>
      </c>
      <c r="BA43">
        <v>-4</v>
      </c>
      <c r="BB43" t="s">
        <v>2015</v>
      </c>
      <c r="BC43" s="3">
        <v>0</v>
      </c>
      <c r="BD43" s="3">
        <v>0</v>
      </c>
      <c r="BE43" s="3">
        <v>3302.61</v>
      </c>
      <c r="BF43" s="3">
        <v>17158.509999999998</v>
      </c>
      <c r="BG43" s="3">
        <v>150</v>
      </c>
      <c r="BH43" s="3">
        <v>0</v>
      </c>
      <c r="BI43" s="3">
        <v>4452.33</v>
      </c>
      <c r="BJ43" s="3">
        <v>25063.45</v>
      </c>
      <c r="BK43" s="3">
        <v>0</v>
      </c>
      <c r="BL43" s="3">
        <v>25063.45</v>
      </c>
      <c r="BM43" s="2">
        <f t="shared" ca="1" si="1"/>
        <v>2</v>
      </c>
      <c r="BN43" s="3">
        <v>1000000</v>
      </c>
      <c r="BO43" s="3">
        <v>1000000</v>
      </c>
      <c r="BP43" s="3">
        <v>50000</v>
      </c>
      <c r="BQ43" s="3">
        <v>50000</v>
      </c>
      <c r="BR43" s="3">
        <v>1000000</v>
      </c>
      <c r="BS43">
        <v>100000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 t="s">
        <v>2950</v>
      </c>
      <c r="CA43" t="s">
        <v>1194</v>
      </c>
      <c r="CB43" t="s">
        <v>2949</v>
      </c>
    </row>
    <row r="44" spans="1:80" x14ac:dyDescent="0.25">
      <c r="A44">
        <v>42</v>
      </c>
      <c r="B44" t="s">
        <v>2061</v>
      </c>
      <c r="C44" s="1">
        <v>44929</v>
      </c>
      <c r="D44" s="2">
        <v>3</v>
      </c>
      <c r="E44" t="s">
        <v>4</v>
      </c>
      <c r="F44" t="s">
        <v>1310</v>
      </c>
      <c r="G44">
        <v>0</v>
      </c>
      <c r="H44" s="3">
        <v>6000000</v>
      </c>
      <c r="I44" s="3">
        <v>0</v>
      </c>
      <c r="J44" s="3">
        <v>0</v>
      </c>
      <c r="K44" s="3">
        <v>0</v>
      </c>
      <c r="L44" s="3" t="s">
        <v>1191</v>
      </c>
      <c r="M44">
        <v>2025796</v>
      </c>
      <c r="N44" t="s">
        <v>183</v>
      </c>
      <c r="P44" t="s">
        <v>184</v>
      </c>
      <c r="Q44" t="s">
        <v>14</v>
      </c>
      <c r="R44">
        <v>12501</v>
      </c>
      <c r="S44" t="s">
        <v>47</v>
      </c>
      <c r="T44" t="s">
        <v>973</v>
      </c>
      <c r="U44">
        <v>0</v>
      </c>
      <c r="V44" t="s">
        <v>1010</v>
      </c>
      <c r="W44" t="s">
        <v>1194</v>
      </c>
      <c r="X44" t="s">
        <v>973</v>
      </c>
      <c r="Y44">
        <v>10000</v>
      </c>
      <c r="Z44" s="2" t="s">
        <v>1194</v>
      </c>
      <c r="AA44" s="2" t="s">
        <v>1238</v>
      </c>
      <c r="AB44" t="s">
        <v>1238</v>
      </c>
      <c r="AC44">
        <v>712</v>
      </c>
      <c r="AD44" t="s">
        <v>1279</v>
      </c>
      <c r="AE44">
        <v>5</v>
      </c>
      <c r="AF44" t="s">
        <v>1290</v>
      </c>
      <c r="AG44">
        <v>0</v>
      </c>
      <c r="AH44">
        <v>0</v>
      </c>
      <c r="AI44">
        <v>0</v>
      </c>
      <c r="AJ44">
        <v>2022</v>
      </c>
      <c r="AK44" t="s">
        <v>1194</v>
      </c>
      <c r="AL44" t="s">
        <v>1194</v>
      </c>
      <c r="AM44" s="4" t="s">
        <v>1304</v>
      </c>
      <c r="AN44">
        <v>1</v>
      </c>
      <c r="AO44" t="s">
        <v>1315</v>
      </c>
      <c r="AP44">
        <f t="shared" si="0"/>
        <v>0</v>
      </c>
      <c r="AQ44">
        <v>0</v>
      </c>
      <c r="AR44" t="s">
        <v>1993</v>
      </c>
      <c r="AS44" t="s">
        <v>1995</v>
      </c>
      <c r="AT44" t="s">
        <v>1995</v>
      </c>
      <c r="AU44" t="s">
        <v>1995</v>
      </c>
      <c r="AV44" t="s">
        <v>1995</v>
      </c>
      <c r="AW44" t="s">
        <v>1996</v>
      </c>
      <c r="AX44" t="s">
        <v>2003</v>
      </c>
      <c r="AY44" t="s">
        <v>1996</v>
      </c>
      <c r="AZ44">
        <v>5800</v>
      </c>
      <c r="BA44" t="s">
        <v>1194</v>
      </c>
      <c r="BB44" t="s">
        <v>1194</v>
      </c>
      <c r="BC44" s="3">
        <v>8424.4058000000005</v>
      </c>
      <c r="BD44" s="3">
        <v>1304.75</v>
      </c>
      <c r="BE44" s="3">
        <v>0</v>
      </c>
      <c r="BF44" s="3">
        <v>0</v>
      </c>
      <c r="BG44" s="3">
        <v>150</v>
      </c>
      <c r="BH44" s="3">
        <v>0</v>
      </c>
      <c r="BI44" s="3">
        <v>14555</v>
      </c>
      <c r="BJ44" s="3">
        <v>24434</v>
      </c>
      <c r="BK44" s="3">
        <v>0</v>
      </c>
      <c r="BL44" s="3">
        <v>24434</v>
      </c>
      <c r="BM44" s="2">
        <f t="shared" ca="1" si="1"/>
        <v>1</v>
      </c>
      <c r="BN44" s="3">
        <v>50000</v>
      </c>
      <c r="BO44" s="3">
        <v>2000000</v>
      </c>
      <c r="BP44" s="3">
        <v>50000</v>
      </c>
      <c r="BQ44" s="3">
        <v>500000</v>
      </c>
      <c r="BR44" s="3">
        <v>50000</v>
      </c>
      <c r="BS44">
        <v>500000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 t="s">
        <v>2942</v>
      </c>
      <c r="CA44" t="s">
        <v>2006</v>
      </c>
      <c r="CB44" t="s">
        <v>2006</v>
      </c>
    </row>
    <row r="45" spans="1:80" x14ac:dyDescent="0.25">
      <c r="A45">
        <v>43</v>
      </c>
      <c r="B45" t="s">
        <v>2062</v>
      </c>
      <c r="C45" s="1">
        <v>44851</v>
      </c>
      <c r="D45" s="2">
        <v>30</v>
      </c>
      <c r="E45" t="s">
        <v>6</v>
      </c>
      <c r="F45" t="s">
        <v>1310</v>
      </c>
      <c r="G45">
        <v>0</v>
      </c>
      <c r="H45" s="3">
        <v>1800000</v>
      </c>
      <c r="I45" s="3">
        <v>0</v>
      </c>
      <c r="J45" s="3">
        <v>500000</v>
      </c>
      <c r="K45" s="3">
        <v>0</v>
      </c>
      <c r="L45" s="3" t="s">
        <v>1191</v>
      </c>
      <c r="M45">
        <v>23527</v>
      </c>
      <c r="N45" t="s">
        <v>185</v>
      </c>
      <c r="P45" t="s">
        <v>186</v>
      </c>
      <c r="Q45" t="s">
        <v>22</v>
      </c>
      <c r="R45">
        <v>70776</v>
      </c>
      <c r="S45" t="s">
        <v>48</v>
      </c>
      <c r="T45" t="s">
        <v>968</v>
      </c>
      <c r="U45">
        <v>0</v>
      </c>
      <c r="V45" t="s">
        <v>1011</v>
      </c>
      <c r="W45" t="s">
        <v>1195</v>
      </c>
      <c r="X45" t="s">
        <v>973</v>
      </c>
      <c r="Y45">
        <v>25000</v>
      </c>
      <c r="Z45" s="2">
        <v>5</v>
      </c>
      <c r="AA45" s="2">
        <v>0</v>
      </c>
      <c r="AB45" t="s">
        <v>1238</v>
      </c>
      <c r="AC45">
        <v>707</v>
      </c>
      <c r="AD45" t="s">
        <v>1284</v>
      </c>
      <c r="AE45">
        <v>5</v>
      </c>
      <c r="AF45" t="s">
        <v>1290</v>
      </c>
      <c r="AG45">
        <v>0</v>
      </c>
      <c r="AH45">
        <v>1</v>
      </c>
      <c r="AI45">
        <v>1</v>
      </c>
      <c r="AJ45">
        <v>1983</v>
      </c>
      <c r="AK45">
        <v>1998</v>
      </c>
      <c r="AL45">
        <v>2022</v>
      </c>
      <c r="AM45" s="4" t="s">
        <v>1305</v>
      </c>
      <c r="AN45">
        <v>1</v>
      </c>
      <c r="AO45" t="s">
        <v>1316</v>
      </c>
      <c r="AP45">
        <f t="shared" si="0"/>
        <v>1</v>
      </c>
      <c r="AQ45">
        <v>1</v>
      </c>
      <c r="AR45" t="s">
        <v>1992</v>
      </c>
      <c r="AS45" t="s">
        <v>1996</v>
      </c>
      <c r="AT45" t="s">
        <v>1995</v>
      </c>
      <c r="AU45" t="s">
        <v>1995</v>
      </c>
      <c r="AV45" t="s">
        <v>1996</v>
      </c>
      <c r="AW45" t="s">
        <v>1996</v>
      </c>
      <c r="AX45" t="s">
        <v>2003</v>
      </c>
      <c r="AY45" t="s">
        <v>1996</v>
      </c>
      <c r="AZ45">
        <v>5709</v>
      </c>
      <c r="BA45" t="s">
        <v>1194</v>
      </c>
      <c r="BB45" t="s">
        <v>1194</v>
      </c>
      <c r="BC45" s="3">
        <v>4451.1242000000002</v>
      </c>
      <c r="BD45" s="3">
        <v>6858.64</v>
      </c>
      <c r="BE45" s="3">
        <v>0</v>
      </c>
      <c r="BF45" s="3">
        <v>0</v>
      </c>
      <c r="BG45" s="3">
        <v>150</v>
      </c>
      <c r="BH45" s="3">
        <v>0</v>
      </c>
      <c r="BI45" s="3">
        <v>9240</v>
      </c>
      <c r="BJ45" s="3">
        <v>20700</v>
      </c>
      <c r="BK45" s="3">
        <v>0</v>
      </c>
      <c r="BL45" s="3">
        <v>20700</v>
      </c>
      <c r="BM45" s="2">
        <f t="shared" ca="1" si="1"/>
        <v>1</v>
      </c>
      <c r="BN45" s="3" t="s">
        <v>2916</v>
      </c>
      <c r="BO45" s="3">
        <v>50000</v>
      </c>
      <c r="BP45" s="3">
        <v>200000</v>
      </c>
      <c r="BQ45" s="3">
        <v>50000</v>
      </c>
      <c r="BR45" s="3">
        <v>250000</v>
      </c>
      <c r="BS45">
        <v>50000</v>
      </c>
      <c r="BT45">
        <v>0</v>
      </c>
      <c r="BU45">
        <v>0</v>
      </c>
      <c r="BV45">
        <v>1</v>
      </c>
      <c r="BW45">
        <v>0</v>
      </c>
      <c r="BX45">
        <v>0</v>
      </c>
      <c r="BY45">
        <v>0</v>
      </c>
      <c r="BZ45" t="s">
        <v>2947</v>
      </c>
      <c r="CA45" t="s">
        <v>2006</v>
      </c>
      <c r="CB45" t="s">
        <v>2945</v>
      </c>
    </row>
    <row r="46" spans="1:80" x14ac:dyDescent="0.25">
      <c r="A46">
        <v>44</v>
      </c>
      <c r="B46" t="s">
        <v>2063</v>
      </c>
      <c r="C46" s="1">
        <v>44819</v>
      </c>
      <c r="D46" s="2">
        <v>27</v>
      </c>
      <c r="E46" t="s">
        <v>4</v>
      </c>
      <c r="F46" t="s">
        <v>1311</v>
      </c>
      <c r="G46">
        <v>0</v>
      </c>
      <c r="H46" s="3">
        <v>3000000</v>
      </c>
      <c r="I46" s="3">
        <v>320000</v>
      </c>
      <c r="J46" s="3">
        <v>0</v>
      </c>
      <c r="K46" s="3">
        <v>0</v>
      </c>
      <c r="L46" s="3" t="s">
        <v>1191</v>
      </c>
      <c r="M46">
        <v>1765863</v>
      </c>
      <c r="N46" t="s">
        <v>187</v>
      </c>
      <c r="P46" t="s">
        <v>188</v>
      </c>
      <c r="Q46" t="s">
        <v>21</v>
      </c>
      <c r="R46">
        <v>28704</v>
      </c>
      <c r="S46" t="s">
        <v>49</v>
      </c>
      <c r="T46" t="s">
        <v>973</v>
      </c>
      <c r="U46">
        <v>0</v>
      </c>
      <c r="V46" t="s">
        <v>1012</v>
      </c>
      <c r="W46" t="s">
        <v>1194</v>
      </c>
      <c r="X46" t="s">
        <v>973</v>
      </c>
      <c r="Y46">
        <v>10000</v>
      </c>
      <c r="Z46" s="2" t="s">
        <v>1194</v>
      </c>
      <c r="AA46" s="2" t="s">
        <v>1238</v>
      </c>
      <c r="AB46" t="s">
        <v>1238</v>
      </c>
      <c r="AC46">
        <v>647</v>
      </c>
      <c r="AD46" t="s">
        <v>1279</v>
      </c>
      <c r="AE46">
        <v>3</v>
      </c>
      <c r="AF46" t="s">
        <v>1290</v>
      </c>
      <c r="AG46">
        <v>0</v>
      </c>
      <c r="AH46">
        <v>0</v>
      </c>
      <c r="AI46">
        <v>0</v>
      </c>
      <c r="AJ46">
        <v>2012</v>
      </c>
      <c r="AK46" t="s">
        <v>1194</v>
      </c>
      <c r="AL46" t="s">
        <v>1194</v>
      </c>
      <c r="AM46" s="4" t="s">
        <v>1238</v>
      </c>
      <c r="AN46">
        <v>0</v>
      </c>
      <c r="AO46" t="s">
        <v>1316</v>
      </c>
      <c r="AP46">
        <f t="shared" si="0"/>
        <v>0</v>
      </c>
      <c r="AQ46">
        <v>1</v>
      </c>
      <c r="AR46" t="s">
        <v>1992</v>
      </c>
      <c r="AS46" t="s">
        <v>1996</v>
      </c>
      <c r="AT46" t="s">
        <v>1995</v>
      </c>
      <c r="AU46" t="s">
        <v>1996</v>
      </c>
      <c r="AV46" t="s">
        <v>1996</v>
      </c>
      <c r="AW46" t="s">
        <v>1995</v>
      </c>
      <c r="AX46" t="s">
        <v>2006</v>
      </c>
      <c r="AY46" t="s">
        <v>1996</v>
      </c>
      <c r="AZ46">
        <v>6149</v>
      </c>
      <c r="BA46" t="s">
        <v>1194</v>
      </c>
      <c r="BB46" t="s">
        <v>1194</v>
      </c>
      <c r="BC46" s="3">
        <v>6774.4165000000003</v>
      </c>
      <c r="BD46" s="3">
        <v>3039.18</v>
      </c>
      <c r="BE46" s="3">
        <v>0</v>
      </c>
      <c r="BF46" s="3">
        <v>0</v>
      </c>
      <c r="BG46" s="3">
        <v>150</v>
      </c>
      <c r="BH46" s="3">
        <v>0</v>
      </c>
      <c r="BI46" s="3">
        <v>5972.4</v>
      </c>
      <c r="BJ46" s="3">
        <v>15936</v>
      </c>
      <c r="BK46" s="3">
        <v>100</v>
      </c>
      <c r="BL46" s="3">
        <v>16036</v>
      </c>
      <c r="BM46" s="2">
        <f t="shared" ca="1" si="1"/>
        <v>4</v>
      </c>
      <c r="BN46" s="3">
        <v>250000</v>
      </c>
      <c r="BO46" s="3">
        <v>2000000</v>
      </c>
      <c r="BP46" s="3">
        <v>100000</v>
      </c>
      <c r="BQ46" s="3">
        <v>250000</v>
      </c>
      <c r="BR46" s="3">
        <v>250000</v>
      </c>
      <c r="BS46">
        <v>1000000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 t="s">
        <v>2942</v>
      </c>
      <c r="CA46" t="s">
        <v>2006</v>
      </c>
      <c r="CB46" t="s">
        <v>2945</v>
      </c>
    </row>
    <row r="47" spans="1:80" x14ac:dyDescent="0.25">
      <c r="A47">
        <v>45</v>
      </c>
      <c r="B47" t="s">
        <v>2064</v>
      </c>
      <c r="C47" s="1">
        <v>44771</v>
      </c>
      <c r="D47" s="2">
        <v>21</v>
      </c>
      <c r="E47" t="s">
        <v>4</v>
      </c>
      <c r="F47" t="s">
        <v>1311</v>
      </c>
      <c r="G47">
        <v>0</v>
      </c>
      <c r="H47" s="3">
        <v>0</v>
      </c>
      <c r="I47" s="3">
        <v>0</v>
      </c>
      <c r="J47" s="3">
        <v>3500000</v>
      </c>
      <c r="K47" s="3">
        <v>0</v>
      </c>
      <c r="L47" s="3" t="s">
        <v>1192</v>
      </c>
      <c r="M47">
        <v>1740470</v>
      </c>
      <c r="N47" t="s">
        <v>189</v>
      </c>
      <c r="O47" t="s">
        <v>190</v>
      </c>
      <c r="P47" t="s">
        <v>29</v>
      </c>
      <c r="Q47" t="s">
        <v>14</v>
      </c>
      <c r="R47">
        <v>10024</v>
      </c>
      <c r="S47" t="s">
        <v>29</v>
      </c>
      <c r="T47" t="s">
        <v>968</v>
      </c>
      <c r="U47">
        <v>0</v>
      </c>
      <c r="V47" t="s">
        <v>1013</v>
      </c>
      <c r="W47" t="s">
        <v>1194</v>
      </c>
      <c r="X47" t="s">
        <v>973</v>
      </c>
      <c r="Y47">
        <v>10000</v>
      </c>
      <c r="Z47" s="2">
        <v>2</v>
      </c>
      <c r="AA47" s="2" t="s">
        <v>1238</v>
      </c>
      <c r="AB47" t="s">
        <v>1238</v>
      </c>
      <c r="AC47">
        <v>788</v>
      </c>
      <c r="AD47" t="s">
        <v>1281</v>
      </c>
      <c r="AE47">
        <v>1</v>
      </c>
      <c r="AF47" t="s">
        <v>1290</v>
      </c>
      <c r="AG47">
        <v>0</v>
      </c>
      <c r="AH47">
        <v>0</v>
      </c>
      <c r="AI47">
        <v>0</v>
      </c>
      <c r="AJ47">
        <v>1908</v>
      </c>
      <c r="AK47">
        <v>2010</v>
      </c>
      <c r="AL47" t="s">
        <v>1194</v>
      </c>
      <c r="AM47" s="4" t="s">
        <v>1238</v>
      </c>
      <c r="AN47">
        <v>1</v>
      </c>
      <c r="AO47" t="s">
        <v>1315</v>
      </c>
      <c r="AP47">
        <f t="shared" si="0"/>
        <v>0</v>
      </c>
      <c r="AQ47">
        <v>1</v>
      </c>
      <c r="AR47" t="s">
        <v>1992</v>
      </c>
      <c r="AS47" t="s">
        <v>1996</v>
      </c>
      <c r="AT47" t="s">
        <v>1996</v>
      </c>
      <c r="AU47" t="s">
        <v>1996</v>
      </c>
      <c r="AV47" t="s">
        <v>1996</v>
      </c>
      <c r="AW47" t="s">
        <v>1995</v>
      </c>
      <c r="AX47" t="s">
        <v>2006</v>
      </c>
      <c r="AY47" t="s">
        <v>1996</v>
      </c>
      <c r="AZ47">
        <v>3069</v>
      </c>
      <c r="BA47" t="s">
        <v>1194</v>
      </c>
      <c r="BB47" t="s">
        <v>1194</v>
      </c>
      <c r="BC47" s="3">
        <v>11969.8945</v>
      </c>
      <c r="BD47" s="3">
        <v>2642.99</v>
      </c>
      <c r="BE47" s="3">
        <v>0</v>
      </c>
      <c r="BF47" s="3">
        <v>0</v>
      </c>
      <c r="BG47" s="3">
        <v>150</v>
      </c>
      <c r="BH47" s="3">
        <v>0</v>
      </c>
      <c r="BI47" s="3">
        <v>3577</v>
      </c>
      <c r="BJ47" s="3">
        <v>18340</v>
      </c>
      <c r="BK47" s="3">
        <v>150</v>
      </c>
      <c r="BL47" s="3">
        <v>18490</v>
      </c>
      <c r="BM47" s="2">
        <f t="shared" ca="1" si="1"/>
        <v>1</v>
      </c>
      <c r="BN47" s="3">
        <v>500000</v>
      </c>
      <c r="BO47" s="3">
        <v>20000</v>
      </c>
      <c r="BP47" s="3">
        <v>50000</v>
      </c>
      <c r="BQ47" s="3">
        <v>500000</v>
      </c>
      <c r="BR47" s="3">
        <v>1000000</v>
      </c>
      <c r="BS47">
        <v>1000000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 t="s">
        <v>2942</v>
      </c>
      <c r="CA47" t="s">
        <v>2006</v>
      </c>
      <c r="CB47" t="s">
        <v>2946</v>
      </c>
    </row>
    <row r="48" spans="1:80" x14ac:dyDescent="0.25">
      <c r="A48">
        <v>46</v>
      </c>
      <c r="B48" t="s">
        <v>2065</v>
      </c>
      <c r="C48" s="1">
        <v>44774</v>
      </c>
      <c r="D48" s="2">
        <v>24</v>
      </c>
      <c r="E48" t="s">
        <v>4</v>
      </c>
      <c r="F48" t="s">
        <v>1311</v>
      </c>
      <c r="G48">
        <v>1</v>
      </c>
      <c r="H48" s="3">
        <v>3000000</v>
      </c>
      <c r="I48" s="3">
        <v>200000</v>
      </c>
      <c r="J48" s="3">
        <v>0</v>
      </c>
      <c r="K48" s="3">
        <v>0</v>
      </c>
      <c r="L48" s="3" t="s">
        <v>1191</v>
      </c>
      <c r="M48">
        <v>1950722</v>
      </c>
      <c r="N48" t="s">
        <v>191</v>
      </c>
      <c r="P48" t="s">
        <v>50</v>
      </c>
      <c r="Q48" t="s">
        <v>13</v>
      </c>
      <c r="R48">
        <v>2360</v>
      </c>
      <c r="S48" t="s">
        <v>50</v>
      </c>
      <c r="T48" t="s">
        <v>962</v>
      </c>
      <c r="U48">
        <v>0</v>
      </c>
      <c r="V48" t="s">
        <v>1014</v>
      </c>
      <c r="W48" t="s">
        <v>1194</v>
      </c>
      <c r="X48" t="s">
        <v>973</v>
      </c>
      <c r="Y48">
        <v>10000</v>
      </c>
      <c r="Z48" s="2">
        <v>2</v>
      </c>
      <c r="AA48" s="2" t="s">
        <v>1238</v>
      </c>
      <c r="AB48" t="s">
        <v>1238</v>
      </c>
      <c r="AC48">
        <v>792</v>
      </c>
      <c r="AD48" t="s">
        <v>1279</v>
      </c>
      <c r="AE48">
        <v>3</v>
      </c>
      <c r="AF48" t="s">
        <v>1290</v>
      </c>
      <c r="AG48">
        <v>0</v>
      </c>
      <c r="AH48">
        <v>0</v>
      </c>
      <c r="AI48">
        <v>0</v>
      </c>
      <c r="AJ48">
        <v>2022</v>
      </c>
      <c r="AK48" t="s">
        <v>1194</v>
      </c>
      <c r="AL48" t="s">
        <v>1194</v>
      </c>
      <c r="AM48" s="4" t="s">
        <v>1238</v>
      </c>
      <c r="AN48">
        <v>0</v>
      </c>
      <c r="AO48" t="s">
        <v>1315</v>
      </c>
      <c r="AP48">
        <f t="shared" si="0"/>
        <v>0</v>
      </c>
      <c r="AQ48">
        <v>0</v>
      </c>
      <c r="AR48" t="s">
        <v>1993</v>
      </c>
      <c r="AS48" t="s">
        <v>1996</v>
      </c>
      <c r="AT48" t="s">
        <v>1995</v>
      </c>
      <c r="AU48" t="s">
        <v>1996</v>
      </c>
      <c r="AV48" t="s">
        <v>1996</v>
      </c>
      <c r="AW48" t="s">
        <v>1995</v>
      </c>
      <c r="AX48" t="s">
        <v>2006</v>
      </c>
      <c r="AY48" t="s">
        <v>1996</v>
      </c>
      <c r="AZ48">
        <v>7000</v>
      </c>
      <c r="BA48" t="s">
        <v>1194</v>
      </c>
      <c r="BB48" t="s">
        <v>1194</v>
      </c>
      <c r="BC48" s="3">
        <v>5335.3370000000004</v>
      </c>
      <c r="BD48" s="3">
        <v>2203.31</v>
      </c>
      <c r="BE48" s="3">
        <v>0</v>
      </c>
      <c r="BF48" s="3">
        <v>0</v>
      </c>
      <c r="BG48" s="3">
        <v>150</v>
      </c>
      <c r="BH48" s="3">
        <v>0</v>
      </c>
      <c r="BI48" s="3">
        <v>5431</v>
      </c>
      <c r="BJ48" s="3">
        <v>13120</v>
      </c>
      <c r="BK48" s="3">
        <v>1500</v>
      </c>
      <c r="BL48" s="3">
        <v>14620</v>
      </c>
      <c r="BM48" s="2">
        <f t="shared" ca="1" si="1"/>
        <v>1</v>
      </c>
      <c r="BN48" s="3">
        <v>1000000</v>
      </c>
      <c r="BO48" s="3">
        <v>100000</v>
      </c>
      <c r="BP48" s="3">
        <v>100000</v>
      </c>
      <c r="BQ48" s="3">
        <v>2000000</v>
      </c>
      <c r="BR48" s="3">
        <v>50000</v>
      </c>
      <c r="BS48">
        <v>50000</v>
      </c>
      <c r="BT48">
        <v>0</v>
      </c>
      <c r="BU48">
        <v>0</v>
      </c>
      <c r="BV48">
        <v>0</v>
      </c>
      <c r="BW48">
        <v>0</v>
      </c>
      <c r="BX48">
        <v>1</v>
      </c>
      <c r="BY48">
        <v>0</v>
      </c>
      <c r="BZ48" t="s">
        <v>2942</v>
      </c>
      <c r="CA48" t="s">
        <v>2006</v>
      </c>
      <c r="CB48" t="s">
        <v>2006</v>
      </c>
    </row>
    <row r="49" spans="1:80" x14ac:dyDescent="0.25">
      <c r="A49">
        <v>47</v>
      </c>
      <c r="B49" t="s">
        <v>2066</v>
      </c>
      <c r="C49" s="1">
        <v>44700</v>
      </c>
      <c r="D49" s="2">
        <v>15</v>
      </c>
      <c r="E49" t="s">
        <v>4</v>
      </c>
      <c r="F49" t="s">
        <v>1311</v>
      </c>
      <c r="G49">
        <v>0</v>
      </c>
      <c r="H49" s="3">
        <v>8500000</v>
      </c>
      <c r="I49" s="3">
        <v>500000</v>
      </c>
      <c r="J49" s="3">
        <v>0</v>
      </c>
      <c r="K49" s="3">
        <v>0</v>
      </c>
      <c r="L49" s="3" t="s">
        <v>1191</v>
      </c>
      <c r="M49">
        <v>1632375</v>
      </c>
      <c r="N49" t="s">
        <v>192</v>
      </c>
      <c r="P49" t="s">
        <v>193</v>
      </c>
      <c r="Q49" t="s">
        <v>14</v>
      </c>
      <c r="R49">
        <v>11968</v>
      </c>
      <c r="S49" t="s">
        <v>26</v>
      </c>
      <c r="T49" t="s">
        <v>963</v>
      </c>
      <c r="U49">
        <v>0</v>
      </c>
      <c r="V49" t="s">
        <v>1015</v>
      </c>
      <c r="W49" t="s">
        <v>1194</v>
      </c>
      <c r="X49" t="s">
        <v>973</v>
      </c>
      <c r="Y49">
        <v>50000</v>
      </c>
      <c r="Z49" s="2">
        <v>2</v>
      </c>
      <c r="AA49" s="2" t="s">
        <v>1238</v>
      </c>
      <c r="AB49" t="s">
        <v>1238</v>
      </c>
      <c r="AC49">
        <v>766</v>
      </c>
      <c r="AD49" t="s">
        <v>1279</v>
      </c>
      <c r="AE49">
        <v>3</v>
      </c>
      <c r="AF49" t="s">
        <v>1290</v>
      </c>
      <c r="AG49">
        <v>0</v>
      </c>
      <c r="AH49">
        <v>0</v>
      </c>
      <c r="AI49">
        <v>0</v>
      </c>
      <c r="AJ49">
        <v>2022</v>
      </c>
      <c r="AK49" t="s">
        <v>1194</v>
      </c>
      <c r="AL49" t="s">
        <v>1194</v>
      </c>
      <c r="AM49" s="4" t="s">
        <v>1238</v>
      </c>
      <c r="AN49">
        <v>1</v>
      </c>
      <c r="AO49" t="s">
        <v>1316</v>
      </c>
      <c r="AP49">
        <f t="shared" si="0"/>
        <v>0</v>
      </c>
      <c r="AQ49">
        <v>1</v>
      </c>
      <c r="AR49" t="s">
        <v>1992</v>
      </c>
      <c r="AS49" t="s">
        <v>1996</v>
      </c>
      <c r="AT49" t="s">
        <v>1996</v>
      </c>
      <c r="AU49" t="s">
        <v>1996</v>
      </c>
      <c r="AV49" t="s">
        <v>1995</v>
      </c>
      <c r="AW49" t="s">
        <v>1995</v>
      </c>
      <c r="AX49" t="s">
        <v>2006</v>
      </c>
      <c r="AY49" t="s">
        <v>1996</v>
      </c>
      <c r="AZ49">
        <v>14000</v>
      </c>
      <c r="BA49" t="s">
        <v>1194</v>
      </c>
      <c r="BB49" t="s">
        <v>1194</v>
      </c>
      <c r="BC49" s="3">
        <v>16258.4725</v>
      </c>
      <c r="BD49" s="3">
        <v>14298.6</v>
      </c>
      <c r="BE49" s="3">
        <v>0</v>
      </c>
      <c r="BF49" s="3">
        <v>0</v>
      </c>
      <c r="BG49" s="3">
        <v>150</v>
      </c>
      <c r="BH49" s="3">
        <v>0</v>
      </c>
      <c r="BI49" s="3">
        <v>30443</v>
      </c>
      <c r="BJ49" s="3">
        <v>61150</v>
      </c>
      <c r="BK49" s="3">
        <v>350</v>
      </c>
      <c r="BL49" s="3">
        <v>61500</v>
      </c>
      <c r="BM49" s="2">
        <f t="shared" ca="1" si="1"/>
        <v>1</v>
      </c>
      <c r="BN49" s="3" t="s">
        <v>2916</v>
      </c>
      <c r="BO49" s="3">
        <v>100000</v>
      </c>
      <c r="BP49" s="3">
        <v>100000</v>
      </c>
      <c r="BQ49" s="3">
        <v>250000</v>
      </c>
      <c r="BR49" s="3">
        <v>50000</v>
      </c>
      <c r="BS49">
        <v>50000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 t="s">
        <v>2938</v>
      </c>
      <c r="CA49" t="s">
        <v>2006</v>
      </c>
      <c r="CB49" t="s">
        <v>2946</v>
      </c>
    </row>
    <row r="50" spans="1:80" x14ac:dyDescent="0.25">
      <c r="A50">
        <v>48</v>
      </c>
      <c r="B50" t="s">
        <v>2067</v>
      </c>
      <c r="C50" s="1">
        <v>44958</v>
      </c>
      <c r="D50" s="2">
        <v>6</v>
      </c>
      <c r="E50" t="s">
        <v>4</v>
      </c>
      <c r="F50" t="s">
        <v>1310</v>
      </c>
      <c r="G50">
        <v>0</v>
      </c>
      <c r="H50" s="3">
        <v>2500000</v>
      </c>
      <c r="I50" s="3">
        <v>0</v>
      </c>
      <c r="J50" s="3">
        <v>0</v>
      </c>
      <c r="K50" s="3">
        <v>0</v>
      </c>
      <c r="L50" s="3" t="s">
        <v>1191</v>
      </c>
      <c r="M50">
        <v>174777</v>
      </c>
      <c r="N50" t="s">
        <v>194</v>
      </c>
      <c r="P50" t="s">
        <v>51</v>
      </c>
      <c r="Q50" t="s">
        <v>13</v>
      </c>
      <c r="R50">
        <v>2630</v>
      </c>
      <c r="S50" t="s">
        <v>51</v>
      </c>
      <c r="T50" t="s">
        <v>962</v>
      </c>
      <c r="U50">
        <v>0</v>
      </c>
      <c r="V50" t="s">
        <v>1016</v>
      </c>
      <c r="W50" t="s">
        <v>1194</v>
      </c>
      <c r="X50" t="s">
        <v>973</v>
      </c>
      <c r="Y50">
        <v>10000</v>
      </c>
      <c r="Z50" s="2">
        <v>2</v>
      </c>
      <c r="AA50" s="2" t="s">
        <v>1238</v>
      </c>
      <c r="AB50" t="s">
        <v>1238</v>
      </c>
      <c r="AC50">
        <v>718</v>
      </c>
      <c r="AD50" t="s">
        <v>1279</v>
      </c>
      <c r="AE50">
        <v>3</v>
      </c>
      <c r="AF50" t="s">
        <v>1290</v>
      </c>
      <c r="AG50">
        <v>0</v>
      </c>
      <c r="AH50">
        <v>0</v>
      </c>
      <c r="AI50">
        <v>0</v>
      </c>
      <c r="AJ50">
        <v>2022</v>
      </c>
      <c r="AK50" t="s">
        <v>1194</v>
      </c>
      <c r="AL50" t="s">
        <v>1194</v>
      </c>
      <c r="AM50" s="4" t="s">
        <v>1304</v>
      </c>
      <c r="AN50">
        <v>1</v>
      </c>
      <c r="AO50" t="s">
        <v>1316</v>
      </c>
      <c r="AP50">
        <f t="shared" si="0"/>
        <v>0</v>
      </c>
      <c r="AQ50">
        <v>0</v>
      </c>
      <c r="AR50" t="s">
        <v>1993</v>
      </c>
      <c r="AS50" t="s">
        <v>1995</v>
      </c>
      <c r="AT50" t="s">
        <v>1995</v>
      </c>
      <c r="AU50" t="s">
        <v>1995</v>
      </c>
      <c r="AV50" t="s">
        <v>1996</v>
      </c>
      <c r="AW50" t="s">
        <v>1995</v>
      </c>
      <c r="AX50" t="s">
        <v>2006</v>
      </c>
      <c r="AY50" t="s">
        <v>1996</v>
      </c>
      <c r="AZ50">
        <v>3321</v>
      </c>
      <c r="BA50" t="s">
        <v>1194</v>
      </c>
      <c r="BB50" t="s">
        <v>1194</v>
      </c>
      <c r="BC50" s="3">
        <v>4001.5210999999999</v>
      </c>
      <c r="BD50" s="3">
        <v>2725.59</v>
      </c>
      <c r="BE50" s="3">
        <v>0</v>
      </c>
      <c r="BF50" s="3">
        <v>0</v>
      </c>
      <c r="BG50" s="3">
        <v>0</v>
      </c>
      <c r="BH50" s="3">
        <v>0</v>
      </c>
      <c r="BI50" s="3">
        <v>5195</v>
      </c>
      <c r="BJ50" s="3">
        <v>11922</v>
      </c>
      <c r="BK50" s="3">
        <v>0</v>
      </c>
      <c r="BL50" s="3">
        <v>11922</v>
      </c>
      <c r="BM50" s="2">
        <f t="shared" ca="1" si="1"/>
        <v>6</v>
      </c>
      <c r="BN50" s="3">
        <v>50000</v>
      </c>
      <c r="BO50" s="3">
        <v>250000</v>
      </c>
      <c r="BP50" s="3">
        <v>50000</v>
      </c>
      <c r="BQ50" s="3">
        <v>100000</v>
      </c>
      <c r="BR50" s="3" t="s">
        <v>2916</v>
      </c>
      <c r="BS50">
        <v>50000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 t="s">
        <v>2942</v>
      </c>
      <c r="CA50" t="s">
        <v>2006</v>
      </c>
      <c r="CB50" t="s">
        <v>2006</v>
      </c>
    </row>
    <row r="51" spans="1:80" x14ac:dyDescent="0.25">
      <c r="A51">
        <v>49</v>
      </c>
      <c r="B51" t="s">
        <v>2068</v>
      </c>
      <c r="C51" s="1">
        <v>44864</v>
      </c>
      <c r="D51" s="2">
        <v>30</v>
      </c>
      <c r="E51" t="s">
        <v>4</v>
      </c>
      <c r="F51" t="s">
        <v>1311</v>
      </c>
      <c r="G51">
        <v>1</v>
      </c>
      <c r="H51" s="3">
        <v>5500000</v>
      </c>
      <c r="I51" s="3">
        <v>1052000</v>
      </c>
      <c r="J51" s="3">
        <v>0</v>
      </c>
      <c r="K51" s="3">
        <v>0</v>
      </c>
      <c r="L51" s="3" t="s">
        <v>1191</v>
      </c>
      <c r="M51">
        <v>1346711</v>
      </c>
      <c r="N51" t="s">
        <v>195</v>
      </c>
      <c r="P51" t="s">
        <v>196</v>
      </c>
      <c r="Q51" t="s">
        <v>13</v>
      </c>
      <c r="R51">
        <v>2635</v>
      </c>
      <c r="S51" t="s">
        <v>51</v>
      </c>
      <c r="T51" t="s">
        <v>962</v>
      </c>
      <c r="U51">
        <v>0</v>
      </c>
      <c r="V51" t="s">
        <v>1017</v>
      </c>
      <c r="W51" t="s">
        <v>1194</v>
      </c>
      <c r="X51" t="s">
        <v>973</v>
      </c>
      <c r="Y51">
        <v>10000</v>
      </c>
      <c r="Z51" s="2">
        <v>2</v>
      </c>
      <c r="AA51" s="2" t="s">
        <v>1238</v>
      </c>
      <c r="AB51" t="s">
        <v>1238</v>
      </c>
      <c r="AC51">
        <v>1</v>
      </c>
      <c r="AD51" t="s">
        <v>1279</v>
      </c>
      <c r="AE51">
        <v>4</v>
      </c>
      <c r="AF51" t="s">
        <v>1290</v>
      </c>
      <c r="AG51">
        <v>0</v>
      </c>
      <c r="AH51">
        <v>0</v>
      </c>
      <c r="AI51">
        <v>0</v>
      </c>
      <c r="AJ51">
        <v>2021</v>
      </c>
      <c r="AK51" t="s">
        <v>1194</v>
      </c>
      <c r="AL51" t="s">
        <v>1194</v>
      </c>
      <c r="AM51" s="4" t="s">
        <v>1238</v>
      </c>
      <c r="AN51">
        <v>0</v>
      </c>
      <c r="AO51" t="s">
        <v>1316</v>
      </c>
      <c r="AP51">
        <f t="shared" si="0"/>
        <v>0</v>
      </c>
      <c r="AQ51">
        <v>1</v>
      </c>
      <c r="AR51" t="s">
        <v>1992</v>
      </c>
      <c r="AS51" t="s">
        <v>1996</v>
      </c>
      <c r="AT51" t="s">
        <v>1995</v>
      </c>
      <c r="AU51" t="s">
        <v>1996</v>
      </c>
      <c r="AV51" t="s">
        <v>1996</v>
      </c>
      <c r="AW51" t="s">
        <v>1995</v>
      </c>
      <c r="AX51" t="s">
        <v>2006</v>
      </c>
      <c r="AY51" t="s">
        <v>1996</v>
      </c>
      <c r="AZ51">
        <v>7117</v>
      </c>
      <c r="BA51" t="s">
        <v>1194</v>
      </c>
      <c r="BB51" t="s">
        <v>1194</v>
      </c>
      <c r="BC51" s="3">
        <v>10461.6949</v>
      </c>
      <c r="BD51" s="3">
        <v>4704.42</v>
      </c>
      <c r="BE51" s="3">
        <v>0</v>
      </c>
      <c r="BF51" s="3">
        <v>0</v>
      </c>
      <c r="BG51" s="3">
        <v>150</v>
      </c>
      <c r="BH51" s="3">
        <v>0</v>
      </c>
      <c r="BI51" s="3">
        <v>14168</v>
      </c>
      <c r="BJ51" s="3">
        <v>29484</v>
      </c>
      <c r="BK51" s="3">
        <v>0</v>
      </c>
      <c r="BL51" s="3">
        <v>29484</v>
      </c>
      <c r="BM51" s="2">
        <f t="shared" ca="1" si="1"/>
        <v>1</v>
      </c>
      <c r="BN51" s="3" t="s">
        <v>2916</v>
      </c>
      <c r="BO51" s="3">
        <v>100000</v>
      </c>
      <c r="BP51" s="3" t="s">
        <v>2922</v>
      </c>
      <c r="BQ51" s="3">
        <v>50000</v>
      </c>
      <c r="BR51" s="3">
        <v>500000</v>
      </c>
      <c r="BS51" t="s">
        <v>2916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 t="s">
        <v>2938</v>
      </c>
      <c r="CA51" t="s">
        <v>2006</v>
      </c>
      <c r="CB51" t="s">
        <v>2945</v>
      </c>
    </row>
    <row r="52" spans="1:80" x14ac:dyDescent="0.25">
      <c r="A52">
        <v>50</v>
      </c>
      <c r="B52" t="s">
        <v>2069</v>
      </c>
      <c r="C52" s="1">
        <v>44913</v>
      </c>
      <c r="D52" s="2">
        <v>36</v>
      </c>
      <c r="E52" t="s">
        <v>4</v>
      </c>
      <c r="F52" t="s">
        <v>1311</v>
      </c>
      <c r="G52">
        <v>0</v>
      </c>
      <c r="H52" s="3">
        <v>1400000</v>
      </c>
      <c r="I52" s="3">
        <v>280000</v>
      </c>
      <c r="J52" s="3">
        <v>50000</v>
      </c>
      <c r="K52" s="3">
        <v>0</v>
      </c>
      <c r="L52" s="3" t="s">
        <v>1191</v>
      </c>
      <c r="M52">
        <v>216604</v>
      </c>
      <c r="N52" t="s">
        <v>197</v>
      </c>
      <c r="P52" t="s">
        <v>198</v>
      </c>
      <c r="Q52" t="s">
        <v>14</v>
      </c>
      <c r="R52">
        <v>11772</v>
      </c>
      <c r="S52" t="s">
        <v>26</v>
      </c>
      <c r="T52" t="s">
        <v>970</v>
      </c>
      <c r="U52">
        <v>1</v>
      </c>
      <c r="V52" t="s">
        <v>1018</v>
      </c>
      <c r="W52" t="s">
        <v>1194</v>
      </c>
      <c r="X52" t="s">
        <v>1309</v>
      </c>
      <c r="Y52">
        <v>10000</v>
      </c>
      <c r="Z52" s="2">
        <v>2</v>
      </c>
      <c r="AA52" s="2" t="s">
        <v>1238</v>
      </c>
      <c r="AB52" t="s">
        <v>1238</v>
      </c>
      <c r="AC52">
        <v>845</v>
      </c>
      <c r="AD52" t="s">
        <v>1279</v>
      </c>
      <c r="AE52">
        <v>3</v>
      </c>
      <c r="AF52" t="s">
        <v>1292</v>
      </c>
      <c r="AG52">
        <v>0</v>
      </c>
      <c r="AH52">
        <v>0</v>
      </c>
      <c r="AI52">
        <v>0</v>
      </c>
      <c r="AJ52">
        <v>2020</v>
      </c>
      <c r="AK52" t="s">
        <v>1194</v>
      </c>
      <c r="AL52" t="s">
        <v>1194</v>
      </c>
      <c r="AM52" s="4" t="s">
        <v>1238</v>
      </c>
      <c r="AN52">
        <v>0</v>
      </c>
      <c r="AO52" t="s">
        <v>1315</v>
      </c>
      <c r="AP52">
        <f t="shared" si="0"/>
        <v>0</v>
      </c>
      <c r="AQ52">
        <v>0</v>
      </c>
      <c r="AR52" t="s">
        <v>1993</v>
      </c>
      <c r="AS52" t="s">
        <v>1996</v>
      </c>
      <c r="AT52" t="s">
        <v>1996</v>
      </c>
      <c r="AU52" t="s">
        <v>1996</v>
      </c>
      <c r="AV52" t="s">
        <v>1996</v>
      </c>
      <c r="AW52" t="s">
        <v>1995</v>
      </c>
      <c r="AX52" t="s">
        <v>2006</v>
      </c>
      <c r="AY52" t="s">
        <v>1996</v>
      </c>
      <c r="AZ52">
        <v>3300</v>
      </c>
      <c r="BA52" t="s">
        <v>1194</v>
      </c>
      <c r="BB52" t="s">
        <v>1194</v>
      </c>
      <c r="BC52" s="3">
        <v>5526.4507999999996</v>
      </c>
      <c r="BD52" s="3">
        <v>8374.9699999999993</v>
      </c>
      <c r="BE52" s="3">
        <v>0</v>
      </c>
      <c r="BF52" s="3">
        <v>0</v>
      </c>
      <c r="BG52" s="3">
        <v>150</v>
      </c>
      <c r="BH52" s="3">
        <v>0</v>
      </c>
      <c r="BI52" s="3">
        <v>-2460</v>
      </c>
      <c r="BJ52" s="3">
        <v>11591</v>
      </c>
      <c r="BK52" s="3">
        <v>0</v>
      </c>
      <c r="BL52" s="3">
        <v>11591</v>
      </c>
      <c r="BM52" s="2">
        <f t="shared" ca="1" si="1"/>
        <v>3</v>
      </c>
      <c r="BN52" s="3">
        <v>250000</v>
      </c>
      <c r="BO52" s="3">
        <v>250000</v>
      </c>
      <c r="BP52" s="3" t="s">
        <v>2922</v>
      </c>
      <c r="BQ52" s="3">
        <v>50000</v>
      </c>
      <c r="BR52" s="3">
        <v>100000</v>
      </c>
      <c r="BS52">
        <v>50000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 t="s">
        <v>2938</v>
      </c>
      <c r="CA52" t="s">
        <v>2939</v>
      </c>
      <c r="CB52" t="s">
        <v>2006</v>
      </c>
    </row>
    <row r="53" spans="1:80" x14ac:dyDescent="0.25">
      <c r="A53">
        <v>51</v>
      </c>
      <c r="B53" t="s">
        <v>2070</v>
      </c>
      <c r="C53" s="1">
        <v>44949</v>
      </c>
      <c r="D53" s="2">
        <v>3</v>
      </c>
      <c r="E53" t="s">
        <v>4</v>
      </c>
      <c r="F53" t="s">
        <v>1310</v>
      </c>
      <c r="G53">
        <v>0</v>
      </c>
      <c r="H53" s="3">
        <v>5207601</v>
      </c>
      <c r="I53" s="3">
        <v>339100</v>
      </c>
      <c r="J53" s="3">
        <v>0</v>
      </c>
      <c r="K53" s="3">
        <v>0</v>
      </c>
      <c r="L53" s="3" t="s">
        <v>1191</v>
      </c>
      <c r="M53">
        <v>1528514</v>
      </c>
      <c r="N53" t="s">
        <v>199</v>
      </c>
      <c r="P53" t="s">
        <v>200</v>
      </c>
      <c r="Q53" t="s">
        <v>16</v>
      </c>
      <c r="R53">
        <v>8202</v>
      </c>
      <c r="S53" t="s">
        <v>32</v>
      </c>
      <c r="T53" t="s">
        <v>970</v>
      </c>
      <c r="U53">
        <v>1</v>
      </c>
      <c r="V53" t="s">
        <v>1019</v>
      </c>
      <c r="W53" t="s">
        <v>1194</v>
      </c>
      <c r="X53" t="s">
        <v>1309</v>
      </c>
      <c r="Y53">
        <v>25000</v>
      </c>
      <c r="Z53" s="2">
        <v>1.999999616</v>
      </c>
      <c r="AA53" s="2" t="s">
        <v>1238</v>
      </c>
      <c r="AB53" t="s">
        <v>1238</v>
      </c>
      <c r="AC53">
        <v>611</v>
      </c>
      <c r="AD53" t="s">
        <v>1279</v>
      </c>
      <c r="AE53">
        <v>3</v>
      </c>
      <c r="AF53" t="s">
        <v>1291</v>
      </c>
      <c r="AG53">
        <v>0</v>
      </c>
      <c r="AH53">
        <v>0</v>
      </c>
      <c r="AI53">
        <v>0</v>
      </c>
      <c r="AJ53">
        <v>2022</v>
      </c>
      <c r="AK53" t="s">
        <v>1194</v>
      </c>
      <c r="AL53" t="s">
        <v>1194</v>
      </c>
      <c r="AM53" s="4" t="s">
        <v>1304</v>
      </c>
      <c r="AN53">
        <v>1</v>
      </c>
      <c r="AO53" t="s">
        <v>1316</v>
      </c>
      <c r="AP53">
        <f t="shared" si="0"/>
        <v>0</v>
      </c>
      <c r="AQ53">
        <v>1</v>
      </c>
      <c r="AR53" t="s">
        <v>1992</v>
      </c>
      <c r="AS53" t="s">
        <v>1995</v>
      </c>
      <c r="AT53" t="s">
        <v>1996</v>
      </c>
      <c r="AU53" t="s">
        <v>1996</v>
      </c>
      <c r="AV53" t="s">
        <v>1996</v>
      </c>
      <c r="AW53" t="s">
        <v>1995</v>
      </c>
      <c r="AX53" t="s">
        <v>2006</v>
      </c>
      <c r="AY53" t="s">
        <v>1996</v>
      </c>
      <c r="AZ53">
        <v>7445</v>
      </c>
      <c r="BA53" t="s">
        <v>1194</v>
      </c>
      <c r="BB53" t="s">
        <v>1194</v>
      </c>
      <c r="BC53" s="3">
        <v>10478.8508</v>
      </c>
      <c r="BD53" s="3">
        <v>7399.37</v>
      </c>
      <c r="BE53" s="3">
        <v>0</v>
      </c>
      <c r="BF53" s="3">
        <v>0</v>
      </c>
      <c r="BG53" s="3">
        <v>150</v>
      </c>
      <c r="BH53" s="3">
        <v>0</v>
      </c>
      <c r="BI53" s="3">
        <v>8320</v>
      </c>
      <c r="BJ53" s="3">
        <v>26348</v>
      </c>
      <c r="BK53" s="3">
        <v>0</v>
      </c>
      <c r="BL53" s="3">
        <v>26348</v>
      </c>
      <c r="BM53" s="2">
        <f t="shared" ca="1" si="1"/>
        <v>0</v>
      </c>
      <c r="BN53" s="3">
        <v>500000</v>
      </c>
      <c r="BO53" s="3">
        <v>50000</v>
      </c>
      <c r="BP53" s="3">
        <v>200000</v>
      </c>
      <c r="BQ53" s="3">
        <v>500000</v>
      </c>
      <c r="BR53" s="3">
        <v>250000</v>
      </c>
      <c r="BS53">
        <v>1000000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 t="s">
        <v>2947</v>
      </c>
      <c r="CA53" t="s">
        <v>2006</v>
      </c>
      <c r="CB53" t="s">
        <v>2006</v>
      </c>
    </row>
    <row r="54" spans="1:80" x14ac:dyDescent="0.25">
      <c r="A54">
        <v>52</v>
      </c>
      <c r="B54" t="s">
        <v>2071</v>
      </c>
      <c r="C54" s="1">
        <v>44643</v>
      </c>
      <c r="D54" s="2">
        <v>9</v>
      </c>
      <c r="E54" t="s">
        <v>4</v>
      </c>
      <c r="F54" t="s">
        <v>1310</v>
      </c>
      <c r="G54">
        <v>0</v>
      </c>
      <c r="H54" s="3">
        <v>1750000</v>
      </c>
      <c r="I54" s="3">
        <v>0</v>
      </c>
      <c r="J54" s="3">
        <v>0</v>
      </c>
      <c r="K54" s="3">
        <v>0</v>
      </c>
      <c r="L54" s="3" t="s">
        <v>1191</v>
      </c>
      <c r="M54">
        <v>1644011</v>
      </c>
      <c r="N54" t="s">
        <v>201</v>
      </c>
      <c r="P54" t="s">
        <v>202</v>
      </c>
      <c r="Q54" t="s">
        <v>16</v>
      </c>
      <c r="R54">
        <v>7719</v>
      </c>
      <c r="S54" t="s">
        <v>52</v>
      </c>
      <c r="T54" t="s">
        <v>963</v>
      </c>
      <c r="U54">
        <v>0</v>
      </c>
      <c r="V54" t="s">
        <v>1020</v>
      </c>
      <c r="W54" t="s">
        <v>1194</v>
      </c>
      <c r="X54" t="s">
        <v>973</v>
      </c>
      <c r="Y54">
        <v>10000</v>
      </c>
      <c r="Z54" s="2">
        <v>2</v>
      </c>
      <c r="AA54" s="2" t="s">
        <v>1238</v>
      </c>
      <c r="AB54" t="s">
        <v>1238</v>
      </c>
      <c r="AC54">
        <v>707</v>
      </c>
      <c r="AD54" t="s">
        <v>1279</v>
      </c>
      <c r="AE54">
        <v>4</v>
      </c>
      <c r="AF54" t="s">
        <v>1290</v>
      </c>
      <c r="AG54">
        <v>0</v>
      </c>
      <c r="AH54">
        <v>0</v>
      </c>
      <c r="AI54">
        <v>0</v>
      </c>
      <c r="AJ54">
        <v>2022</v>
      </c>
      <c r="AK54" t="s">
        <v>1194</v>
      </c>
      <c r="AL54" t="s">
        <v>1194</v>
      </c>
      <c r="AM54" s="4" t="s">
        <v>1304</v>
      </c>
      <c r="AN54">
        <v>1</v>
      </c>
      <c r="AO54" t="s">
        <v>1315</v>
      </c>
      <c r="AP54">
        <f t="shared" si="0"/>
        <v>0</v>
      </c>
      <c r="AQ54">
        <v>0</v>
      </c>
      <c r="AR54" t="s">
        <v>1993</v>
      </c>
      <c r="AS54" t="s">
        <v>1995</v>
      </c>
      <c r="AT54" t="s">
        <v>1996</v>
      </c>
      <c r="AU54" t="s">
        <v>1996</v>
      </c>
      <c r="AV54" t="s">
        <v>1996</v>
      </c>
      <c r="AW54" t="s">
        <v>1996</v>
      </c>
      <c r="AX54" t="s">
        <v>2006</v>
      </c>
      <c r="AY54" t="s">
        <v>1996</v>
      </c>
      <c r="AZ54">
        <v>3500</v>
      </c>
      <c r="BA54" t="s">
        <v>1194</v>
      </c>
      <c r="BB54" t="s">
        <v>1194</v>
      </c>
      <c r="BC54" s="3">
        <v>3499.6747999999998</v>
      </c>
      <c r="BD54" s="3">
        <v>1243.99</v>
      </c>
      <c r="BE54" s="3">
        <v>0</v>
      </c>
      <c r="BF54" s="3">
        <v>0</v>
      </c>
      <c r="BG54" s="3">
        <v>150</v>
      </c>
      <c r="BH54" s="3">
        <v>0</v>
      </c>
      <c r="BI54" s="3">
        <v>2106</v>
      </c>
      <c r="BJ54" s="3">
        <v>7000</v>
      </c>
      <c r="BK54" s="3">
        <v>150</v>
      </c>
      <c r="BL54" s="3">
        <v>7150</v>
      </c>
      <c r="BM54" s="2">
        <f t="shared" ca="1" si="1"/>
        <v>4</v>
      </c>
      <c r="BN54" s="3" t="s">
        <v>2916</v>
      </c>
      <c r="BO54" s="3">
        <v>2000000</v>
      </c>
      <c r="BP54" s="3">
        <v>200000</v>
      </c>
      <c r="BQ54" s="3">
        <v>25000</v>
      </c>
      <c r="BR54" s="3">
        <v>2000000</v>
      </c>
      <c r="BS54">
        <v>1000000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 t="s">
        <v>2942</v>
      </c>
      <c r="CA54" t="s">
        <v>2006</v>
      </c>
      <c r="CB54" t="s">
        <v>2006</v>
      </c>
    </row>
    <row r="55" spans="1:80" x14ac:dyDescent="0.25">
      <c r="A55">
        <v>53</v>
      </c>
      <c r="B55" t="s">
        <v>2072</v>
      </c>
      <c r="C55" s="1">
        <v>44883</v>
      </c>
      <c r="D55" s="2">
        <v>33</v>
      </c>
      <c r="E55" t="s">
        <v>4</v>
      </c>
      <c r="F55" t="s">
        <v>1311</v>
      </c>
      <c r="G55">
        <v>1</v>
      </c>
      <c r="H55" s="3">
        <v>5250000</v>
      </c>
      <c r="I55" s="3">
        <v>0</v>
      </c>
      <c r="J55" s="3">
        <v>0</v>
      </c>
      <c r="K55" s="3">
        <v>0</v>
      </c>
      <c r="L55" s="3" t="s">
        <v>1191</v>
      </c>
      <c r="M55">
        <v>705642</v>
      </c>
      <c r="N55" t="s">
        <v>203</v>
      </c>
      <c r="P55" t="s">
        <v>204</v>
      </c>
      <c r="Q55" t="s">
        <v>13</v>
      </c>
      <c r="R55">
        <v>2467</v>
      </c>
      <c r="S55" t="s">
        <v>53</v>
      </c>
      <c r="T55" t="s">
        <v>968</v>
      </c>
      <c r="U55">
        <v>0</v>
      </c>
      <c r="V55" t="s">
        <v>1021</v>
      </c>
      <c r="W55" t="s">
        <v>1194</v>
      </c>
      <c r="X55" t="s">
        <v>973</v>
      </c>
      <c r="Y55">
        <v>10000</v>
      </c>
      <c r="Z55" s="2">
        <v>2</v>
      </c>
      <c r="AA55" s="2" t="s">
        <v>1238</v>
      </c>
      <c r="AB55" t="s">
        <v>1238</v>
      </c>
      <c r="AC55">
        <v>654</v>
      </c>
      <c r="AD55" t="s">
        <v>1279</v>
      </c>
      <c r="AE55">
        <v>1</v>
      </c>
      <c r="AF55" t="s">
        <v>1290</v>
      </c>
      <c r="AG55">
        <v>0</v>
      </c>
      <c r="AH55">
        <v>0</v>
      </c>
      <c r="AI55">
        <v>0</v>
      </c>
      <c r="AJ55">
        <v>2021</v>
      </c>
      <c r="AK55" t="s">
        <v>1194</v>
      </c>
      <c r="AL55" t="s">
        <v>1194</v>
      </c>
      <c r="AM55" s="4" t="s">
        <v>1238</v>
      </c>
      <c r="AN55">
        <v>0</v>
      </c>
      <c r="AO55" t="s">
        <v>1315</v>
      </c>
      <c r="AP55">
        <f t="shared" si="0"/>
        <v>0</v>
      </c>
      <c r="AQ55">
        <v>0</v>
      </c>
      <c r="AR55" t="s">
        <v>1993</v>
      </c>
      <c r="AS55" t="s">
        <v>1995</v>
      </c>
      <c r="AT55" t="s">
        <v>1995</v>
      </c>
      <c r="AU55" t="s">
        <v>1996</v>
      </c>
      <c r="AV55" t="s">
        <v>1995</v>
      </c>
      <c r="AW55" t="s">
        <v>1995</v>
      </c>
      <c r="AX55" t="s">
        <v>2006</v>
      </c>
      <c r="AY55" t="s">
        <v>1996</v>
      </c>
      <c r="AZ55">
        <v>8500</v>
      </c>
      <c r="BA55" t="s">
        <v>1194</v>
      </c>
      <c r="BB55" t="s">
        <v>1194</v>
      </c>
      <c r="BC55" s="3">
        <v>8802.0373999999993</v>
      </c>
      <c r="BD55" s="3">
        <v>1916.17</v>
      </c>
      <c r="BE55" s="3">
        <v>0</v>
      </c>
      <c r="BF55" s="3">
        <v>0</v>
      </c>
      <c r="BG55" s="3">
        <v>150</v>
      </c>
      <c r="BH55" s="3">
        <v>0</v>
      </c>
      <c r="BI55" s="3">
        <v>12057</v>
      </c>
      <c r="BJ55" s="3">
        <v>22925</v>
      </c>
      <c r="BK55" s="3">
        <v>0</v>
      </c>
      <c r="BL55" s="3">
        <v>22925</v>
      </c>
      <c r="BM55" s="2">
        <f t="shared" ca="1" si="1"/>
        <v>1</v>
      </c>
      <c r="BN55" s="3">
        <v>500000</v>
      </c>
      <c r="BO55" s="3">
        <v>500000</v>
      </c>
      <c r="BP55" s="3">
        <v>50000</v>
      </c>
      <c r="BQ55" s="3">
        <v>250000</v>
      </c>
      <c r="BR55" s="3">
        <v>250000</v>
      </c>
      <c r="BS55">
        <v>100000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 t="s">
        <v>2942</v>
      </c>
      <c r="CA55" t="s">
        <v>2006</v>
      </c>
      <c r="CB55" t="s">
        <v>2006</v>
      </c>
    </row>
    <row r="56" spans="1:80" x14ac:dyDescent="0.25">
      <c r="A56">
        <v>54</v>
      </c>
      <c r="B56" t="s">
        <v>2073</v>
      </c>
      <c r="C56" s="1">
        <v>44900</v>
      </c>
      <c r="D56" s="2">
        <v>36</v>
      </c>
      <c r="E56" t="s">
        <v>4</v>
      </c>
      <c r="F56" t="s">
        <v>1311</v>
      </c>
      <c r="G56">
        <v>0</v>
      </c>
      <c r="H56" s="3">
        <v>5100000</v>
      </c>
      <c r="I56" s="3">
        <v>260000</v>
      </c>
      <c r="J56" s="3">
        <v>250000</v>
      </c>
      <c r="K56" s="3">
        <v>0</v>
      </c>
      <c r="L56" s="3" t="s">
        <v>1191</v>
      </c>
      <c r="M56">
        <v>257080</v>
      </c>
      <c r="N56" t="s">
        <v>205</v>
      </c>
      <c r="P56" t="s">
        <v>172</v>
      </c>
      <c r="Q56" t="s">
        <v>17</v>
      </c>
      <c r="R56">
        <v>29928</v>
      </c>
      <c r="S56" t="s">
        <v>42</v>
      </c>
      <c r="T56" t="s">
        <v>969</v>
      </c>
      <c r="U56">
        <v>1</v>
      </c>
      <c r="V56" t="s">
        <v>1022</v>
      </c>
      <c r="W56" t="s">
        <v>1194</v>
      </c>
      <c r="X56" t="s">
        <v>1309</v>
      </c>
      <c r="Y56">
        <v>10000</v>
      </c>
      <c r="Z56" s="2">
        <v>5</v>
      </c>
      <c r="AA56" s="2" t="s">
        <v>1238</v>
      </c>
      <c r="AB56" t="s">
        <v>1238</v>
      </c>
      <c r="AC56">
        <v>800</v>
      </c>
      <c r="AD56" t="s">
        <v>1279</v>
      </c>
      <c r="AE56">
        <v>2</v>
      </c>
      <c r="AF56" t="s">
        <v>1290</v>
      </c>
      <c r="AG56">
        <v>0</v>
      </c>
      <c r="AH56">
        <v>1</v>
      </c>
      <c r="AI56">
        <v>1</v>
      </c>
      <c r="AJ56">
        <v>1993</v>
      </c>
      <c r="AK56" t="s">
        <v>1194</v>
      </c>
      <c r="AL56">
        <v>2019</v>
      </c>
      <c r="AM56" s="4" t="s">
        <v>1238</v>
      </c>
      <c r="AN56">
        <v>0</v>
      </c>
      <c r="AO56" t="s">
        <v>1315</v>
      </c>
      <c r="AP56">
        <f t="shared" si="0"/>
        <v>1</v>
      </c>
      <c r="AQ56">
        <v>0</v>
      </c>
      <c r="AR56" t="s">
        <v>1993</v>
      </c>
      <c r="AS56" t="s">
        <v>1996</v>
      </c>
      <c r="AT56" t="s">
        <v>1995</v>
      </c>
      <c r="AU56" t="s">
        <v>1996</v>
      </c>
      <c r="AV56" t="s">
        <v>1996</v>
      </c>
      <c r="AW56" t="s">
        <v>1995</v>
      </c>
      <c r="AX56" t="s">
        <v>2006</v>
      </c>
      <c r="AY56" t="s">
        <v>1996</v>
      </c>
      <c r="AZ56">
        <v>6773</v>
      </c>
      <c r="BA56" t="s">
        <v>1194</v>
      </c>
      <c r="BB56" t="s">
        <v>1194</v>
      </c>
      <c r="BC56" s="3">
        <v>10510.952499999999</v>
      </c>
      <c r="BD56" s="3">
        <v>20087.990000000002</v>
      </c>
      <c r="BE56" s="3">
        <v>0</v>
      </c>
      <c r="BF56" s="3">
        <v>0</v>
      </c>
      <c r="BG56" s="3">
        <v>150</v>
      </c>
      <c r="BH56" s="3">
        <v>0</v>
      </c>
      <c r="BI56" s="3">
        <v>22421</v>
      </c>
      <c r="BJ56" s="3">
        <v>53170</v>
      </c>
      <c r="BK56" s="3">
        <v>200</v>
      </c>
      <c r="BL56" s="3">
        <v>53370</v>
      </c>
      <c r="BM56" s="2">
        <f t="shared" ca="1" si="1"/>
        <v>5</v>
      </c>
      <c r="BN56" s="3">
        <v>250000</v>
      </c>
      <c r="BO56" s="3">
        <v>50000</v>
      </c>
      <c r="BP56" s="3">
        <v>200000</v>
      </c>
      <c r="BQ56" s="3">
        <v>50000</v>
      </c>
      <c r="BR56" s="3">
        <v>2000000</v>
      </c>
      <c r="BS56">
        <v>1000000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 t="s">
        <v>2943</v>
      </c>
      <c r="CA56" t="s">
        <v>2006</v>
      </c>
      <c r="CB56" t="s">
        <v>2945</v>
      </c>
    </row>
    <row r="57" spans="1:80" x14ac:dyDescent="0.25">
      <c r="A57">
        <v>55</v>
      </c>
      <c r="B57" t="s">
        <v>2074</v>
      </c>
      <c r="C57" s="1">
        <v>44867</v>
      </c>
      <c r="D57" s="2">
        <v>33</v>
      </c>
      <c r="E57" t="s">
        <v>4</v>
      </c>
      <c r="F57" t="s">
        <v>1311</v>
      </c>
      <c r="G57">
        <v>1</v>
      </c>
      <c r="H57" s="3">
        <v>2300000</v>
      </c>
      <c r="I57" s="3">
        <v>500000</v>
      </c>
      <c r="J57" s="3">
        <v>0</v>
      </c>
      <c r="K57" s="3">
        <v>0</v>
      </c>
      <c r="L57" s="3" t="s">
        <v>1191</v>
      </c>
      <c r="M57">
        <v>1862225</v>
      </c>
      <c r="N57" t="s">
        <v>206</v>
      </c>
      <c r="P57" t="s">
        <v>207</v>
      </c>
      <c r="Q57" t="s">
        <v>15</v>
      </c>
      <c r="R57">
        <v>32963</v>
      </c>
      <c r="S57" t="s">
        <v>54</v>
      </c>
      <c r="T57" t="s">
        <v>967</v>
      </c>
      <c r="U57">
        <v>0</v>
      </c>
      <c r="V57" t="s">
        <v>1023</v>
      </c>
      <c r="W57" t="s">
        <v>1194</v>
      </c>
      <c r="X57" t="s">
        <v>973</v>
      </c>
      <c r="Y57">
        <v>10000</v>
      </c>
      <c r="Z57" s="2">
        <v>10</v>
      </c>
      <c r="AA57" s="2" t="s">
        <v>1238</v>
      </c>
      <c r="AB57" t="s">
        <v>1238</v>
      </c>
      <c r="AC57">
        <v>838</v>
      </c>
      <c r="AD57" t="s">
        <v>1280</v>
      </c>
      <c r="AE57">
        <v>4</v>
      </c>
      <c r="AF57" t="s">
        <v>1290</v>
      </c>
      <c r="AG57">
        <v>0</v>
      </c>
      <c r="AH57">
        <v>0</v>
      </c>
      <c r="AI57">
        <v>0</v>
      </c>
      <c r="AJ57">
        <v>1980</v>
      </c>
      <c r="AK57">
        <v>2022</v>
      </c>
      <c r="AL57">
        <v>2022</v>
      </c>
      <c r="AM57" s="4" t="s">
        <v>1238</v>
      </c>
      <c r="AN57">
        <v>1</v>
      </c>
      <c r="AO57" t="s">
        <v>1315</v>
      </c>
      <c r="AP57">
        <f t="shared" si="0"/>
        <v>0</v>
      </c>
      <c r="AQ57">
        <v>1</v>
      </c>
      <c r="AR57" t="s">
        <v>1992</v>
      </c>
      <c r="AS57" t="s">
        <v>1996</v>
      </c>
      <c r="AT57" t="s">
        <v>1996</v>
      </c>
      <c r="AU57" t="s">
        <v>1995</v>
      </c>
      <c r="AV57" t="s">
        <v>1996</v>
      </c>
      <c r="AW57" t="s">
        <v>1995</v>
      </c>
      <c r="AX57" t="s">
        <v>2007</v>
      </c>
      <c r="AY57" t="s">
        <v>1995</v>
      </c>
      <c r="AZ57">
        <v>3500</v>
      </c>
      <c r="BA57" t="s">
        <v>1194</v>
      </c>
      <c r="BB57" t="s">
        <v>1194</v>
      </c>
      <c r="BC57" s="3">
        <v>5838.1866</v>
      </c>
      <c r="BD57" s="3">
        <v>12080.75</v>
      </c>
      <c r="BE57" s="3">
        <v>0</v>
      </c>
      <c r="BF57" s="3">
        <v>0</v>
      </c>
      <c r="BG57" s="3">
        <v>0</v>
      </c>
      <c r="BH57" s="3">
        <v>0</v>
      </c>
      <c r="BI57" s="3">
        <v>15776</v>
      </c>
      <c r="BJ57" s="3">
        <v>33695</v>
      </c>
      <c r="BK57" s="3">
        <v>100</v>
      </c>
      <c r="BL57" s="3">
        <v>33795</v>
      </c>
      <c r="BM57" s="2">
        <f t="shared" ca="1" si="1"/>
        <v>1</v>
      </c>
      <c r="BN57" s="3">
        <v>250000</v>
      </c>
      <c r="BO57" s="3">
        <v>100000</v>
      </c>
      <c r="BP57" s="3">
        <v>100000</v>
      </c>
      <c r="BQ57" s="3">
        <v>100000</v>
      </c>
      <c r="BR57" s="3">
        <v>50000</v>
      </c>
      <c r="BS57">
        <v>50000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 t="s">
        <v>2940</v>
      </c>
      <c r="CA57" t="s">
        <v>2939</v>
      </c>
      <c r="CB57" t="s">
        <v>2941</v>
      </c>
    </row>
    <row r="58" spans="1:80" x14ac:dyDescent="0.25">
      <c r="A58">
        <v>56</v>
      </c>
      <c r="B58" t="s">
        <v>2075</v>
      </c>
      <c r="C58" s="1">
        <v>44795</v>
      </c>
      <c r="D58" s="2">
        <v>24</v>
      </c>
      <c r="E58" t="s">
        <v>4</v>
      </c>
      <c r="F58" t="s">
        <v>1311</v>
      </c>
      <c r="G58">
        <v>1</v>
      </c>
      <c r="H58" s="3">
        <v>3000000</v>
      </c>
      <c r="I58" s="3">
        <v>0</v>
      </c>
      <c r="J58" s="3">
        <v>500000</v>
      </c>
      <c r="K58" s="3">
        <v>0</v>
      </c>
      <c r="L58" s="3" t="s">
        <v>1191</v>
      </c>
      <c r="M58">
        <v>268826</v>
      </c>
      <c r="N58" t="s">
        <v>208</v>
      </c>
      <c r="P58" t="s">
        <v>178</v>
      </c>
      <c r="Q58" t="s">
        <v>18</v>
      </c>
      <c r="R58">
        <v>77019</v>
      </c>
      <c r="S58" t="s">
        <v>44</v>
      </c>
      <c r="T58" t="s">
        <v>968</v>
      </c>
      <c r="U58">
        <v>0</v>
      </c>
      <c r="V58" t="s">
        <v>1007</v>
      </c>
      <c r="W58" t="s">
        <v>1195</v>
      </c>
      <c r="X58" t="s">
        <v>973</v>
      </c>
      <c r="Y58">
        <v>10000</v>
      </c>
      <c r="Z58" s="2">
        <v>2</v>
      </c>
      <c r="AA58" s="2">
        <v>0</v>
      </c>
      <c r="AB58" t="s">
        <v>1238</v>
      </c>
      <c r="AC58">
        <v>882</v>
      </c>
      <c r="AD58" t="s">
        <v>1284</v>
      </c>
      <c r="AE58">
        <v>1</v>
      </c>
      <c r="AF58" t="s">
        <v>1290</v>
      </c>
      <c r="AG58">
        <v>0</v>
      </c>
      <c r="AH58">
        <v>0</v>
      </c>
      <c r="AI58">
        <v>0</v>
      </c>
      <c r="AJ58">
        <v>2003</v>
      </c>
      <c r="AK58" t="s">
        <v>1194</v>
      </c>
      <c r="AL58" t="s">
        <v>1194</v>
      </c>
      <c r="AM58" s="4" t="s">
        <v>1238</v>
      </c>
      <c r="AN58">
        <v>0</v>
      </c>
      <c r="AO58" t="s">
        <v>1315</v>
      </c>
      <c r="AP58">
        <f t="shared" si="0"/>
        <v>0</v>
      </c>
      <c r="AQ58">
        <v>1</v>
      </c>
      <c r="AR58" t="s">
        <v>1992</v>
      </c>
      <c r="AS58" t="s">
        <v>1996</v>
      </c>
      <c r="AT58" t="s">
        <v>1995</v>
      </c>
      <c r="AU58" t="s">
        <v>1996</v>
      </c>
      <c r="AV58" t="s">
        <v>1996</v>
      </c>
      <c r="AW58" t="s">
        <v>1996</v>
      </c>
      <c r="AX58" t="s">
        <v>2006</v>
      </c>
      <c r="AY58" t="s">
        <v>1996</v>
      </c>
      <c r="AZ58">
        <v>5449</v>
      </c>
      <c r="BA58" t="s">
        <v>1194</v>
      </c>
      <c r="BB58" t="s">
        <v>1194</v>
      </c>
      <c r="BC58" s="3">
        <v>6803.1139999999996</v>
      </c>
      <c r="BD58" s="3">
        <v>5447.64</v>
      </c>
      <c r="BE58" s="3">
        <v>0</v>
      </c>
      <c r="BF58" s="3">
        <v>0</v>
      </c>
      <c r="BG58" s="3">
        <v>150</v>
      </c>
      <c r="BH58" s="3">
        <v>0</v>
      </c>
      <c r="BI58" s="3">
        <v>19099</v>
      </c>
      <c r="BJ58" s="3">
        <v>31500</v>
      </c>
      <c r="BK58" s="3">
        <v>150</v>
      </c>
      <c r="BL58" s="3">
        <v>31650</v>
      </c>
      <c r="BM58" s="2">
        <f t="shared" ca="1" si="1"/>
        <v>4</v>
      </c>
      <c r="BN58" s="3">
        <v>100000</v>
      </c>
      <c r="BO58" s="3">
        <v>500000</v>
      </c>
      <c r="BP58" s="3">
        <v>50000</v>
      </c>
      <c r="BQ58" s="3">
        <v>50000</v>
      </c>
      <c r="BR58" s="3">
        <v>250000</v>
      </c>
      <c r="BS58" t="s">
        <v>2916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2942</v>
      </c>
      <c r="CA58" t="s">
        <v>2006</v>
      </c>
      <c r="CB58" t="s">
        <v>2945</v>
      </c>
    </row>
    <row r="59" spans="1:80" x14ac:dyDescent="0.25">
      <c r="A59">
        <v>57</v>
      </c>
      <c r="B59" t="s">
        <v>2076</v>
      </c>
      <c r="C59" s="1">
        <v>44816</v>
      </c>
      <c r="D59" s="2">
        <v>27</v>
      </c>
      <c r="E59" t="s">
        <v>4</v>
      </c>
      <c r="F59" t="s">
        <v>1311</v>
      </c>
      <c r="G59">
        <v>1</v>
      </c>
      <c r="H59" s="3">
        <v>1764000</v>
      </c>
      <c r="I59" s="3">
        <v>105000</v>
      </c>
      <c r="J59" s="3">
        <v>0</v>
      </c>
      <c r="K59" s="3">
        <v>0</v>
      </c>
      <c r="L59" s="3" t="s">
        <v>1191</v>
      </c>
      <c r="M59">
        <v>273715</v>
      </c>
      <c r="N59" t="s">
        <v>209</v>
      </c>
      <c r="P59" t="s">
        <v>210</v>
      </c>
      <c r="Q59" t="s">
        <v>13</v>
      </c>
      <c r="R59">
        <v>2539</v>
      </c>
      <c r="S59" t="s">
        <v>55</v>
      </c>
      <c r="T59" t="s">
        <v>962</v>
      </c>
      <c r="U59">
        <v>0</v>
      </c>
      <c r="V59" t="s">
        <v>1024</v>
      </c>
      <c r="W59" t="s">
        <v>1194</v>
      </c>
      <c r="X59" t="s">
        <v>973</v>
      </c>
      <c r="Y59">
        <v>10000</v>
      </c>
      <c r="Z59" s="2">
        <v>2</v>
      </c>
      <c r="AA59" s="2" t="s">
        <v>1238</v>
      </c>
      <c r="AB59" t="s">
        <v>1238</v>
      </c>
      <c r="AC59">
        <v>711</v>
      </c>
      <c r="AD59" t="s">
        <v>1279</v>
      </c>
      <c r="AE59">
        <v>4</v>
      </c>
      <c r="AF59" t="s">
        <v>1290</v>
      </c>
      <c r="AG59">
        <v>0</v>
      </c>
      <c r="AH59">
        <v>0</v>
      </c>
      <c r="AI59">
        <v>0</v>
      </c>
      <c r="AJ59">
        <v>2013</v>
      </c>
      <c r="AK59" t="s">
        <v>1194</v>
      </c>
      <c r="AL59" t="s">
        <v>1194</v>
      </c>
      <c r="AM59" s="4" t="s">
        <v>1238</v>
      </c>
      <c r="AN59">
        <v>0</v>
      </c>
      <c r="AO59" t="s">
        <v>1316</v>
      </c>
      <c r="AP59">
        <f t="shared" si="0"/>
        <v>0</v>
      </c>
      <c r="AQ59">
        <v>0</v>
      </c>
      <c r="AR59" t="s">
        <v>1993</v>
      </c>
      <c r="AS59" t="s">
        <v>1995</v>
      </c>
      <c r="AT59" t="s">
        <v>1995</v>
      </c>
      <c r="AU59" t="s">
        <v>1996</v>
      </c>
      <c r="AV59" t="s">
        <v>1995</v>
      </c>
      <c r="AW59" t="s">
        <v>1996</v>
      </c>
      <c r="AX59" t="s">
        <v>2006</v>
      </c>
      <c r="AY59" t="s">
        <v>1996</v>
      </c>
      <c r="AZ59">
        <v>2580</v>
      </c>
      <c r="BA59" t="s">
        <v>1194</v>
      </c>
      <c r="BB59" t="s">
        <v>1194</v>
      </c>
      <c r="BC59" s="3">
        <v>4180.0946999999996</v>
      </c>
      <c r="BD59" s="3">
        <v>4229.68</v>
      </c>
      <c r="BE59" s="3">
        <v>0</v>
      </c>
      <c r="BF59" s="3">
        <v>0</v>
      </c>
      <c r="BG59" s="3">
        <v>150</v>
      </c>
      <c r="BH59" s="3">
        <v>0</v>
      </c>
      <c r="BI59" s="3">
        <v>1700</v>
      </c>
      <c r="BJ59" s="3">
        <v>10260</v>
      </c>
      <c r="BK59" s="3">
        <v>700</v>
      </c>
      <c r="BL59" s="3">
        <v>10960</v>
      </c>
      <c r="BM59" s="2">
        <f t="shared" ca="1" si="1"/>
        <v>3</v>
      </c>
      <c r="BN59" s="3">
        <v>2000000</v>
      </c>
      <c r="BO59" s="3">
        <v>50000</v>
      </c>
      <c r="BP59" s="3">
        <v>50000</v>
      </c>
      <c r="BQ59" s="3">
        <v>100000</v>
      </c>
      <c r="BR59" s="3">
        <v>1000000</v>
      </c>
      <c r="BS59">
        <v>2000000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 t="s">
        <v>2942</v>
      </c>
      <c r="CA59" t="s">
        <v>2006</v>
      </c>
      <c r="CB59" t="s">
        <v>2006</v>
      </c>
    </row>
    <row r="60" spans="1:80" x14ac:dyDescent="0.25">
      <c r="A60">
        <v>58</v>
      </c>
      <c r="B60" t="s">
        <v>2077</v>
      </c>
      <c r="C60" s="1">
        <v>44958</v>
      </c>
      <c r="D60" s="2">
        <v>6</v>
      </c>
      <c r="E60" t="s">
        <v>4</v>
      </c>
      <c r="F60" t="s">
        <v>1310</v>
      </c>
      <c r="G60">
        <v>0</v>
      </c>
      <c r="H60" s="3">
        <v>6100000</v>
      </c>
      <c r="I60" s="3">
        <v>50000</v>
      </c>
      <c r="J60" s="3">
        <v>0</v>
      </c>
      <c r="K60" s="3">
        <v>0</v>
      </c>
      <c r="L60" s="3" t="s">
        <v>1191</v>
      </c>
      <c r="M60">
        <v>1972183</v>
      </c>
      <c r="N60" t="s">
        <v>211</v>
      </c>
      <c r="P60" t="s">
        <v>212</v>
      </c>
      <c r="Q60" t="s">
        <v>13</v>
      </c>
      <c r="R60">
        <v>2138</v>
      </c>
      <c r="S60" t="s">
        <v>53</v>
      </c>
      <c r="T60" t="s">
        <v>968</v>
      </c>
      <c r="U60">
        <v>0</v>
      </c>
      <c r="V60" t="s">
        <v>1025</v>
      </c>
      <c r="W60" t="s">
        <v>1194</v>
      </c>
      <c r="X60" t="s">
        <v>973</v>
      </c>
      <c r="Y60">
        <v>25000</v>
      </c>
      <c r="Z60" s="2">
        <v>2</v>
      </c>
      <c r="AA60" s="2" t="s">
        <v>1238</v>
      </c>
      <c r="AB60" t="s">
        <v>1238</v>
      </c>
      <c r="AC60">
        <v>797</v>
      </c>
      <c r="AD60" t="s">
        <v>1279</v>
      </c>
      <c r="AE60">
        <v>1</v>
      </c>
      <c r="AF60" t="s">
        <v>1290</v>
      </c>
      <c r="AG60">
        <v>0</v>
      </c>
      <c r="AH60">
        <v>0</v>
      </c>
      <c r="AI60">
        <v>0</v>
      </c>
      <c r="AJ60">
        <v>1912</v>
      </c>
      <c r="AK60">
        <v>2022</v>
      </c>
      <c r="AL60">
        <v>2022</v>
      </c>
      <c r="AM60" s="4" t="s">
        <v>1304</v>
      </c>
      <c r="AN60">
        <v>1</v>
      </c>
      <c r="AO60" t="s">
        <v>1315</v>
      </c>
      <c r="AP60">
        <f t="shared" si="0"/>
        <v>0</v>
      </c>
      <c r="AQ60">
        <v>1</v>
      </c>
      <c r="AR60" t="s">
        <v>1992</v>
      </c>
      <c r="AS60" t="s">
        <v>1996</v>
      </c>
      <c r="AT60" t="s">
        <v>1995</v>
      </c>
      <c r="AU60" t="s">
        <v>1995</v>
      </c>
      <c r="AV60" t="s">
        <v>1996</v>
      </c>
      <c r="AW60" t="s">
        <v>1996</v>
      </c>
      <c r="AX60" t="s">
        <v>2006</v>
      </c>
      <c r="AY60" t="s">
        <v>1996</v>
      </c>
      <c r="AZ60">
        <v>5401</v>
      </c>
      <c r="BA60" t="s">
        <v>1194</v>
      </c>
      <c r="BB60" t="s">
        <v>1194</v>
      </c>
      <c r="BC60" s="3">
        <v>8624.9563999999991</v>
      </c>
      <c r="BD60" s="3">
        <v>4769.5200000000004</v>
      </c>
      <c r="BE60" s="3">
        <v>0</v>
      </c>
      <c r="BF60" s="3">
        <v>0</v>
      </c>
      <c r="BG60" s="3">
        <v>150</v>
      </c>
      <c r="BH60" s="3">
        <v>0</v>
      </c>
      <c r="BI60" s="3">
        <v>18989</v>
      </c>
      <c r="BJ60" s="3">
        <v>32533</v>
      </c>
      <c r="BK60" s="3">
        <v>0</v>
      </c>
      <c r="BL60" s="3">
        <v>32533</v>
      </c>
      <c r="BM60" s="2">
        <f t="shared" ca="1" si="1"/>
        <v>5</v>
      </c>
      <c r="BN60" s="3">
        <v>2000000</v>
      </c>
      <c r="BO60" s="3">
        <v>1000000</v>
      </c>
      <c r="BP60" s="3">
        <v>50000</v>
      </c>
      <c r="BQ60" s="3">
        <v>50000</v>
      </c>
      <c r="BR60" s="3">
        <v>500000</v>
      </c>
      <c r="BS60">
        <v>1000000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 t="s">
        <v>2942</v>
      </c>
      <c r="CA60" t="s">
        <v>2006</v>
      </c>
      <c r="CB60" t="s">
        <v>2941</v>
      </c>
    </row>
    <row r="61" spans="1:80" x14ac:dyDescent="0.25">
      <c r="A61">
        <v>59</v>
      </c>
      <c r="B61" t="s">
        <v>2078</v>
      </c>
      <c r="C61" s="1">
        <v>44982</v>
      </c>
      <c r="D61" s="2">
        <v>6</v>
      </c>
      <c r="E61" t="s">
        <v>4</v>
      </c>
      <c r="F61" t="s">
        <v>1310</v>
      </c>
      <c r="G61">
        <v>0</v>
      </c>
      <c r="H61" s="3">
        <v>0</v>
      </c>
      <c r="I61" s="3">
        <v>0</v>
      </c>
      <c r="J61" s="3">
        <v>1000000</v>
      </c>
      <c r="K61" s="3">
        <v>0</v>
      </c>
      <c r="L61" s="3" t="s">
        <v>1192</v>
      </c>
      <c r="M61">
        <v>1843071</v>
      </c>
      <c r="N61" t="s">
        <v>213</v>
      </c>
      <c r="P61" t="s">
        <v>214</v>
      </c>
      <c r="Q61" t="s">
        <v>15</v>
      </c>
      <c r="R61">
        <v>33767</v>
      </c>
      <c r="S61" t="s">
        <v>28</v>
      </c>
      <c r="T61" t="s">
        <v>967</v>
      </c>
      <c r="U61">
        <v>1</v>
      </c>
      <c r="V61" t="s">
        <v>1026</v>
      </c>
      <c r="W61" t="s">
        <v>1194</v>
      </c>
      <c r="X61" t="s">
        <v>1309</v>
      </c>
      <c r="Y61">
        <v>10000</v>
      </c>
      <c r="Z61" s="2">
        <v>5</v>
      </c>
      <c r="AA61" s="2" t="s">
        <v>1238</v>
      </c>
      <c r="AB61" t="s">
        <v>1238</v>
      </c>
      <c r="AC61">
        <v>906</v>
      </c>
      <c r="AD61" t="s">
        <v>1282</v>
      </c>
      <c r="AE61">
        <v>1</v>
      </c>
      <c r="AF61" t="s">
        <v>1291</v>
      </c>
      <c r="AG61">
        <v>0</v>
      </c>
      <c r="AH61">
        <v>0</v>
      </c>
      <c r="AI61">
        <v>0</v>
      </c>
      <c r="AJ61">
        <v>2010</v>
      </c>
      <c r="AK61" t="s">
        <v>1194</v>
      </c>
      <c r="AL61" t="s">
        <v>1194</v>
      </c>
      <c r="AM61" s="4" t="s">
        <v>1305</v>
      </c>
      <c r="AN61">
        <v>0</v>
      </c>
      <c r="AO61" t="s">
        <v>1315</v>
      </c>
      <c r="AP61">
        <f t="shared" si="0"/>
        <v>0</v>
      </c>
      <c r="AQ61">
        <v>1</v>
      </c>
      <c r="AR61" t="s">
        <v>1992</v>
      </c>
      <c r="AS61" t="s">
        <v>1996</v>
      </c>
      <c r="AT61" t="s">
        <v>1996</v>
      </c>
      <c r="AU61" t="s">
        <v>1996</v>
      </c>
      <c r="AV61" t="s">
        <v>1996</v>
      </c>
      <c r="AW61" t="s">
        <v>1995</v>
      </c>
      <c r="AX61" t="s">
        <v>2007</v>
      </c>
      <c r="AY61" t="s">
        <v>1995</v>
      </c>
      <c r="AZ61">
        <v>1788</v>
      </c>
      <c r="BA61" t="s">
        <v>1194</v>
      </c>
      <c r="BB61" t="s">
        <v>1194</v>
      </c>
      <c r="BC61" s="3">
        <v>1959.1554000000001</v>
      </c>
      <c r="BD61" s="3">
        <v>4836.3900000000003</v>
      </c>
      <c r="BE61" s="3">
        <v>0</v>
      </c>
      <c r="BF61" s="3">
        <v>0</v>
      </c>
      <c r="BG61" s="3">
        <v>300</v>
      </c>
      <c r="BH61" s="3">
        <v>0</v>
      </c>
      <c r="BI61" s="3">
        <v>4504</v>
      </c>
      <c r="BJ61" s="3">
        <v>11600</v>
      </c>
      <c r="BK61" s="3">
        <v>150</v>
      </c>
      <c r="BL61" s="3">
        <v>11750</v>
      </c>
      <c r="BM61" s="2">
        <f t="shared" ca="1" si="1"/>
        <v>5</v>
      </c>
      <c r="BN61" s="3">
        <v>2000000</v>
      </c>
      <c r="BO61" s="3">
        <v>25000</v>
      </c>
      <c r="BP61" s="3" t="s">
        <v>2922</v>
      </c>
      <c r="BQ61" s="3">
        <v>50000</v>
      </c>
      <c r="BR61" s="3">
        <v>50000</v>
      </c>
      <c r="BS61">
        <v>100000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 t="s">
        <v>2940</v>
      </c>
      <c r="CA61" t="s">
        <v>2939</v>
      </c>
      <c r="CB61" t="s">
        <v>2946</v>
      </c>
    </row>
    <row r="62" spans="1:80" x14ac:dyDescent="0.25">
      <c r="A62">
        <v>60</v>
      </c>
      <c r="B62" t="s">
        <v>2079</v>
      </c>
      <c r="C62" s="1">
        <v>44887</v>
      </c>
      <c r="D62" s="2">
        <v>33</v>
      </c>
      <c r="E62" t="s">
        <v>4</v>
      </c>
      <c r="F62" t="s">
        <v>1311</v>
      </c>
      <c r="G62">
        <v>0</v>
      </c>
      <c r="H62" s="3">
        <v>2500000</v>
      </c>
      <c r="I62" s="3">
        <v>450000</v>
      </c>
      <c r="J62" s="3">
        <v>0</v>
      </c>
      <c r="K62" s="3">
        <v>0</v>
      </c>
      <c r="L62" s="3" t="s">
        <v>1191</v>
      </c>
      <c r="M62">
        <v>1468036</v>
      </c>
      <c r="N62" t="s">
        <v>215</v>
      </c>
      <c r="P62" t="s">
        <v>216</v>
      </c>
      <c r="Q62" t="s">
        <v>13</v>
      </c>
      <c r="R62">
        <v>2539</v>
      </c>
      <c r="S62" t="s">
        <v>55</v>
      </c>
      <c r="T62" t="s">
        <v>963</v>
      </c>
      <c r="U62">
        <v>0</v>
      </c>
      <c r="V62" t="s">
        <v>1027</v>
      </c>
      <c r="W62" t="s">
        <v>1194</v>
      </c>
      <c r="X62" t="s">
        <v>973</v>
      </c>
      <c r="Y62">
        <v>10000</v>
      </c>
      <c r="Z62" s="2">
        <v>5</v>
      </c>
      <c r="AA62" s="2" t="s">
        <v>1238</v>
      </c>
      <c r="AB62" t="s">
        <v>1238</v>
      </c>
      <c r="AC62">
        <v>839</v>
      </c>
      <c r="AD62" t="s">
        <v>1279</v>
      </c>
      <c r="AE62">
        <v>4</v>
      </c>
      <c r="AF62" t="s">
        <v>1290</v>
      </c>
      <c r="AG62">
        <v>0</v>
      </c>
      <c r="AH62">
        <v>0</v>
      </c>
      <c r="AI62">
        <v>0</v>
      </c>
      <c r="AJ62">
        <v>1986</v>
      </c>
      <c r="AK62">
        <v>2003</v>
      </c>
      <c r="AL62">
        <v>2003</v>
      </c>
      <c r="AM62" s="4" t="s">
        <v>1238</v>
      </c>
      <c r="AN62">
        <v>1</v>
      </c>
      <c r="AO62" t="s">
        <v>1316</v>
      </c>
      <c r="AP62">
        <f t="shared" si="0"/>
        <v>0</v>
      </c>
      <c r="AQ62">
        <v>1</v>
      </c>
      <c r="AR62" t="s">
        <v>1992</v>
      </c>
      <c r="AS62" t="s">
        <v>1995</v>
      </c>
      <c r="AT62" t="s">
        <v>1995</v>
      </c>
      <c r="AU62" t="s">
        <v>1996</v>
      </c>
      <c r="AV62" t="s">
        <v>1995</v>
      </c>
      <c r="AW62" t="s">
        <v>1995</v>
      </c>
      <c r="AX62" t="s">
        <v>2003</v>
      </c>
      <c r="AY62" t="s">
        <v>1996</v>
      </c>
      <c r="AZ62">
        <v>2358</v>
      </c>
      <c r="BA62" t="s">
        <v>1194</v>
      </c>
      <c r="BB62" t="s">
        <v>1194</v>
      </c>
      <c r="BC62" s="3">
        <v>6616.0573000000004</v>
      </c>
      <c r="BD62" s="3">
        <v>9002.9599999999991</v>
      </c>
      <c r="BE62" s="3">
        <v>0</v>
      </c>
      <c r="BF62" s="3">
        <v>0</v>
      </c>
      <c r="BG62" s="3">
        <v>150</v>
      </c>
      <c r="BH62" s="3">
        <v>0</v>
      </c>
      <c r="BI62" s="3">
        <v>8479</v>
      </c>
      <c r="BJ62" s="3">
        <v>24248</v>
      </c>
      <c r="BK62" s="3">
        <v>225</v>
      </c>
      <c r="BL62" s="3">
        <v>24473</v>
      </c>
      <c r="BM62" s="2">
        <f t="shared" ca="1" si="1"/>
        <v>2</v>
      </c>
      <c r="BN62" s="3" t="s">
        <v>2916</v>
      </c>
      <c r="BO62" s="3">
        <v>50000</v>
      </c>
      <c r="BP62" s="3">
        <v>200000</v>
      </c>
      <c r="BQ62" s="3">
        <v>100000</v>
      </c>
      <c r="BR62" s="3">
        <v>100000</v>
      </c>
      <c r="BS62">
        <v>2000000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 t="s">
        <v>2942</v>
      </c>
      <c r="CA62" t="s">
        <v>2006</v>
      </c>
      <c r="CB62" t="s">
        <v>2941</v>
      </c>
    </row>
    <row r="63" spans="1:80" x14ac:dyDescent="0.25">
      <c r="A63">
        <v>61</v>
      </c>
      <c r="B63" t="s">
        <v>2080</v>
      </c>
      <c r="C63" s="1">
        <v>44774</v>
      </c>
      <c r="D63" s="2">
        <v>24</v>
      </c>
      <c r="E63" t="s">
        <v>4</v>
      </c>
      <c r="F63" t="s">
        <v>1311</v>
      </c>
      <c r="G63">
        <v>0</v>
      </c>
      <c r="H63" s="3">
        <v>4200000</v>
      </c>
      <c r="I63" s="3">
        <v>700000</v>
      </c>
      <c r="J63" s="3">
        <v>1250000</v>
      </c>
      <c r="K63" s="3">
        <v>0</v>
      </c>
      <c r="L63" s="3" t="s">
        <v>1191</v>
      </c>
      <c r="M63">
        <v>521722</v>
      </c>
      <c r="N63" t="s">
        <v>217</v>
      </c>
      <c r="P63" t="s">
        <v>56</v>
      </c>
      <c r="Q63" t="s">
        <v>17</v>
      </c>
      <c r="R63">
        <v>29609</v>
      </c>
      <c r="S63" t="s">
        <v>56</v>
      </c>
      <c r="T63" t="s">
        <v>973</v>
      </c>
      <c r="U63">
        <v>0</v>
      </c>
      <c r="V63" t="s">
        <v>1012</v>
      </c>
      <c r="W63" t="s">
        <v>1194</v>
      </c>
      <c r="X63" t="s">
        <v>973</v>
      </c>
      <c r="Y63">
        <v>10000</v>
      </c>
      <c r="Z63" s="2" t="s">
        <v>1194</v>
      </c>
      <c r="AA63" s="2" t="s">
        <v>1238</v>
      </c>
      <c r="AB63" t="s">
        <v>1238</v>
      </c>
      <c r="AC63">
        <v>709</v>
      </c>
      <c r="AD63" t="s">
        <v>1284</v>
      </c>
      <c r="AE63">
        <v>1</v>
      </c>
      <c r="AF63" t="s">
        <v>1290</v>
      </c>
      <c r="AG63">
        <v>0</v>
      </c>
      <c r="AH63">
        <v>0</v>
      </c>
      <c r="AI63">
        <v>0</v>
      </c>
      <c r="AJ63">
        <v>2008</v>
      </c>
      <c r="AK63" t="s">
        <v>1194</v>
      </c>
      <c r="AL63" t="s">
        <v>1194</v>
      </c>
      <c r="AM63" s="4" t="s">
        <v>1238</v>
      </c>
      <c r="AN63">
        <v>0</v>
      </c>
      <c r="AO63" t="s">
        <v>1315</v>
      </c>
      <c r="AP63">
        <f t="shared" si="0"/>
        <v>0</v>
      </c>
      <c r="AQ63">
        <v>1</v>
      </c>
      <c r="AR63" t="s">
        <v>1992</v>
      </c>
      <c r="AS63" t="s">
        <v>1996</v>
      </c>
      <c r="AT63" t="s">
        <v>1995</v>
      </c>
      <c r="AU63" t="s">
        <v>1996</v>
      </c>
      <c r="AV63" t="s">
        <v>1995</v>
      </c>
      <c r="AW63" t="s">
        <v>1995</v>
      </c>
      <c r="AX63" t="s">
        <v>2006</v>
      </c>
      <c r="AY63" t="s">
        <v>1996</v>
      </c>
      <c r="AZ63">
        <v>10000</v>
      </c>
      <c r="BA63" t="s">
        <v>1194</v>
      </c>
      <c r="BB63" t="s">
        <v>1194</v>
      </c>
      <c r="BC63" s="3">
        <v>9848.9977999999992</v>
      </c>
      <c r="BD63" s="3">
        <v>282.87</v>
      </c>
      <c r="BE63" s="3">
        <v>0</v>
      </c>
      <c r="BF63" s="3">
        <v>0</v>
      </c>
      <c r="BG63" s="3">
        <v>150</v>
      </c>
      <c r="BH63" s="3">
        <v>0</v>
      </c>
      <c r="BI63" s="3">
        <v>12472</v>
      </c>
      <c r="BJ63" s="3">
        <v>22754</v>
      </c>
      <c r="BK63" s="3">
        <v>250</v>
      </c>
      <c r="BL63" s="3">
        <v>23004</v>
      </c>
      <c r="BM63" s="2">
        <f t="shared" ca="1" si="1"/>
        <v>3</v>
      </c>
      <c r="BN63" s="3" t="s">
        <v>2916</v>
      </c>
      <c r="BO63" s="3">
        <v>500000</v>
      </c>
      <c r="BP63" s="3">
        <v>100000</v>
      </c>
      <c r="BQ63" s="3">
        <v>250000</v>
      </c>
      <c r="BR63" s="3">
        <v>500000</v>
      </c>
      <c r="BS63">
        <v>500000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 t="s">
        <v>2942</v>
      </c>
      <c r="CA63" t="s">
        <v>2006</v>
      </c>
      <c r="CB63" t="s">
        <v>2945</v>
      </c>
    </row>
    <row r="64" spans="1:80" x14ac:dyDescent="0.25">
      <c r="A64">
        <v>62</v>
      </c>
      <c r="B64" t="s">
        <v>2081</v>
      </c>
      <c r="C64" s="1">
        <v>44984</v>
      </c>
      <c r="D64" s="2">
        <v>6</v>
      </c>
      <c r="E64" t="s">
        <v>4</v>
      </c>
      <c r="F64" t="s">
        <v>1310</v>
      </c>
      <c r="G64">
        <v>0</v>
      </c>
      <c r="H64" s="3">
        <v>2000000</v>
      </c>
      <c r="I64" s="3">
        <v>0</v>
      </c>
      <c r="J64" s="3">
        <v>0</v>
      </c>
      <c r="K64" s="3">
        <v>0</v>
      </c>
      <c r="L64" s="3" t="s">
        <v>1191</v>
      </c>
      <c r="M64">
        <v>2070153</v>
      </c>
      <c r="N64" t="s">
        <v>218</v>
      </c>
      <c r="P64" t="s">
        <v>219</v>
      </c>
      <c r="Q64" t="s">
        <v>20</v>
      </c>
      <c r="R64">
        <v>30009</v>
      </c>
      <c r="S64" t="s">
        <v>57</v>
      </c>
      <c r="T64" t="s">
        <v>973</v>
      </c>
      <c r="U64">
        <v>0</v>
      </c>
      <c r="V64">
        <v>17</v>
      </c>
      <c r="W64" t="s">
        <v>1195</v>
      </c>
      <c r="X64" t="s">
        <v>973</v>
      </c>
      <c r="Y64">
        <v>10000</v>
      </c>
      <c r="Z64" s="2" t="s">
        <v>1194</v>
      </c>
      <c r="AA64" s="2">
        <v>0</v>
      </c>
      <c r="AB64" t="s">
        <v>1238</v>
      </c>
      <c r="AC64">
        <v>741</v>
      </c>
      <c r="AD64" t="s">
        <v>1284</v>
      </c>
      <c r="AE64">
        <v>1</v>
      </c>
      <c r="AF64" t="s">
        <v>1290</v>
      </c>
      <c r="AG64">
        <v>0</v>
      </c>
      <c r="AH64">
        <v>0</v>
      </c>
      <c r="AI64">
        <v>0</v>
      </c>
      <c r="AJ64">
        <v>2016</v>
      </c>
      <c r="AK64" t="s">
        <v>1194</v>
      </c>
      <c r="AL64" t="s">
        <v>1194</v>
      </c>
      <c r="AM64" s="4" t="s">
        <v>1304</v>
      </c>
      <c r="AN64">
        <v>1</v>
      </c>
      <c r="AO64" t="s">
        <v>1315</v>
      </c>
      <c r="AP64">
        <f t="shared" si="0"/>
        <v>0</v>
      </c>
      <c r="AQ64">
        <v>0</v>
      </c>
      <c r="AR64" t="s">
        <v>1993</v>
      </c>
      <c r="AS64" t="s">
        <v>1996</v>
      </c>
      <c r="AT64" t="s">
        <v>1995</v>
      </c>
      <c r="AU64" t="s">
        <v>1996</v>
      </c>
      <c r="AV64" t="s">
        <v>1996</v>
      </c>
      <c r="AW64" t="s">
        <v>1996</v>
      </c>
      <c r="AX64" t="s">
        <v>2003</v>
      </c>
      <c r="AY64" t="s">
        <v>1996</v>
      </c>
      <c r="AZ64">
        <v>4992</v>
      </c>
      <c r="BA64" t="s">
        <v>1194</v>
      </c>
      <c r="BB64" t="s">
        <v>1194</v>
      </c>
      <c r="BC64" s="3">
        <v>4426.5898999999999</v>
      </c>
      <c r="BD64" s="3">
        <v>4669.71</v>
      </c>
      <c r="BE64" s="3">
        <v>0</v>
      </c>
      <c r="BF64" s="3">
        <v>0</v>
      </c>
      <c r="BG64" s="3">
        <v>150</v>
      </c>
      <c r="BH64" s="3">
        <v>0</v>
      </c>
      <c r="BI64" s="3">
        <v>2154</v>
      </c>
      <c r="BJ64" s="3">
        <v>11400</v>
      </c>
      <c r="BK64" s="3">
        <v>0</v>
      </c>
      <c r="BL64" s="3">
        <v>11400</v>
      </c>
      <c r="BM64" s="2">
        <f t="shared" ca="1" si="1"/>
        <v>4</v>
      </c>
      <c r="BN64" s="3">
        <v>100000</v>
      </c>
      <c r="BO64" s="3">
        <v>50000</v>
      </c>
      <c r="BP64" s="3">
        <v>50000</v>
      </c>
      <c r="BQ64" s="3">
        <v>1000000</v>
      </c>
      <c r="BR64" s="3">
        <v>50000</v>
      </c>
      <c r="BS64">
        <v>250000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BZ64" t="s">
        <v>2942</v>
      </c>
      <c r="CA64" t="s">
        <v>2006</v>
      </c>
      <c r="CB64" t="s">
        <v>2941</v>
      </c>
    </row>
    <row r="65" spans="1:80" x14ac:dyDescent="0.25">
      <c r="A65">
        <v>63</v>
      </c>
      <c r="B65" t="s">
        <v>2082</v>
      </c>
      <c r="C65" s="1">
        <v>44927</v>
      </c>
      <c r="D65" s="2">
        <v>3</v>
      </c>
      <c r="E65" t="s">
        <v>4</v>
      </c>
      <c r="F65" t="s">
        <v>1310</v>
      </c>
      <c r="G65">
        <v>0</v>
      </c>
      <c r="H65" s="3">
        <v>0</v>
      </c>
      <c r="I65" s="3">
        <v>0</v>
      </c>
      <c r="J65" s="3">
        <v>2000000</v>
      </c>
      <c r="K65" s="3">
        <v>0</v>
      </c>
      <c r="L65" s="3" t="s">
        <v>1192</v>
      </c>
      <c r="M65">
        <v>1594889</v>
      </c>
      <c r="N65" t="s">
        <v>220</v>
      </c>
      <c r="O65" t="s">
        <v>221</v>
      </c>
      <c r="P65" t="s">
        <v>222</v>
      </c>
      <c r="Q65" t="s">
        <v>14</v>
      </c>
      <c r="R65">
        <v>10014</v>
      </c>
      <c r="S65" t="s">
        <v>29</v>
      </c>
      <c r="T65" t="s">
        <v>962</v>
      </c>
      <c r="U65">
        <v>0</v>
      </c>
      <c r="V65" t="s">
        <v>997</v>
      </c>
      <c r="W65" t="s">
        <v>1194</v>
      </c>
      <c r="X65" t="s">
        <v>973</v>
      </c>
      <c r="Y65">
        <v>10000</v>
      </c>
      <c r="Z65" s="2">
        <v>1</v>
      </c>
      <c r="AA65" s="2" t="s">
        <v>1238</v>
      </c>
      <c r="AB65" t="s">
        <v>1238</v>
      </c>
      <c r="AC65">
        <v>928</v>
      </c>
      <c r="AD65" t="s">
        <v>1281</v>
      </c>
      <c r="AE65">
        <v>1</v>
      </c>
      <c r="AF65" t="s">
        <v>1290</v>
      </c>
      <c r="AG65">
        <v>0</v>
      </c>
      <c r="AH65">
        <v>0</v>
      </c>
      <c r="AI65">
        <v>0</v>
      </c>
      <c r="AJ65">
        <v>1966</v>
      </c>
      <c r="AK65" t="s">
        <v>1194</v>
      </c>
      <c r="AL65" t="s">
        <v>1194</v>
      </c>
      <c r="AM65" s="4" t="s">
        <v>1307</v>
      </c>
      <c r="AN65">
        <v>1</v>
      </c>
      <c r="AO65" t="s">
        <v>1317</v>
      </c>
      <c r="AP65">
        <f t="shared" si="0"/>
        <v>0</v>
      </c>
      <c r="AQ65">
        <v>0</v>
      </c>
      <c r="AR65" t="s">
        <v>1993</v>
      </c>
      <c r="AS65" t="s">
        <v>1995</v>
      </c>
      <c r="AT65" t="s">
        <v>1996</v>
      </c>
      <c r="AU65" t="s">
        <v>1995</v>
      </c>
      <c r="AV65" t="s">
        <v>1996</v>
      </c>
      <c r="AW65" t="s">
        <v>1996</v>
      </c>
      <c r="AX65" t="s">
        <v>2003</v>
      </c>
      <c r="AY65" t="s">
        <v>1996</v>
      </c>
      <c r="AZ65">
        <v>2000</v>
      </c>
      <c r="BA65" t="s">
        <v>1194</v>
      </c>
      <c r="BB65" t="s">
        <v>1194</v>
      </c>
      <c r="BC65" s="3">
        <v>9953.6720999999998</v>
      </c>
      <c r="BD65" s="3">
        <v>1896.28</v>
      </c>
      <c r="BE65" s="3">
        <v>0</v>
      </c>
      <c r="BF65" s="3">
        <v>0</v>
      </c>
      <c r="BG65" s="3">
        <v>150</v>
      </c>
      <c r="BH65" s="3">
        <v>0</v>
      </c>
      <c r="BI65" s="3">
        <v>0</v>
      </c>
      <c r="BJ65" s="3">
        <v>12000</v>
      </c>
      <c r="BK65" s="3">
        <v>0</v>
      </c>
      <c r="BL65" s="3">
        <v>12000</v>
      </c>
      <c r="BM65" s="2">
        <f t="shared" ca="1" si="1"/>
        <v>0</v>
      </c>
      <c r="BN65" s="3">
        <v>250000</v>
      </c>
      <c r="BO65" s="3">
        <v>500000</v>
      </c>
      <c r="BP65" s="3">
        <v>50000</v>
      </c>
      <c r="BQ65" s="3">
        <v>100000</v>
      </c>
      <c r="BR65" s="3">
        <v>250000</v>
      </c>
      <c r="BS65">
        <v>2000000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 t="s">
        <v>2942</v>
      </c>
      <c r="CA65" t="s">
        <v>2006</v>
      </c>
      <c r="CB65" t="s">
        <v>2006</v>
      </c>
    </row>
    <row r="66" spans="1:80" x14ac:dyDescent="0.25">
      <c r="A66">
        <v>64</v>
      </c>
      <c r="B66" t="s">
        <v>2083</v>
      </c>
      <c r="C66" s="1">
        <v>44880</v>
      </c>
      <c r="D66" s="2">
        <v>33</v>
      </c>
      <c r="E66" t="s">
        <v>4</v>
      </c>
      <c r="F66" t="s">
        <v>1311</v>
      </c>
      <c r="G66">
        <v>1</v>
      </c>
      <c r="H66" s="3">
        <v>1700000</v>
      </c>
      <c r="I66" s="3">
        <v>0</v>
      </c>
      <c r="J66" s="3">
        <v>0</v>
      </c>
      <c r="K66" s="3">
        <v>0</v>
      </c>
      <c r="L66" s="3" t="s">
        <v>1191</v>
      </c>
      <c r="M66">
        <v>1586672</v>
      </c>
      <c r="N66" t="s">
        <v>223</v>
      </c>
      <c r="P66" t="s">
        <v>224</v>
      </c>
      <c r="Q66" t="s">
        <v>13</v>
      </c>
      <c r="R66">
        <v>2537</v>
      </c>
      <c r="S66" t="s">
        <v>51</v>
      </c>
      <c r="T66" t="s">
        <v>968</v>
      </c>
      <c r="U66">
        <v>0</v>
      </c>
      <c r="V66" t="s">
        <v>1028</v>
      </c>
      <c r="W66" t="s">
        <v>1194</v>
      </c>
      <c r="X66" t="s">
        <v>973</v>
      </c>
      <c r="Y66">
        <v>10000</v>
      </c>
      <c r="Z66" s="2">
        <v>2</v>
      </c>
      <c r="AA66" s="2" t="s">
        <v>1238</v>
      </c>
      <c r="AB66" t="s">
        <v>1238</v>
      </c>
      <c r="AC66">
        <v>818</v>
      </c>
      <c r="AD66" t="s">
        <v>1279</v>
      </c>
      <c r="AE66">
        <v>8</v>
      </c>
      <c r="AF66" t="s">
        <v>1290</v>
      </c>
      <c r="AG66">
        <v>0</v>
      </c>
      <c r="AH66">
        <v>0</v>
      </c>
      <c r="AI66">
        <v>0</v>
      </c>
      <c r="AJ66">
        <v>2021</v>
      </c>
      <c r="AK66" t="s">
        <v>1194</v>
      </c>
      <c r="AL66" t="s">
        <v>1194</v>
      </c>
      <c r="AM66" s="4" t="s">
        <v>1238</v>
      </c>
      <c r="AN66">
        <v>0</v>
      </c>
      <c r="AO66" t="s">
        <v>1316</v>
      </c>
      <c r="AP66">
        <f t="shared" si="0"/>
        <v>0</v>
      </c>
      <c r="AQ66">
        <v>0</v>
      </c>
      <c r="AR66" t="s">
        <v>1993</v>
      </c>
      <c r="AS66" t="s">
        <v>1995</v>
      </c>
      <c r="AT66" t="s">
        <v>1996</v>
      </c>
      <c r="AU66" t="s">
        <v>1996</v>
      </c>
      <c r="AV66" t="s">
        <v>1996</v>
      </c>
      <c r="AW66" t="s">
        <v>1996</v>
      </c>
      <c r="AX66" t="s">
        <v>2006</v>
      </c>
      <c r="AY66" t="s">
        <v>1996</v>
      </c>
      <c r="AZ66">
        <v>3500</v>
      </c>
      <c r="BA66" t="s">
        <v>1194</v>
      </c>
      <c r="BB66" t="s">
        <v>1194</v>
      </c>
      <c r="BC66" s="3">
        <v>4318.7637999999997</v>
      </c>
      <c r="BD66" s="3">
        <v>1043.6199999999999</v>
      </c>
      <c r="BE66" s="3">
        <v>0</v>
      </c>
      <c r="BF66" s="3">
        <v>0</v>
      </c>
      <c r="BG66" s="3">
        <v>0</v>
      </c>
      <c r="BH66" s="3">
        <v>0</v>
      </c>
      <c r="BI66" s="3">
        <v>2628</v>
      </c>
      <c r="BJ66" s="3">
        <v>7990</v>
      </c>
      <c r="BK66" s="3">
        <v>0</v>
      </c>
      <c r="BL66" s="3">
        <v>7990</v>
      </c>
      <c r="BM66" s="2">
        <f t="shared" ca="1" si="1"/>
        <v>2</v>
      </c>
      <c r="BN66" s="3">
        <v>2000000</v>
      </c>
      <c r="BO66" s="3">
        <v>500000</v>
      </c>
      <c r="BP66" s="3">
        <v>50000</v>
      </c>
      <c r="BQ66" s="3">
        <v>500000</v>
      </c>
      <c r="BR66" s="3">
        <v>1000000</v>
      </c>
      <c r="BS66">
        <v>50000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 t="s">
        <v>2942</v>
      </c>
      <c r="CA66" t="s">
        <v>2006</v>
      </c>
      <c r="CB66" t="s">
        <v>2006</v>
      </c>
    </row>
    <row r="67" spans="1:80" x14ac:dyDescent="0.25">
      <c r="A67">
        <v>65</v>
      </c>
      <c r="B67" t="s">
        <v>2084</v>
      </c>
      <c r="C67" s="1">
        <v>44923</v>
      </c>
      <c r="D67" s="2">
        <v>36</v>
      </c>
      <c r="E67" t="s">
        <v>4</v>
      </c>
      <c r="F67" t="s">
        <v>1311</v>
      </c>
      <c r="G67">
        <v>0</v>
      </c>
      <c r="H67" s="3">
        <v>3112250</v>
      </c>
      <c r="I67" s="3">
        <v>400000</v>
      </c>
      <c r="J67" s="3">
        <v>0</v>
      </c>
      <c r="K67" s="3">
        <v>0</v>
      </c>
      <c r="L67" s="3" t="s">
        <v>1191</v>
      </c>
      <c r="M67">
        <v>1578270</v>
      </c>
      <c r="N67" t="s">
        <v>225</v>
      </c>
      <c r="P67" t="s">
        <v>226</v>
      </c>
      <c r="Q67" t="s">
        <v>15</v>
      </c>
      <c r="R67">
        <v>32217</v>
      </c>
      <c r="S67" t="s">
        <v>58</v>
      </c>
      <c r="T67" t="s">
        <v>965</v>
      </c>
      <c r="U67">
        <v>0</v>
      </c>
      <c r="V67" t="s">
        <v>1029</v>
      </c>
      <c r="W67" t="s">
        <v>1194</v>
      </c>
      <c r="X67" t="s">
        <v>973</v>
      </c>
      <c r="Y67">
        <v>10000</v>
      </c>
      <c r="Z67" s="2">
        <v>5.0000160659999997</v>
      </c>
      <c r="AA67" s="2" t="s">
        <v>1238</v>
      </c>
      <c r="AB67" t="s">
        <v>1238</v>
      </c>
      <c r="AC67">
        <v>638</v>
      </c>
      <c r="AD67" t="s">
        <v>1279</v>
      </c>
      <c r="AE67">
        <v>1</v>
      </c>
      <c r="AF67" t="s">
        <v>1290</v>
      </c>
      <c r="AG67">
        <v>0</v>
      </c>
      <c r="AH67">
        <v>0</v>
      </c>
      <c r="AI67">
        <v>0</v>
      </c>
      <c r="AJ67">
        <v>1962</v>
      </c>
      <c r="AK67" t="s">
        <v>1194</v>
      </c>
      <c r="AL67">
        <v>2003</v>
      </c>
      <c r="AM67" s="4" t="s">
        <v>1238</v>
      </c>
      <c r="AN67">
        <v>0</v>
      </c>
      <c r="AO67" t="s">
        <v>1316</v>
      </c>
      <c r="AP67">
        <f t="shared" si="0"/>
        <v>0</v>
      </c>
      <c r="AQ67">
        <v>1</v>
      </c>
      <c r="AR67" t="s">
        <v>1992</v>
      </c>
      <c r="AS67" t="s">
        <v>1995</v>
      </c>
      <c r="AT67" t="s">
        <v>1995</v>
      </c>
      <c r="AU67" t="s">
        <v>1995</v>
      </c>
      <c r="AV67" t="s">
        <v>1996</v>
      </c>
      <c r="AW67" t="s">
        <v>1996</v>
      </c>
      <c r="AX67" t="s">
        <v>2008</v>
      </c>
      <c r="AY67" t="s">
        <v>1995</v>
      </c>
      <c r="AZ67">
        <v>6567</v>
      </c>
      <c r="BA67" t="s">
        <v>1194</v>
      </c>
      <c r="BB67" t="s">
        <v>1194</v>
      </c>
      <c r="BC67" s="3">
        <v>6825.2281999999996</v>
      </c>
      <c r="BD67" s="3">
        <v>4787.88</v>
      </c>
      <c r="BE67" s="3">
        <v>0</v>
      </c>
      <c r="BF67" s="3">
        <v>0</v>
      </c>
      <c r="BG67" s="3">
        <v>200</v>
      </c>
      <c r="BH67" s="3">
        <v>0</v>
      </c>
      <c r="BI67" s="3">
        <v>12442</v>
      </c>
      <c r="BJ67" s="3">
        <v>24255</v>
      </c>
      <c r="BK67" s="3">
        <v>1186.6600000000001</v>
      </c>
      <c r="BL67" s="3">
        <v>25441.66</v>
      </c>
      <c r="BM67" s="2">
        <f t="shared" ca="1" si="1"/>
        <v>2</v>
      </c>
      <c r="BN67" s="3" t="s">
        <v>2916</v>
      </c>
      <c r="BO67" s="3">
        <v>25000</v>
      </c>
      <c r="BP67" s="3">
        <v>50000</v>
      </c>
      <c r="BQ67" s="3">
        <v>2000000</v>
      </c>
      <c r="BR67" s="3">
        <v>50000</v>
      </c>
      <c r="BS67">
        <v>500000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 t="s">
        <v>2943</v>
      </c>
      <c r="CA67" t="s">
        <v>2006</v>
      </c>
      <c r="CB67" t="s">
        <v>2941</v>
      </c>
    </row>
    <row r="68" spans="1:80" x14ac:dyDescent="0.25">
      <c r="A68">
        <v>66</v>
      </c>
      <c r="B68" t="s">
        <v>2085</v>
      </c>
      <c r="C68" s="1">
        <v>44958</v>
      </c>
      <c r="D68" s="2">
        <v>6</v>
      </c>
      <c r="E68" t="s">
        <v>4</v>
      </c>
      <c r="F68" t="s">
        <v>1310</v>
      </c>
      <c r="G68">
        <v>0</v>
      </c>
      <c r="H68" s="3">
        <v>5200000</v>
      </c>
      <c r="I68" s="3">
        <v>1800000</v>
      </c>
      <c r="J68" s="3">
        <v>0</v>
      </c>
      <c r="K68" s="3">
        <v>0</v>
      </c>
      <c r="L68" s="3" t="s">
        <v>1191</v>
      </c>
      <c r="M68">
        <v>1986841</v>
      </c>
      <c r="N68" t="s">
        <v>227</v>
      </c>
      <c r="P68" t="s">
        <v>25</v>
      </c>
      <c r="Q68" t="s">
        <v>13</v>
      </c>
      <c r="R68">
        <v>2554</v>
      </c>
      <c r="S68" t="s">
        <v>25</v>
      </c>
      <c r="T68" t="s">
        <v>962</v>
      </c>
      <c r="U68">
        <v>0</v>
      </c>
      <c r="V68" t="s">
        <v>983</v>
      </c>
      <c r="W68" t="s">
        <v>1194</v>
      </c>
      <c r="X68" t="s">
        <v>973</v>
      </c>
      <c r="Y68">
        <v>25000</v>
      </c>
      <c r="Z68" s="2">
        <v>2</v>
      </c>
      <c r="AA68" s="2" t="s">
        <v>1238</v>
      </c>
      <c r="AB68" t="s">
        <v>1238</v>
      </c>
      <c r="AC68">
        <v>670</v>
      </c>
      <c r="AD68" t="s">
        <v>1279</v>
      </c>
      <c r="AE68">
        <v>3</v>
      </c>
      <c r="AF68" t="s">
        <v>1290</v>
      </c>
      <c r="AG68">
        <v>0</v>
      </c>
      <c r="AH68">
        <v>0</v>
      </c>
      <c r="AI68">
        <v>0</v>
      </c>
      <c r="AJ68">
        <v>2022</v>
      </c>
      <c r="AK68" t="s">
        <v>1194</v>
      </c>
      <c r="AL68" t="s">
        <v>1194</v>
      </c>
      <c r="AM68" s="4" t="s">
        <v>1304</v>
      </c>
      <c r="AN68">
        <v>1</v>
      </c>
      <c r="AO68" t="s">
        <v>1316</v>
      </c>
      <c r="AP68">
        <f t="shared" ref="AP68:AP131" si="2">AI68</f>
        <v>0</v>
      </c>
      <c r="AQ68">
        <v>1</v>
      </c>
      <c r="AR68" t="s">
        <v>1992</v>
      </c>
      <c r="AS68" t="s">
        <v>1995</v>
      </c>
      <c r="AT68" t="s">
        <v>1996</v>
      </c>
      <c r="AU68" t="s">
        <v>1996</v>
      </c>
      <c r="AV68" t="s">
        <v>1995</v>
      </c>
      <c r="AW68" t="s">
        <v>1996</v>
      </c>
      <c r="AX68" t="s">
        <v>2006</v>
      </c>
      <c r="AY68" t="s">
        <v>1996</v>
      </c>
      <c r="AZ68">
        <v>7000</v>
      </c>
      <c r="BA68" t="s">
        <v>1194</v>
      </c>
      <c r="BB68" t="s">
        <v>1194</v>
      </c>
      <c r="BC68" s="3">
        <v>10807.9686</v>
      </c>
      <c r="BD68" s="3">
        <v>9668.86</v>
      </c>
      <c r="BE68" s="3">
        <v>0</v>
      </c>
      <c r="BF68" s="3">
        <v>0</v>
      </c>
      <c r="BG68" s="3">
        <v>150</v>
      </c>
      <c r="BH68" s="3">
        <v>0</v>
      </c>
      <c r="BI68" s="3">
        <v>14370</v>
      </c>
      <c r="BJ68" s="3">
        <v>34997</v>
      </c>
      <c r="BK68" s="3">
        <v>0</v>
      </c>
      <c r="BL68" s="3">
        <v>34997</v>
      </c>
      <c r="BM68" s="2">
        <f t="shared" ref="BM68:BM131" ca="1" si="3">IF(ROUND((6*RAND()),0)=0,1,(ROUND((6*RAND()),0)))</f>
        <v>1</v>
      </c>
      <c r="BN68" s="3">
        <v>500000</v>
      </c>
      <c r="BO68" s="3">
        <v>500000</v>
      </c>
      <c r="BP68" s="3">
        <v>50000</v>
      </c>
      <c r="BQ68" s="3">
        <v>1000000</v>
      </c>
      <c r="BR68" s="3">
        <v>500000</v>
      </c>
      <c r="BS68">
        <v>50000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 t="s">
        <v>2942</v>
      </c>
      <c r="CA68" t="s">
        <v>2006</v>
      </c>
      <c r="CB68" t="s">
        <v>2006</v>
      </c>
    </row>
    <row r="69" spans="1:80" x14ac:dyDescent="0.25">
      <c r="A69">
        <v>67</v>
      </c>
      <c r="B69" t="s">
        <v>2086</v>
      </c>
      <c r="C69" s="1">
        <v>44673</v>
      </c>
      <c r="D69" s="2">
        <v>12</v>
      </c>
      <c r="E69" t="s">
        <v>4</v>
      </c>
      <c r="F69" t="s">
        <v>1311</v>
      </c>
      <c r="G69">
        <v>1</v>
      </c>
      <c r="H69" s="3">
        <v>3000000</v>
      </c>
      <c r="I69" s="3">
        <v>0</v>
      </c>
      <c r="J69" s="3">
        <v>0</v>
      </c>
      <c r="K69" s="3">
        <v>0</v>
      </c>
      <c r="L69" s="3" t="s">
        <v>1191</v>
      </c>
      <c r="M69">
        <v>1876573</v>
      </c>
      <c r="N69" t="s">
        <v>228</v>
      </c>
      <c r="P69" t="s">
        <v>229</v>
      </c>
      <c r="Q69" t="s">
        <v>15</v>
      </c>
      <c r="R69">
        <v>33410</v>
      </c>
      <c r="S69" t="s">
        <v>27</v>
      </c>
      <c r="T69" t="s">
        <v>972</v>
      </c>
      <c r="U69">
        <v>0</v>
      </c>
      <c r="V69" t="s">
        <v>1030</v>
      </c>
      <c r="W69" t="s">
        <v>1194</v>
      </c>
      <c r="X69" t="s">
        <v>973</v>
      </c>
      <c r="Y69">
        <v>25000</v>
      </c>
      <c r="Z69" s="2">
        <v>5</v>
      </c>
      <c r="AA69" s="2" t="s">
        <v>1238</v>
      </c>
      <c r="AB69" t="s">
        <v>1238</v>
      </c>
      <c r="AC69">
        <v>668</v>
      </c>
      <c r="AD69" t="s">
        <v>1280</v>
      </c>
      <c r="AE69">
        <v>2</v>
      </c>
      <c r="AF69" t="s">
        <v>1290</v>
      </c>
      <c r="AG69">
        <v>0</v>
      </c>
      <c r="AH69">
        <v>0</v>
      </c>
      <c r="AI69">
        <v>0</v>
      </c>
      <c r="AJ69">
        <v>1989</v>
      </c>
      <c r="AK69" t="s">
        <v>1194</v>
      </c>
      <c r="AL69">
        <v>2022</v>
      </c>
      <c r="AM69" s="4" t="s">
        <v>1238</v>
      </c>
      <c r="AN69">
        <v>1</v>
      </c>
      <c r="AO69" t="s">
        <v>1317</v>
      </c>
      <c r="AP69">
        <f t="shared" si="2"/>
        <v>0</v>
      </c>
      <c r="AQ69">
        <v>1</v>
      </c>
      <c r="AR69" t="s">
        <v>1992</v>
      </c>
      <c r="AS69" t="s">
        <v>1996</v>
      </c>
      <c r="AT69" t="s">
        <v>1995</v>
      </c>
      <c r="AU69" t="s">
        <v>1996</v>
      </c>
      <c r="AV69" t="s">
        <v>1996</v>
      </c>
      <c r="AW69" t="s">
        <v>1995</v>
      </c>
      <c r="AX69" t="s">
        <v>2007</v>
      </c>
      <c r="AY69" t="s">
        <v>1995</v>
      </c>
      <c r="AZ69">
        <v>5135</v>
      </c>
      <c r="BA69" t="s">
        <v>1194</v>
      </c>
      <c r="BB69" t="s">
        <v>1194</v>
      </c>
      <c r="BC69" s="3">
        <v>7538.3321999999998</v>
      </c>
      <c r="BD69" s="3">
        <v>20091.36</v>
      </c>
      <c r="BE69" s="3">
        <v>0</v>
      </c>
      <c r="BF69" s="3">
        <v>0</v>
      </c>
      <c r="BG69" s="3">
        <v>0</v>
      </c>
      <c r="BH69" s="3">
        <v>0</v>
      </c>
      <c r="BI69" s="3">
        <v>12570</v>
      </c>
      <c r="BJ69" s="3">
        <v>40200</v>
      </c>
      <c r="BK69" s="3">
        <v>150</v>
      </c>
      <c r="BL69" s="3">
        <v>40350</v>
      </c>
      <c r="BM69" s="2">
        <f t="shared" ca="1" si="3"/>
        <v>0</v>
      </c>
      <c r="BN69" s="3">
        <v>250000</v>
      </c>
      <c r="BO69" s="3">
        <v>250000</v>
      </c>
      <c r="BP69" s="3">
        <v>200000</v>
      </c>
      <c r="BQ69" s="3">
        <v>100000</v>
      </c>
      <c r="BR69" s="3">
        <v>250000</v>
      </c>
      <c r="BS69">
        <v>500000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 t="s">
        <v>2940</v>
      </c>
      <c r="CA69" t="s">
        <v>2939</v>
      </c>
      <c r="CB69" t="s">
        <v>2941</v>
      </c>
    </row>
    <row r="70" spans="1:80" x14ac:dyDescent="0.25">
      <c r="A70">
        <v>68</v>
      </c>
      <c r="B70" t="s">
        <v>2087</v>
      </c>
      <c r="C70" s="1">
        <v>44918</v>
      </c>
      <c r="D70" s="2">
        <v>36</v>
      </c>
      <c r="E70" t="s">
        <v>4</v>
      </c>
      <c r="F70" t="s">
        <v>1311</v>
      </c>
      <c r="G70">
        <v>0</v>
      </c>
      <c r="H70" s="3">
        <v>2250000</v>
      </c>
      <c r="I70" s="3">
        <v>0</v>
      </c>
      <c r="J70" s="3">
        <v>0</v>
      </c>
      <c r="K70" s="3">
        <v>0</v>
      </c>
      <c r="L70" s="3" t="s">
        <v>1191</v>
      </c>
      <c r="M70">
        <v>1973171</v>
      </c>
      <c r="N70" t="s">
        <v>230</v>
      </c>
      <c r="P70" t="s">
        <v>180</v>
      </c>
      <c r="Q70" t="s">
        <v>21</v>
      </c>
      <c r="R70">
        <v>28211</v>
      </c>
      <c r="S70" t="s">
        <v>45</v>
      </c>
      <c r="T70" t="s">
        <v>973</v>
      </c>
      <c r="U70">
        <v>0</v>
      </c>
      <c r="V70" t="s">
        <v>1008</v>
      </c>
      <c r="W70" t="s">
        <v>1194</v>
      </c>
      <c r="X70" t="s">
        <v>973</v>
      </c>
      <c r="Y70">
        <v>10000</v>
      </c>
      <c r="Z70" s="2" t="s">
        <v>1194</v>
      </c>
      <c r="AA70" s="2" t="s">
        <v>1238</v>
      </c>
      <c r="AB70" t="s">
        <v>1238</v>
      </c>
      <c r="AC70">
        <v>840</v>
      </c>
      <c r="AD70" t="s">
        <v>1279</v>
      </c>
      <c r="AE70">
        <v>1</v>
      </c>
      <c r="AF70" t="s">
        <v>1290</v>
      </c>
      <c r="AG70">
        <v>0</v>
      </c>
      <c r="AH70">
        <v>0</v>
      </c>
      <c r="AI70">
        <v>0</v>
      </c>
      <c r="AJ70">
        <v>1978</v>
      </c>
      <c r="AK70" t="s">
        <v>1194</v>
      </c>
      <c r="AL70">
        <v>2010</v>
      </c>
      <c r="AM70" s="4" t="s">
        <v>1238</v>
      </c>
      <c r="AN70">
        <v>1</v>
      </c>
      <c r="AO70" t="s">
        <v>1316</v>
      </c>
      <c r="AP70">
        <f t="shared" si="2"/>
        <v>0</v>
      </c>
      <c r="AQ70">
        <v>1</v>
      </c>
      <c r="AR70" t="s">
        <v>1992</v>
      </c>
      <c r="AS70" t="s">
        <v>1996</v>
      </c>
      <c r="AT70" t="s">
        <v>1996</v>
      </c>
      <c r="AU70" t="s">
        <v>1995</v>
      </c>
      <c r="AV70" t="s">
        <v>1995</v>
      </c>
      <c r="AW70" t="s">
        <v>1996</v>
      </c>
      <c r="AX70" t="s">
        <v>2006</v>
      </c>
      <c r="AY70" t="s">
        <v>1996</v>
      </c>
      <c r="AZ70">
        <v>4292</v>
      </c>
      <c r="BA70" t="s">
        <v>1194</v>
      </c>
      <c r="BB70" t="s">
        <v>1194</v>
      </c>
      <c r="BC70" s="3">
        <v>5159.1709000000001</v>
      </c>
      <c r="BD70" s="3">
        <v>2890.13</v>
      </c>
      <c r="BE70" s="3">
        <v>0</v>
      </c>
      <c r="BF70" s="3">
        <v>0</v>
      </c>
      <c r="BG70" s="3">
        <v>150</v>
      </c>
      <c r="BH70" s="3">
        <v>0</v>
      </c>
      <c r="BI70" s="3">
        <v>2716</v>
      </c>
      <c r="BJ70" s="3">
        <v>10915</v>
      </c>
      <c r="BK70" s="3">
        <v>0</v>
      </c>
      <c r="BL70" s="3">
        <v>10915</v>
      </c>
      <c r="BM70" s="2">
        <f t="shared" ca="1" si="3"/>
        <v>1</v>
      </c>
      <c r="BN70" s="3">
        <v>250000</v>
      </c>
      <c r="BO70" s="3">
        <v>100000</v>
      </c>
      <c r="BP70" s="3">
        <v>100000</v>
      </c>
      <c r="BQ70" s="3">
        <v>500000</v>
      </c>
      <c r="BR70" s="3">
        <v>100000</v>
      </c>
      <c r="BS70" t="s">
        <v>2916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 t="s">
        <v>2942</v>
      </c>
      <c r="CA70" t="s">
        <v>2006</v>
      </c>
      <c r="CB70" t="s">
        <v>2006</v>
      </c>
    </row>
    <row r="71" spans="1:80" x14ac:dyDescent="0.25">
      <c r="A71">
        <v>69</v>
      </c>
      <c r="B71" t="s">
        <v>2088</v>
      </c>
      <c r="C71" s="1">
        <v>44931</v>
      </c>
      <c r="D71" s="2">
        <v>3</v>
      </c>
      <c r="E71" t="s">
        <v>4</v>
      </c>
      <c r="F71" t="s">
        <v>1310</v>
      </c>
      <c r="G71">
        <v>0</v>
      </c>
      <c r="H71" s="3">
        <v>0</v>
      </c>
      <c r="I71" s="3">
        <v>0</v>
      </c>
      <c r="J71" s="3">
        <v>2250000</v>
      </c>
      <c r="K71" s="3">
        <v>0</v>
      </c>
      <c r="L71" s="3" t="s">
        <v>1192</v>
      </c>
      <c r="M71">
        <v>2003106</v>
      </c>
      <c r="N71" t="s">
        <v>231</v>
      </c>
      <c r="O71" t="s">
        <v>232</v>
      </c>
      <c r="P71" t="s">
        <v>233</v>
      </c>
      <c r="Q71" t="s">
        <v>13</v>
      </c>
      <c r="R71">
        <v>2210</v>
      </c>
      <c r="S71" t="s">
        <v>26</v>
      </c>
      <c r="T71" t="s">
        <v>962</v>
      </c>
      <c r="U71">
        <v>0</v>
      </c>
      <c r="V71" t="s">
        <v>1031</v>
      </c>
      <c r="W71" t="s">
        <v>1194</v>
      </c>
      <c r="X71" t="s">
        <v>973</v>
      </c>
      <c r="Y71">
        <v>10000</v>
      </c>
      <c r="Z71" s="2">
        <v>2</v>
      </c>
      <c r="AA71" s="2" t="s">
        <v>1238</v>
      </c>
      <c r="AB71" t="s">
        <v>1238</v>
      </c>
      <c r="AC71">
        <v>711</v>
      </c>
      <c r="AD71" t="s">
        <v>1281</v>
      </c>
      <c r="AE71">
        <v>1</v>
      </c>
      <c r="AF71" t="s">
        <v>1290</v>
      </c>
      <c r="AG71">
        <v>0</v>
      </c>
      <c r="AH71">
        <v>0</v>
      </c>
      <c r="AI71">
        <v>0</v>
      </c>
      <c r="AJ71">
        <v>2018</v>
      </c>
      <c r="AK71" t="s">
        <v>1194</v>
      </c>
      <c r="AL71" t="s">
        <v>1194</v>
      </c>
      <c r="AM71" s="4" t="s">
        <v>1304</v>
      </c>
      <c r="AN71">
        <v>1</v>
      </c>
      <c r="AO71" t="s">
        <v>1316</v>
      </c>
      <c r="AP71">
        <f t="shared" si="2"/>
        <v>0</v>
      </c>
      <c r="AQ71">
        <v>0</v>
      </c>
      <c r="AR71" t="s">
        <v>1993</v>
      </c>
      <c r="AS71" t="s">
        <v>1996</v>
      </c>
      <c r="AT71" t="s">
        <v>1996</v>
      </c>
      <c r="AU71" t="s">
        <v>1996</v>
      </c>
      <c r="AV71" t="s">
        <v>1995</v>
      </c>
      <c r="AW71" t="s">
        <v>1995</v>
      </c>
      <c r="AX71" t="s">
        <v>2003</v>
      </c>
      <c r="AY71" t="s">
        <v>1996</v>
      </c>
      <c r="AZ71">
        <v>3619</v>
      </c>
      <c r="BA71" t="s">
        <v>1194</v>
      </c>
      <c r="BB71" t="s">
        <v>1194</v>
      </c>
      <c r="BC71" s="3">
        <v>6766.9825000000001</v>
      </c>
      <c r="BD71" s="3">
        <v>1285.4100000000001</v>
      </c>
      <c r="BE71" s="3">
        <v>0</v>
      </c>
      <c r="BF71" s="3">
        <v>0</v>
      </c>
      <c r="BG71" s="3">
        <v>150</v>
      </c>
      <c r="BH71" s="3">
        <v>0</v>
      </c>
      <c r="BI71" s="3">
        <v>9910.11</v>
      </c>
      <c r="BJ71" s="3">
        <v>18113</v>
      </c>
      <c r="BK71" s="3">
        <v>0</v>
      </c>
      <c r="BL71" s="3">
        <v>18113</v>
      </c>
      <c r="BM71" s="2">
        <f t="shared" ca="1" si="3"/>
        <v>3</v>
      </c>
      <c r="BN71" s="3">
        <v>100000</v>
      </c>
      <c r="BO71" s="3">
        <v>25000</v>
      </c>
      <c r="BP71" s="3">
        <v>50000</v>
      </c>
      <c r="BQ71" s="3">
        <v>1000000</v>
      </c>
      <c r="BR71" s="3">
        <v>250000</v>
      </c>
      <c r="BS71">
        <v>50000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 t="s">
        <v>2940</v>
      </c>
      <c r="CA71" t="s">
        <v>2006</v>
      </c>
      <c r="CB71" t="s">
        <v>2946</v>
      </c>
    </row>
    <row r="72" spans="1:80" x14ac:dyDescent="0.25">
      <c r="A72">
        <v>70</v>
      </c>
      <c r="B72" t="s">
        <v>2089</v>
      </c>
      <c r="C72" s="1">
        <v>44858</v>
      </c>
      <c r="D72" s="2">
        <v>30</v>
      </c>
      <c r="E72" t="s">
        <v>4</v>
      </c>
      <c r="F72" t="s">
        <v>1311</v>
      </c>
      <c r="G72">
        <v>1</v>
      </c>
      <c r="H72" s="3">
        <v>2400000</v>
      </c>
      <c r="I72" s="3">
        <v>0</v>
      </c>
      <c r="J72" s="3">
        <v>400000</v>
      </c>
      <c r="K72" s="3">
        <v>0</v>
      </c>
      <c r="L72" s="3" t="s">
        <v>1191</v>
      </c>
      <c r="M72">
        <v>816726</v>
      </c>
      <c r="N72" t="s">
        <v>234</v>
      </c>
      <c r="P72" t="s">
        <v>202</v>
      </c>
      <c r="Q72" t="s">
        <v>16</v>
      </c>
      <c r="R72">
        <v>7719</v>
      </c>
      <c r="S72" t="s">
        <v>52</v>
      </c>
      <c r="T72" t="s">
        <v>970</v>
      </c>
      <c r="U72">
        <v>0</v>
      </c>
      <c r="V72" t="s">
        <v>1032</v>
      </c>
      <c r="W72" t="s">
        <v>1194</v>
      </c>
      <c r="X72" t="s">
        <v>973</v>
      </c>
      <c r="Y72">
        <v>10000</v>
      </c>
      <c r="Z72" s="2">
        <v>2</v>
      </c>
      <c r="AA72" s="2" t="s">
        <v>1238</v>
      </c>
      <c r="AB72" t="s">
        <v>1238</v>
      </c>
      <c r="AC72">
        <v>859</v>
      </c>
      <c r="AD72" t="s">
        <v>1279</v>
      </c>
      <c r="AE72">
        <v>4</v>
      </c>
      <c r="AF72" t="s">
        <v>1290</v>
      </c>
      <c r="AG72">
        <v>0</v>
      </c>
      <c r="AH72">
        <v>0</v>
      </c>
      <c r="AI72">
        <v>0</v>
      </c>
      <c r="AJ72">
        <v>2000</v>
      </c>
      <c r="AK72" t="s">
        <v>1194</v>
      </c>
      <c r="AL72" t="s">
        <v>1194</v>
      </c>
      <c r="AM72" s="4" t="s">
        <v>1238</v>
      </c>
      <c r="AN72">
        <v>0</v>
      </c>
      <c r="AO72" t="s">
        <v>1315</v>
      </c>
      <c r="AP72">
        <f t="shared" si="2"/>
        <v>0</v>
      </c>
      <c r="AQ72">
        <v>0</v>
      </c>
      <c r="AR72" t="s">
        <v>1993</v>
      </c>
      <c r="AS72" t="s">
        <v>1995</v>
      </c>
      <c r="AT72" t="s">
        <v>1995</v>
      </c>
      <c r="AU72" t="s">
        <v>1995</v>
      </c>
      <c r="AV72" t="s">
        <v>1996</v>
      </c>
      <c r="AW72" t="s">
        <v>1996</v>
      </c>
      <c r="AX72" t="s">
        <v>2006</v>
      </c>
      <c r="AY72" t="s">
        <v>1996</v>
      </c>
      <c r="AZ72">
        <v>5082</v>
      </c>
      <c r="BA72" t="s">
        <v>1194</v>
      </c>
      <c r="BB72" t="s">
        <v>1194</v>
      </c>
      <c r="BC72" s="3">
        <v>5344.1289999999999</v>
      </c>
      <c r="BD72" s="3">
        <v>2377.1999999999998</v>
      </c>
      <c r="BE72" s="3">
        <v>0</v>
      </c>
      <c r="BF72" s="3">
        <v>0</v>
      </c>
      <c r="BG72" s="3">
        <v>150</v>
      </c>
      <c r="BH72" s="3">
        <v>0</v>
      </c>
      <c r="BI72" s="3">
        <v>7249</v>
      </c>
      <c r="BJ72" s="3">
        <v>15120</v>
      </c>
      <c r="BK72" s="3">
        <v>0</v>
      </c>
      <c r="BL72" s="3">
        <v>15120</v>
      </c>
      <c r="BM72" s="2">
        <f t="shared" ca="1" si="3"/>
        <v>1</v>
      </c>
      <c r="BN72" s="3">
        <v>100000</v>
      </c>
      <c r="BO72" s="3">
        <v>25000</v>
      </c>
      <c r="BP72" s="3">
        <v>100000</v>
      </c>
      <c r="BQ72" s="3">
        <v>2000000</v>
      </c>
      <c r="BR72" s="3">
        <v>250000</v>
      </c>
      <c r="BS72">
        <v>500000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 t="s">
        <v>2942</v>
      </c>
      <c r="CA72" t="s">
        <v>2006</v>
      </c>
      <c r="CB72" t="s">
        <v>2006</v>
      </c>
    </row>
    <row r="73" spans="1:80" x14ac:dyDescent="0.25">
      <c r="A73">
        <v>71</v>
      </c>
      <c r="B73" t="s">
        <v>2090</v>
      </c>
      <c r="C73" s="1">
        <v>44984</v>
      </c>
      <c r="D73" s="2">
        <v>6</v>
      </c>
      <c r="E73" t="s">
        <v>4</v>
      </c>
      <c r="F73" t="s">
        <v>1310</v>
      </c>
      <c r="G73">
        <v>0</v>
      </c>
      <c r="H73" s="3">
        <v>3375000</v>
      </c>
      <c r="I73" s="3">
        <v>0</v>
      </c>
      <c r="J73" s="3">
        <v>0</v>
      </c>
      <c r="K73" s="3">
        <v>0</v>
      </c>
      <c r="L73" s="3" t="s">
        <v>1191</v>
      </c>
      <c r="M73">
        <v>1472441</v>
      </c>
      <c r="N73" t="s">
        <v>235</v>
      </c>
      <c r="P73" t="s">
        <v>236</v>
      </c>
      <c r="Q73" t="s">
        <v>18</v>
      </c>
      <c r="R73">
        <v>78373</v>
      </c>
      <c r="S73" t="s">
        <v>59</v>
      </c>
      <c r="T73" t="s">
        <v>967</v>
      </c>
      <c r="U73">
        <v>1</v>
      </c>
      <c r="V73" t="s">
        <v>1033</v>
      </c>
      <c r="W73" t="s">
        <v>1195</v>
      </c>
      <c r="X73" t="s">
        <v>1309</v>
      </c>
      <c r="Y73">
        <v>100000</v>
      </c>
      <c r="Z73" s="2">
        <v>5</v>
      </c>
      <c r="AA73" s="2">
        <v>0</v>
      </c>
      <c r="AB73" t="s">
        <v>1238</v>
      </c>
      <c r="AC73">
        <v>620</v>
      </c>
      <c r="AD73" t="s">
        <v>1282</v>
      </c>
      <c r="AE73">
        <v>4</v>
      </c>
      <c r="AF73" t="s">
        <v>1291</v>
      </c>
      <c r="AG73">
        <v>0</v>
      </c>
      <c r="AH73">
        <v>0</v>
      </c>
      <c r="AI73">
        <v>0</v>
      </c>
      <c r="AJ73">
        <v>2022</v>
      </c>
      <c r="AK73" t="s">
        <v>1194</v>
      </c>
      <c r="AL73" t="s">
        <v>1194</v>
      </c>
      <c r="AM73" s="4" t="s">
        <v>1304</v>
      </c>
      <c r="AN73">
        <v>0</v>
      </c>
      <c r="AO73" t="s">
        <v>1315</v>
      </c>
      <c r="AP73">
        <f t="shared" si="2"/>
        <v>0</v>
      </c>
      <c r="AQ73">
        <v>0</v>
      </c>
      <c r="AR73" t="s">
        <v>1993</v>
      </c>
      <c r="AS73" t="s">
        <v>1996</v>
      </c>
      <c r="AT73" t="s">
        <v>1996</v>
      </c>
      <c r="AU73" t="s">
        <v>1995</v>
      </c>
      <c r="AV73" t="s">
        <v>1996</v>
      </c>
      <c r="AW73" t="s">
        <v>1996</v>
      </c>
      <c r="AX73" t="s">
        <v>2007</v>
      </c>
      <c r="AY73" t="s">
        <v>1995</v>
      </c>
      <c r="AZ73">
        <v>6785</v>
      </c>
      <c r="BA73" t="s">
        <v>1194</v>
      </c>
      <c r="BB73" t="s">
        <v>1194</v>
      </c>
      <c r="BC73" s="3">
        <v>4863.4732999999997</v>
      </c>
      <c r="BD73" s="3">
        <v>20856.93</v>
      </c>
      <c r="BE73" s="3">
        <v>0</v>
      </c>
      <c r="BF73" s="3">
        <v>0</v>
      </c>
      <c r="BG73" s="3">
        <v>150</v>
      </c>
      <c r="BH73" s="3">
        <v>0</v>
      </c>
      <c r="BI73" s="3">
        <v>33199</v>
      </c>
      <c r="BJ73" s="3">
        <v>59069</v>
      </c>
      <c r="BK73" s="3">
        <v>200</v>
      </c>
      <c r="BL73" s="3">
        <v>59269</v>
      </c>
      <c r="BM73" s="2">
        <f t="shared" ca="1" si="3"/>
        <v>1</v>
      </c>
      <c r="BN73" s="3">
        <v>50000</v>
      </c>
      <c r="BO73" s="3">
        <v>100000</v>
      </c>
      <c r="BP73" s="3">
        <v>200000</v>
      </c>
      <c r="BQ73" s="3">
        <v>50000</v>
      </c>
      <c r="BR73" s="3">
        <v>500000</v>
      </c>
      <c r="BS73">
        <v>50000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 t="s">
        <v>2943</v>
      </c>
      <c r="CA73" t="s">
        <v>2939</v>
      </c>
      <c r="CB73" t="s">
        <v>2945</v>
      </c>
    </row>
    <row r="74" spans="1:80" x14ac:dyDescent="0.25">
      <c r="A74">
        <v>72</v>
      </c>
      <c r="B74" t="s">
        <v>2091</v>
      </c>
      <c r="C74" s="1">
        <v>44840</v>
      </c>
      <c r="D74" s="2">
        <v>30</v>
      </c>
      <c r="E74" t="s">
        <v>4</v>
      </c>
      <c r="F74" t="s">
        <v>1311</v>
      </c>
      <c r="G74">
        <v>1</v>
      </c>
      <c r="H74" s="3">
        <v>6500000</v>
      </c>
      <c r="I74" s="3">
        <v>600000</v>
      </c>
      <c r="J74" s="3">
        <v>0</v>
      </c>
      <c r="K74" s="3">
        <v>0</v>
      </c>
      <c r="L74" s="3" t="s">
        <v>1191</v>
      </c>
      <c r="M74">
        <v>136427</v>
      </c>
      <c r="N74" t="s">
        <v>237</v>
      </c>
      <c r="P74" t="s">
        <v>111</v>
      </c>
      <c r="Q74" t="s">
        <v>14</v>
      </c>
      <c r="R74">
        <v>11937</v>
      </c>
      <c r="S74" t="s">
        <v>26</v>
      </c>
      <c r="T74" t="s">
        <v>963</v>
      </c>
      <c r="U74">
        <v>0</v>
      </c>
      <c r="V74" t="s">
        <v>984</v>
      </c>
      <c r="W74" t="s">
        <v>1194</v>
      </c>
      <c r="X74" t="s">
        <v>973</v>
      </c>
      <c r="Y74">
        <v>50000</v>
      </c>
      <c r="Z74" s="2">
        <v>1</v>
      </c>
      <c r="AA74" s="2" t="s">
        <v>1238</v>
      </c>
      <c r="AB74" t="s">
        <v>1238</v>
      </c>
      <c r="AC74">
        <v>861</v>
      </c>
      <c r="AD74" t="s">
        <v>1279</v>
      </c>
      <c r="AE74">
        <v>3</v>
      </c>
      <c r="AF74" t="s">
        <v>1290</v>
      </c>
      <c r="AG74">
        <v>0</v>
      </c>
      <c r="AH74">
        <v>0</v>
      </c>
      <c r="AI74">
        <v>0</v>
      </c>
      <c r="AJ74">
        <v>2021</v>
      </c>
      <c r="AK74" t="s">
        <v>1194</v>
      </c>
      <c r="AL74" t="s">
        <v>1194</v>
      </c>
      <c r="AM74" s="4" t="s">
        <v>1238</v>
      </c>
      <c r="AN74">
        <v>1</v>
      </c>
      <c r="AO74" t="s">
        <v>1315</v>
      </c>
      <c r="AP74">
        <f t="shared" si="2"/>
        <v>0</v>
      </c>
      <c r="AQ74">
        <v>1</v>
      </c>
      <c r="AR74" t="s">
        <v>1992</v>
      </c>
      <c r="AS74" t="s">
        <v>1995</v>
      </c>
      <c r="AT74" t="s">
        <v>1996</v>
      </c>
      <c r="AU74" t="s">
        <v>1996</v>
      </c>
      <c r="AV74" t="s">
        <v>1995</v>
      </c>
      <c r="AW74" t="s">
        <v>1996</v>
      </c>
      <c r="AX74" t="s">
        <v>2006</v>
      </c>
      <c r="AY74" t="s">
        <v>1996</v>
      </c>
      <c r="AZ74">
        <v>7466</v>
      </c>
      <c r="BA74" t="s">
        <v>1194</v>
      </c>
      <c r="BB74" t="s">
        <v>1194</v>
      </c>
      <c r="BC74" s="3">
        <v>11670.018099999999</v>
      </c>
      <c r="BD74" s="3">
        <v>13254.17</v>
      </c>
      <c r="BE74" s="3">
        <v>0</v>
      </c>
      <c r="BF74" s="3">
        <v>0</v>
      </c>
      <c r="BG74" s="3">
        <v>0</v>
      </c>
      <c r="BH74" s="3">
        <v>0</v>
      </c>
      <c r="BI74" s="3">
        <v>6761</v>
      </c>
      <c r="BJ74" s="3">
        <v>31685</v>
      </c>
      <c r="BK74" s="3">
        <v>300</v>
      </c>
      <c r="BL74" s="3">
        <v>31985</v>
      </c>
      <c r="BM74" s="2">
        <f t="shared" ca="1" si="3"/>
        <v>4</v>
      </c>
      <c r="BN74" s="3">
        <v>250000</v>
      </c>
      <c r="BO74" s="3">
        <v>25000</v>
      </c>
      <c r="BP74" s="3" t="s">
        <v>2922</v>
      </c>
      <c r="BQ74" s="3">
        <v>1000000</v>
      </c>
      <c r="BR74" s="3">
        <v>1000000</v>
      </c>
      <c r="BS74">
        <v>50000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 t="s">
        <v>2942</v>
      </c>
      <c r="CA74" t="s">
        <v>2006</v>
      </c>
      <c r="CB74" t="s">
        <v>2006</v>
      </c>
    </row>
    <row r="75" spans="1:80" x14ac:dyDescent="0.25">
      <c r="A75">
        <v>73</v>
      </c>
      <c r="B75" t="s">
        <v>2092</v>
      </c>
      <c r="C75" s="1">
        <v>44805</v>
      </c>
      <c r="D75" s="2">
        <v>27</v>
      </c>
      <c r="E75" t="s">
        <v>4</v>
      </c>
      <c r="F75" t="s">
        <v>1311</v>
      </c>
      <c r="G75">
        <v>0</v>
      </c>
      <c r="H75" s="3">
        <v>0</v>
      </c>
      <c r="I75" s="3">
        <v>0</v>
      </c>
      <c r="J75" s="3">
        <v>1500000</v>
      </c>
      <c r="K75" s="3">
        <v>0</v>
      </c>
      <c r="L75" s="3" t="s">
        <v>1192</v>
      </c>
      <c r="M75">
        <v>1915222</v>
      </c>
      <c r="N75" t="s">
        <v>238</v>
      </c>
      <c r="O75" t="s">
        <v>239</v>
      </c>
      <c r="P75" t="s">
        <v>176</v>
      </c>
      <c r="Q75" t="s">
        <v>14</v>
      </c>
      <c r="R75">
        <v>10021</v>
      </c>
      <c r="S75" t="s">
        <v>29</v>
      </c>
      <c r="T75" t="s">
        <v>962</v>
      </c>
      <c r="U75">
        <v>0</v>
      </c>
      <c r="V75" t="s">
        <v>1009</v>
      </c>
      <c r="W75" t="s">
        <v>1194</v>
      </c>
      <c r="X75" t="s">
        <v>973</v>
      </c>
      <c r="Y75">
        <v>10000</v>
      </c>
      <c r="Z75" s="2">
        <v>2</v>
      </c>
      <c r="AA75" s="2" t="s">
        <v>1238</v>
      </c>
      <c r="AB75" t="s">
        <v>1238</v>
      </c>
      <c r="AC75">
        <v>662</v>
      </c>
      <c r="AD75" t="s">
        <v>1281</v>
      </c>
      <c r="AE75">
        <v>1</v>
      </c>
      <c r="AF75" t="s">
        <v>1290</v>
      </c>
      <c r="AG75">
        <v>0</v>
      </c>
      <c r="AH75">
        <v>0</v>
      </c>
      <c r="AI75">
        <v>0</v>
      </c>
      <c r="AJ75">
        <v>1950</v>
      </c>
      <c r="AK75">
        <v>2022</v>
      </c>
      <c r="AL75" t="s">
        <v>1194</v>
      </c>
      <c r="AM75" s="4" t="s">
        <v>1238</v>
      </c>
      <c r="AN75">
        <v>1</v>
      </c>
      <c r="AO75" t="s">
        <v>1315</v>
      </c>
      <c r="AP75">
        <f t="shared" si="2"/>
        <v>0</v>
      </c>
      <c r="AQ75">
        <v>0</v>
      </c>
      <c r="AR75" t="s">
        <v>1993</v>
      </c>
      <c r="AS75" t="s">
        <v>1995</v>
      </c>
      <c r="AT75" t="s">
        <v>1995</v>
      </c>
      <c r="AU75" t="s">
        <v>1996</v>
      </c>
      <c r="AV75" t="s">
        <v>1996</v>
      </c>
      <c r="AW75" t="s">
        <v>1995</v>
      </c>
      <c r="AX75" t="s">
        <v>2006</v>
      </c>
      <c r="AY75" t="s">
        <v>1996</v>
      </c>
      <c r="AZ75">
        <v>1745</v>
      </c>
      <c r="BA75" t="s">
        <v>1194</v>
      </c>
      <c r="BB75" t="s">
        <v>1194</v>
      </c>
      <c r="BC75" s="3">
        <v>7807.0373</v>
      </c>
      <c r="BD75" s="3">
        <v>1545.82</v>
      </c>
      <c r="BE75" s="3">
        <v>0</v>
      </c>
      <c r="BF75" s="3">
        <v>0</v>
      </c>
      <c r="BG75" s="3">
        <v>150</v>
      </c>
      <c r="BH75" s="3">
        <v>0</v>
      </c>
      <c r="BI75" s="3">
        <v>-463</v>
      </c>
      <c r="BJ75" s="3">
        <v>9040</v>
      </c>
      <c r="BK75" s="3">
        <v>0</v>
      </c>
      <c r="BL75" s="3">
        <v>9040</v>
      </c>
      <c r="BM75" s="2">
        <f t="shared" ca="1" si="3"/>
        <v>6</v>
      </c>
      <c r="BN75" s="3">
        <v>50000</v>
      </c>
      <c r="BO75" s="3">
        <v>20000</v>
      </c>
      <c r="BP75" s="3">
        <v>50000</v>
      </c>
      <c r="BQ75" s="3">
        <v>500000</v>
      </c>
      <c r="BR75" s="3" t="s">
        <v>2916</v>
      </c>
      <c r="BS75">
        <v>1000000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 t="s">
        <v>2942</v>
      </c>
      <c r="CA75" t="s">
        <v>2006</v>
      </c>
      <c r="CB75" t="s">
        <v>2946</v>
      </c>
    </row>
    <row r="76" spans="1:80" x14ac:dyDescent="0.25">
      <c r="A76">
        <v>74</v>
      </c>
      <c r="B76" t="s">
        <v>2093</v>
      </c>
      <c r="C76" s="1">
        <v>44770</v>
      </c>
      <c r="D76" s="2">
        <v>21</v>
      </c>
      <c r="E76" t="s">
        <v>4</v>
      </c>
      <c r="F76" t="s">
        <v>1311</v>
      </c>
      <c r="G76">
        <v>0</v>
      </c>
      <c r="H76" s="3">
        <v>4000000</v>
      </c>
      <c r="I76" s="3">
        <v>0</v>
      </c>
      <c r="J76" s="3">
        <v>0</v>
      </c>
      <c r="K76" s="3">
        <v>0</v>
      </c>
      <c r="L76" s="3" t="s">
        <v>1191</v>
      </c>
      <c r="M76">
        <v>1459984</v>
      </c>
      <c r="N76" t="s">
        <v>240</v>
      </c>
      <c r="P76" t="s">
        <v>241</v>
      </c>
      <c r="Q76" t="s">
        <v>13</v>
      </c>
      <c r="R76">
        <v>2647</v>
      </c>
      <c r="S76" t="s">
        <v>51</v>
      </c>
      <c r="T76" t="s">
        <v>963</v>
      </c>
      <c r="U76">
        <v>0</v>
      </c>
      <c r="V76" t="s">
        <v>1034</v>
      </c>
      <c r="W76" t="s">
        <v>1194</v>
      </c>
      <c r="X76" t="s">
        <v>973</v>
      </c>
      <c r="Y76">
        <v>10000</v>
      </c>
      <c r="Z76" s="2">
        <v>2</v>
      </c>
      <c r="AA76" s="2" t="s">
        <v>1238</v>
      </c>
      <c r="AB76" t="s">
        <v>1238</v>
      </c>
      <c r="AC76">
        <v>719</v>
      </c>
      <c r="AD76" t="s">
        <v>1279</v>
      </c>
      <c r="AE76">
        <v>2</v>
      </c>
      <c r="AF76" t="s">
        <v>1290</v>
      </c>
      <c r="AG76">
        <v>0</v>
      </c>
      <c r="AH76">
        <v>0</v>
      </c>
      <c r="AI76">
        <v>0</v>
      </c>
      <c r="AJ76">
        <v>1910</v>
      </c>
      <c r="AK76">
        <v>2022</v>
      </c>
      <c r="AL76" t="s">
        <v>1194</v>
      </c>
      <c r="AM76" s="4" t="s">
        <v>1238</v>
      </c>
      <c r="AN76">
        <v>0</v>
      </c>
      <c r="AO76" t="s">
        <v>1316</v>
      </c>
      <c r="AP76">
        <f t="shared" si="2"/>
        <v>0</v>
      </c>
      <c r="AQ76">
        <v>0</v>
      </c>
      <c r="AR76" t="s">
        <v>1993</v>
      </c>
      <c r="AS76" t="s">
        <v>1995</v>
      </c>
      <c r="AT76" t="s">
        <v>1996</v>
      </c>
      <c r="AU76" t="s">
        <v>1995</v>
      </c>
      <c r="AV76" t="s">
        <v>1996</v>
      </c>
      <c r="AW76" t="s">
        <v>1995</v>
      </c>
      <c r="AX76" t="s">
        <v>2006</v>
      </c>
      <c r="AY76" t="s">
        <v>1996</v>
      </c>
      <c r="AZ76">
        <v>3036</v>
      </c>
      <c r="BA76" t="s">
        <v>1194</v>
      </c>
      <c r="BB76" t="s">
        <v>1194</v>
      </c>
      <c r="BC76" s="3">
        <v>7012.7157999999999</v>
      </c>
      <c r="BD76" s="3">
        <v>10844.25</v>
      </c>
      <c r="BE76" s="3">
        <v>0</v>
      </c>
      <c r="BF76" s="3">
        <v>0</v>
      </c>
      <c r="BG76" s="3">
        <v>150</v>
      </c>
      <c r="BH76" s="3">
        <v>0</v>
      </c>
      <c r="BI76" s="3">
        <v>8313</v>
      </c>
      <c r="BJ76" s="3">
        <v>26320</v>
      </c>
      <c r="BK76" s="3">
        <v>0</v>
      </c>
      <c r="BL76" s="3">
        <v>26320</v>
      </c>
      <c r="BM76" s="2">
        <f t="shared" ca="1" si="3"/>
        <v>5</v>
      </c>
      <c r="BN76" s="3">
        <v>100000</v>
      </c>
      <c r="BO76" s="3">
        <v>50000</v>
      </c>
      <c r="BP76" s="3">
        <v>100000</v>
      </c>
      <c r="BQ76" s="3">
        <v>500000</v>
      </c>
      <c r="BR76" s="3">
        <v>2000000</v>
      </c>
      <c r="BS76">
        <v>1000000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 t="s">
        <v>2942</v>
      </c>
      <c r="CA76" t="s">
        <v>2006</v>
      </c>
      <c r="CB76" t="s">
        <v>2006</v>
      </c>
    </row>
    <row r="77" spans="1:80" x14ac:dyDescent="0.25">
      <c r="A77">
        <v>75</v>
      </c>
      <c r="B77" t="s">
        <v>2094</v>
      </c>
      <c r="C77" s="1">
        <v>44883</v>
      </c>
      <c r="D77" s="2">
        <v>33</v>
      </c>
      <c r="E77" t="s">
        <v>4</v>
      </c>
      <c r="F77" t="s">
        <v>1311</v>
      </c>
      <c r="G77">
        <v>0</v>
      </c>
      <c r="H77" s="3">
        <v>3000000</v>
      </c>
      <c r="I77" s="3">
        <v>0</v>
      </c>
      <c r="J77" s="3">
        <v>750000</v>
      </c>
      <c r="K77" s="3">
        <v>100000</v>
      </c>
      <c r="L77" s="3" t="s">
        <v>1191</v>
      </c>
      <c r="M77">
        <v>358905</v>
      </c>
      <c r="N77" t="s">
        <v>242</v>
      </c>
      <c r="P77" t="s">
        <v>243</v>
      </c>
      <c r="Q77" t="s">
        <v>13</v>
      </c>
      <c r="R77">
        <v>2492</v>
      </c>
      <c r="S77" t="s">
        <v>60</v>
      </c>
      <c r="T77" t="s">
        <v>968</v>
      </c>
      <c r="U77">
        <v>0</v>
      </c>
      <c r="V77" t="s">
        <v>1035</v>
      </c>
      <c r="W77" t="s">
        <v>1194</v>
      </c>
      <c r="X77" t="s">
        <v>973</v>
      </c>
      <c r="Y77">
        <v>10000</v>
      </c>
      <c r="Z77" s="2">
        <v>1</v>
      </c>
      <c r="AA77" s="2" t="s">
        <v>1238</v>
      </c>
      <c r="AB77" t="s">
        <v>1238</v>
      </c>
      <c r="AC77">
        <v>713</v>
      </c>
      <c r="AD77" t="s">
        <v>1279</v>
      </c>
      <c r="AE77">
        <v>2</v>
      </c>
      <c r="AF77" t="s">
        <v>1290</v>
      </c>
      <c r="AG77">
        <v>0</v>
      </c>
      <c r="AH77">
        <v>0</v>
      </c>
      <c r="AI77">
        <v>0</v>
      </c>
      <c r="AJ77">
        <v>1997</v>
      </c>
      <c r="AK77" t="s">
        <v>1194</v>
      </c>
      <c r="AL77">
        <v>2020</v>
      </c>
      <c r="AM77" s="4" t="s">
        <v>1238</v>
      </c>
      <c r="AN77">
        <v>1</v>
      </c>
      <c r="AO77" t="s">
        <v>1316</v>
      </c>
      <c r="AP77">
        <f t="shared" si="2"/>
        <v>0</v>
      </c>
      <c r="AQ77">
        <v>0</v>
      </c>
      <c r="AR77" t="s">
        <v>1993</v>
      </c>
      <c r="AS77" t="s">
        <v>1995</v>
      </c>
      <c r="AT77" t="s">
        <v>1996</v>
      </c>
      <c r="AU77" t="s">
        <v>1996</v>
      </c>
      <c r="AV77" t="s">
        <v>1996</v>
      </c>
      <c r="AW77" t="s">
        <v>1996</v>
      </c>
      <c r="AX77" t="s">
        <v>2006</v>
      </c>
      <c r="AY77" t="s">
        <v>1996</v>
      </c>
      <c r="AZ77">
        <v>5781</v>
      </c>
      <c r="BA77" t="s">
        <v>1194</v>
      </c>
      <c r="BB77" t="s">
        <v>1194</v>
      </c>
      <c r="BC77" s="3">
        <v>7850.9333999999999</v>
      </c>
      <c r="BD77" s="3">
        <v>2535.0500000000002</v>
      </c>
      <c r="BE77" s="3">
        <v>0</v>
      </c>
      <c r="BF77" s="3">
        <v>0</v>
      </c>
      <c r="BG77" s="3">
        <v>150</v>
      </c>
      <c r="BH77" s="3">
        <v>0</v>
      </c>
      <c r="BI77" s="3">
        <v>7944</v>
      </c>
      <c r="BJ77" s="3">
        <v>18480</v>
      </c>
      <c r="BK77" s="3">
        <v>0</v>
      </c>
      <c r="BL77" s="3">
        <v>18480</v>
      </c>
      <c r="BM77" s="2">
        <f t="shared" ca="1" si="3"/>
        <v>6</v>
      </c>
      <c r="BN77" s="3" t="s">
        <v>2916</v>
      </c>
      <c r="BO77" s="3">
        <v>500000</v>
      </c>
      <c r="BP77" s="3">
        <v>50000</v>
      </c>
      <c r="BQ77" s="3">
        <v>50000</v>
      </c>
      <c r="BR77" s="3" t="s">
        <v>2916</v>
      </c>
      <c r="BS77" t="s">
        <v>2916</v>
      </c>
      <c r="BT77">
        <v>0</v>
      </c>
      <c r="BU77">
        <v>0</v>
      </c>
      <c r="BV77">
        <v>1</v>
      </c>
      <c r="BW77">
        <v>0</v>
      </c>
      <c r="BX77">
        <v>0</v>
      </c>
      <c r="BY77">
        <v>0</v>
      </c>
      <c r="BZ77" t="s">
        <v>2942</v>
      </c>
      <c r="CA77" t="s">
        <v>2006</v>
      </c>
      <c r="CB77" t="s">
        <v>2006</v>
      </c>
    </row>
    <row r="78" spans="1:80" x14ac:dyDescent="0.25">
      <c r="A78">
        <v>76</v>
      </c>
      <c r="B78" t="s">
        <v>2095</v>
      </c>
      <c r="C78" s="1">
        <v>44838</v>
      </c>
      <c r="D78" s="2">
        <v>30</v>
      </c>
      <c r="E78" t="s">
        <v>4</v>
      </c>
      <c r="F78" t="s">
        <v>1311</v>
      </c>
      <c r="G78">
        <v>1</v>
      </c>
      <c r="H78" s="3">
        <v>5500000</v>
      </c>
      <c r="I78" s="3">
        <v>500000</v>
      </c>
      <c r="J78" s="3">
        <v>0</v>
      </c>
      <c r="K78" s="3">
        <v>0</v>
      </c>
      <c r="L78" s="3" t="s">
        <v>1191</v>
      </c>
      <c r="M78">
        <v>86995</v>
      </c>
      <c r="N78" t="s">
        <v>244</v>
      </c>
      <c r="P78" t="s">
        <v>245</v>
      </c>
      <c r="Q78" t="s">
        <v>14</v>
      </c>
      <c r="R78">
        <v>11964</v>
      </c>
      <c r="S78" t="s">
        <v>26</v>
      </c>
      <c r="T78" t="s">
        <v>970</v>
      </c>
      <c r="U78">
        <v>0</v>
      </c>
      <c r="V78" t="s">
        <v>1036</v>
      </c>
      <c r="W78" t="s">
        <v>1194</v>
      </c>
      <c r="X78" t="s">
        <v>973</v>
      </c>
      <c r="Y78">
        <v>25000</v>
      </c>
      <c r="Z78" s="2">
        <v>2</v>
      </c>
      <c r="AA78" s="2" t="s">
        <v>1238</v>
      </c>
      <c r="AB78" t="s">
        <v>1238</v>
      </c>
      <c r="AC78">
        <v>609</v>
      </c>
      <c r="AD78" t="s">
        <v>1279</v>
      </c>
      <c r="AE78">
        <v>8</v>
      </c>
      <c r="AF78" t="s">
        <v>1290</v>
      </c>
      <c r="AG78">
        <v>0</v>
      </c>
      <c r="AH78">
        <v>0</v>
      </c>
      <c r="AI78">
        <v>0</v>
      </c>
      <c r="AJ78">
        <v>2021</v>
      </c>
      <c r="AK78" t="s">
        <v>1194</v>
      </c>
      <c r="AL78" t="s">
        <v>1194</v>
      </c>
      <c r="AM78" s="4" t="s">
        <v>1238</v>
      </c>
      <c r="AN78">
        <v>0</v>
      </c>
      <c r="AO78" t="s">
        <v>1317</v>
      </c>
      <c r="AP78">
        <f t="shared" si="2"/>
        <v>0</v>
      </c>
      <c r="AQ78">
        <v>0</v>
      </c>
      <c r="AR78" t="s">
        <v>1993</v>
      </c>
      <c r="AS78" t="s">
        <v>1995</v>
      </c>
      <c r="AT78" t="s">
        <v>1995</v>
      </c>
      <c r="AU78" t="s">
        <v>1995</v>
      </c>
      <c r="AV78" t="s">
        <v>1996</v>
      </c>
      <c r="AW78" t="s">
        <v>1995</v>
      </c>
      <c r="AX78" t="s">
        <v>2006</v>
      </c>
      <c r="AY78" t="s">
        <v>1996</v>
      </c>
      <c r="AZ78">
        <v>5115</v>
      </c>
      <c r="BA78" t="s">
        <v>1194</v>
      </c>
      <c r="BB78" t="s">
        <v>1194</v>
      </c>
      <c r="BC78" s="3">
        <v>20571.237099999998</v>
      </c>
      <c r="BD78" s="3">
        <v>22727.35</v>
      </c>
      <c r="BE78" s="3">
        <v>0</v>
      </c>
      <c r="BF78" s="3">
        <v>0</v>
      </c>
      <c r="BG78" s="3">
        <v>0</v>
      </c>
      <c r="BH78" s="3">
        <v>0</v>
      </c>
      <c r="BI78" s="3">
        <v>7701</v>
      </c>
      <c r="BJ78" s="3">
        <v>51000</v>
      </c>
      <c r="BK78" s="3">
        <v>300</v>
      </c>
      <c r="BL78" s="3">
        <v>51300</v>
      </c>
      <c r="BM78" s="2">
        <f t="shared" ca="1" si="3"/>
        <v>5</v>
      </c>
      <c r="BN78" s="3" t="s">
        <v>2916</v>
      </c>
      <c r="BO78" s="3">
        <v>500000</v>
      </c>
      <c r="BP78" s="3" t="s">
        <v>2922</v>
      </c>
      <c r="BQ78" s="3">
        <v>50000</v>
      </c>
      <c r="BR78" s="3">
        <v>1000000</v>
      </c>
      <c r="BS78">
        <v>50000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 t="s">
        <v>2938</v>
      </c>
      <c r="CA78" t="s">
        <v>2939</v>
      </c>
      <c r="CB78" t="s">
        <v>2006</v>
      </c>
    </row>
    <row r="79" spans="1:80" x14ac:dyDescent="0.25">
      <c r="A79">
        <v>77</v>
      </c>
      <c r="B79" t="s">
        <v>2096</v>
      </c>
      <c r="C79" s="1">
        <v>44873</v>
      </c>
      <c r="D79" s="2">
        <v>33</v>
      </c>
      <c r="E79" t="s">
        <v>4</v>
      </c>
      <c r="F79" t="s">
        <v>1311</v>
      </c>
      <c r="G79">
        <v>0</v>
      </c>
      <c r="H79" s="3">
        <v>2000000</v>
      </c>
      <c r="I79" s="3">
        <v>0</v>
      </c>
      <c r="J79" s="3">
        <v>0</v>
      </c>
      <c r="K79" s="3">
        <v>0</v>
      </c>
      <c r="L79" s="3" t="s">
        <v>1191</v>
      </c>
      <c r="M79">
        <v>201603</v>
      </c>
      <c r="N79" t="s">
        <v>246</v>
      </c>
      <c r="P79" t="s">
        <v>140</v>
      </c>
      <c r="Q79" t="s">
        <v>15</v>
      </c>
      <c r="R79">
        <v>34202</v>
      </c>
      <c r="S79" t="s">
        <v>34</v>
      </c>
      <c r="T79" t="s">
        <v>965</v>
      </c>
      <c r="U79">
        <v>0</v>
      </c>
      <c r="V79" t="s">
        <v>996</v>
      </c>
      <c r="W79" t="s">
        <v>1194</v>
      </c>
      <c r="X79" t="s">
        <v>973</v>
      </c>
      <c r="Y79">
        <v>5000</v>
      </c>
      <c r="Z79" s="2">
        <v>5</v>
      </c>
      <c r="AA79" s="2" t="s">
        <v>1238</v>
      </c>
      <c r="AB79" t="s">
        <v>1238</v>
      </c>
      <c r="AC79">
        <v>857</v>
      </c>
      <c r="AD79" t="s">
        <v>1280</v>
      </c>
      <c r="AE79">
        <v>3</v>
      </c>
      <c r="AF79" t="s">
        <v>1290</v>
      </c>
      <c r="AG79">
        <v>0</v>
      </c>
      <c r="AH79">
        <v>0</v>
      </c>
      <c r="AI79">
        <v>0</v>
      </c>
      <c r="AJ79">
        <v>2021</v>
      </c>
      <c r="AK79" t="s">
        <v>1194</v>
      </c>
      <c r="AL79" t="s">
        <v>1194</v>
      </c>
      <c r="AM79" s="4" t="s">
        <v>1238</v>
      </c>
      <c r="AN79">
        <v>0</v>
      </c>
      <c r="AO79" t="s">
        <v>1317</v>
      </c>
      <c r="AP79">
        <f t="shared" si="2"/>
        <v>0</v>
      </c>
      <c r="AQ79">
        <v>1</v>
      </c>
      <c r="AR79" t="s">
        <v>1992</v>
      </c>
      <c r="AS79" t="s">
        <v>1996</v>
      </c>
      <c r="AT79" t="s">
        <v>1996</v>
      </c>
      <c r="AU79" t="s">
        <v>1996</v>
      </c>
      <c r="AV79" t="s">
        <v>1995</v>
      </c>
      <c r="AW79" t="s">
        <v>1995</v>
      </c>
      <c r="AX79" t="s">
        <v>2007</v>
      </c>
      <c r="AY79" t="s">
        <v>1995</v>
      </c>
      <c r="AZ79">
        <v>6968</v>
      </c>
      <c r="BA79" t="s">
        <v>1194</v>
      </c>
      <c r="BB79" t="s">
        <v>1194</v>
      </c>
      <c r="BC79" s="3">
        <v>4163.1585999999998</v>
      </c>
      <c r="BD79" s="3">
        <v>3044.26</v>
      </c>
      <c r="BE79" s="3">
        <v>0</v>
      </c>
      <c r="BF79" s="3">
        <v>0</v>
      </c>
      <c r="BG79" s="3">
        <v>0</v>
      </c>
      <c r="BH79" s="3">
        <v>0</v>
      </c>
      <c r="BI79" s="3">
        <v>6793</v>
      </c>
      <c r="BJ79" s="3">
        <v>14000</v>
      </c>
      <c r="BK79" s="3">
        <v>0</v>
      </c>
      <c r="BL79" s="3">
        <v>14000</v>
      </c>
      <c r="BM79" s="2">
        <f t="shared" ca="1" si="3"/>
        <v>3</v>
      </c>
      <c r="BN79" s="3">
        <v>1000000</v>
      </c>
      <c r="BO79" s="3">
        <v>25000</v>
      </c>
      <c r="BP79" s="3">
        <v>200000</v>
      </c>
      <c r="BQ79" s="3">
        <v>50000</v>
      </c>
      <c r="BR79" s="3">
        <v>100000</v>
      </c>
      <c r="BS79">
        <v>50000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 t="s">
        <v>2006</v>
      </c>
      <c r="CA79" t="s">
        <v>2939</v>
      </c>
      <c r="CB79" t="s">
        <v>2941</v>
      </c>
    </row>
    <row r="80" spans="1:80" x14ac:dyDescent="0.25">
      <c r="A80">
        <v>78</v>
      </c>
      <c r="B80" t="s">
        <v>2097</v>
      </c>
      <c r="C80" s="1">
        <v>44751</v>
      </c>
      <c r="D80" s="2">
        <v>21</v>
      </c>
      <c r="E80" t="s">
        <v>4</v>
      </c>
      <c r="F80" t="s">
        <v>1311</v>
      </c>
      <c r="G80">
        <v>0</v>
      </c>
      <c r="H80" s="3">
        <v>6000000</v>
      </c>
      <c r="I80" s="3">
        <v>100000</v>
      </c>
      <c r="J80" s="3">
        <v>0</v>
      </c>
      <c r="K80" s="3">
        <v>0</v>
      </c>
      <c r="L80" s="3" t="s">
        <v>1191</v>
      </c>
      <c r="M80">
        <v>1726576</v>
      </c>
      <c r="N80" t="s">
        <v>247</v>
      </c>
      <c r="P80" t="s">
        <v>248</v>
      </c>
      <c r="Q80" t="s">
        <v>20</v>
      </c>
      <c r="R80">
        <v>30305</v>
      </c>
      <c r="S80" t="s">
        <v>57</v>
      </c>
      <c r="T80" t="s">
        <v>973</v>
      </c>
      <c r="U80">
        <v>0</v>
      </c>
      <c r="V80">
        <v>17</v>
      </c>
      <c r="W80" t="s">
        <v>1195</v>
      </c>
      <c r="X80" t="s">
        <v>973</v>
      </c>
      <c r="Y80">
        <v>10000</v>
      </c>
      <c r="Z80" s="2" t="s">
        <v>1194</v>
      </c>
      <c r="AA80" s="2">
        <v>0</v>
      </c>
      <c r="AB80" t="s">
        <v>1238</v>
      </c>
      <c r="AC80">
        <v>861</v>
      </c>
      <c r="AD80" t="s">
        <v>1284</v>
      </c>
      <c r="AE80">
        <v>1</v>
      </c>
      <c r="AF80" t="s">
        <v>1290</v>
      </c>
      <c r="AG80">
        <v>0</v>
      </c>
      <c r="AH80">
        <v>0</v>
      </c>
      <c r="AI80">
        <v>0</v>
      </c>
      <c r="AJ80">
        <v>2021</v>
      </c>
      <c r="AK80" t="s">
        <v>1194</v>
      </c>
      <c r="AL80" t="s">
        <v>1194</v>
      </c>
      <c r="AM80" s="4" t="s">
        <v>1238</v>
      </c>
      <c r="AN80">
        <v>1</v>
      </c>
      <c r="AO80" t="s">
        <v>1316</v>
      </c>
      <c r="AP80">
        <f t="shared" si="2"/>
        <v>0</v>
      </c>
      <c r="AQ80">
        <v>0</v>
      </c>
      <c r="AR80" t="s">
        <v>1993</v>
      </c>
      <c r="AS80" t="s">
        <v>1996</v>
      </c>
      <c r="AT80" t="s">
        <v>1996</v>
      </c>
      <c r="AU80" t="s">
        <v>1996</v>
      </c>
      <c r="AV80" t="s">
        <v>1995</v>
      </c>
      <c r="AW80" t="s">
        <v>1995</v>
      </c>
      <c r="AX80" t="s">
        <v>2006</v>
      </c>
      <c r="AY80" t="s">
        <v>1996</v>
      </c>
      <c r="AZ80">
        <v>5464</v>
      </c>
      <c r="BA80" t="s">
        <v>1194</v>
      </c>
      <c r="BB80" t="s">
        <v>1194</v>
      </c>
      <c r="BC80" s="3">
        <v>9418.4315000000006</v>
      </c>
      <c r="BD80" s="3">
        <v>7826.1</v>
      </c>
      <c r="BE80" s="3">
        <v>0</v>
      </c>
      <c r="BF80" s="3">
        <v>0</v>
      </c>
      <c r="BG80" s="3">
        <v>150</v>
      </c>
      <c r="BH80" s="3">
        <v>0</v>
      </c>
      <c r="BI80" s="3">
        <v>3955.47</v>
      </c>
      <c r="BJ80" s="3">
        <v>21350</v>
      </c>
      <c r="BK80" s="3">
        <v>0</v>
      </c>
      <c r="BL80" s="3">
        <v>21350</v>
      </c>
      <c r="BM80" s="2">
        <f t="shared" ca="1" si="3"/>
        <v>4</v>
      </c>
      <c r="BN80" s="3" t="s">
        <v>2916</v>
      </c>
      <c r="BO80" s="3">
        <v>500000</v>
      </c>
      <c r="BP80" s="3" t="s">
        <v>2922</v>
      </c>
      <c r="BQ80" s="3">
        <v>100000</v>
      </c>
      <c r="BR80" s="3">
        <v>100000</v>
      </c>
      <c r="BS80">
        <v>50000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 t="s">
        <v>2938</v>
      </c>
      <c r="CA80" t="s">
        <v>2006</v>
      </c>
      <c r="CB80" t="s">
        <v>2945</v>
      </c>
    </row>
    <row r="81" spans="1:80" x14ac:dyDescent="0.25">
      <c r="A81">
        <v>79</v>
      </c>
      <c r="B81" t="s">
        <v>2098</v>
      </c>
      <c r="C81" s="1">
        <v>44782</v>
      </c>
      <c r="D81" s="2">
        <v>24</v>
      </c>
      <c r="E81" t="s">
        <v>4</v>
      </c>
      <c r="F81" t="s">
        <v>1311</v>
      </c>
      <c r="G81">
        <v>1</v>
      </c>
      <c r="H81" s="3">
        <v>0</v>
      </c>
      <c r="I81" s="3">
        <v>0</v>
      </c>
      <c r="J81" s="3">
        <v>600000</v>
      </c>
      <c r="K81" s="3">
        <v>0</v>
      </c>
      <c r="L81" s="3" t="s">
        <v>1192</v>
      </c>
      <c r="M81">
        <v>1893868</v>
      </c>
      <c r="N81" t="s">
        <v>249</v>
      </c>
      <c r="O81" t="s">
        <v>250</v>
      </c>
      <c r="P81" t="s">
        <v>29</v>
      </c>
      <c r="Q81" t="s">
        <v>14</v>
      </c>
      <c r="R81">
        <v>10075</v>
      </c>
      <c r="S81" t="s">
        <v>29</v>
      </c>
      <c r="T81" t="s">
        <v>968</v>
      </c>
      <c r="U81">
        <v>0</v>
      </c>
      <c r="V81" t="s">
        <v>999</v>
      </c>
      <c r="W81" t="s">
        <v>1194</v>
      </c>
      <c r="X81" t="s">
        <v>973</v>
      </c>
      <c r="Y81">
        <v>10000</v>
      </c>
      <c r="Z81" s="2">
        <v>2</v>
      </c>
      <c r="AA81" s="2" t="s">
        <v>1238</v>
      </c>
      <c r="AB81" t="s">
        <v>1238</v>
      </c>
      <c r="AC81">
        <v>0</v>
      </c>
      <c r="AD81" t="s">
        <v>1281</v>
      </c>
      <c r="AE81">
        <v>1</v>
      </c>
      <c r="AF81" t="s">
        <v>1290</v>
      </c>
      <c r="AG81">
        <v>0</v>
      </c>
      <c r="AH81">
        <v>0</v>
      </c>
      <c r="AI81">
        <v>0</v>
      </c>
      <c r="AJ81">
        <v>1928</v>
      </c>
      <c r="AK81" t="s">
        <v>1194</v>
      </c>
      <c r="AL81" t="s">
        <v>1194</v>
      </c>
      <c r="AM81" s="4" t="s">
        <v>1238</v>
      </c>
      <c r="AN81">
        <v>1</v>
      </c>
      <c r="AO81" t="s">
        <v>1315</v>
      </c>
      <c r="AP81">
        <f t="shared" si="2"/>
        <v>0</v>
      </c>
      <c r="AQ81">
        <v>0</v>
      </c>
      <c r="AR81" t="s">
        <v>1993</v>
      </c>
      <c r="AS81" t="s">
        <v>1995</v>
      </c>
      <c r="AT81" t="s">
        <v>1995</v>
      </c>
      <c r="AU81" t="s">
        <v>1995</v>
      </c>
      <c r="AV81" t="s">
        <v>1995</v>
      </c>
      <c r="AW81" t="s">
        <v>1996</v>
      </c>
      <c r="AX81" t="s">
        <v>2006</v>
      </c>
      <c r="AY81" t="s">
        <v>1996</v>
      </c>
      <c r="AZ81">
        <v>800</v>
      </c>
      <c r="BA81" t="s">
        <v>1194</v>
      </c>
      <c r="BB81" t="s">
        <v>1194</v>
      </c>
      <c r="BC81" s="3">
        <v>2914.1268</v>
      </c>
      <c r="BD81" s="3">
        <v>700.69</v>
      </c>
      <c r="BE81" s="3">
        <v>0</v>
      </c>
      <c r="BF81" s="3">
        <v>0</v>
      </c>
      <c r="BG81" s="3">
        <v>0</v>
      </c>
      <c r="BH81" s="3">
        <v>0</v>
      </c>
      <c r="BI81" s="3">
        <v>6585</v>
      </c>
      <c r="BJ81" s="3">
        <v>10200</v>
      </c>
      <c r="BK81" s="3">
        <v>0</v>
      </c>
      <c r="BL81" s="3">
        <v>10200</v>
      </c>
      <c r="BM81" s="2">
        <f t="shared" ca="1" si="3"/>
        <v>4</v>
      </c>
      <c r="BN81" s="3">
        <v>500000</v>
      </c>
      <c r="BO81" s="3">
        <v>500000</v>
      </c>
      <c r="BP81" s="3">
        <v>100000</v>
      </c>
      <c r="BQ81" s="3">
        <v>250000</v>
      </c>
      <c r="BR81" s="3">
        <v>1000000</v>
      </c>
      <c r="BS81">
        <v>50000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 t="s">
        <v>2006</v>
      </c>
      <c r="CA81" t="s">
        <v>2006</v>
      </c>
      <c r="CB81" t="s">
        <v>2006</v>
      </c>
    </row>
    <row r="82" spans="1:80" x14ac:dyDescent="0.25">
      <c r="A82">
        <v>80</v>
      </c>
      <c r="B82" t="s">
        <v>2099</v>
      </c>
      <c r="C82" s="1">
        <v>44932</v>
      </c>
      <c r="D82" s="2">
        <v>3</v>
      </c>
      <c r="E82" t="s">
        <v>4</v>
      </c>
      <c r="F82" t="s">
        <v>1310</v>
      </c>
      <c r="G82">
        <v>0</v>
      </c>
      <c r="H82" s="3">
        <v>3500000</v>
      </c>
      <c r="I82" s="3">
        <v>0</v>
      </c>
      <c r="J82" s="3">
        <v>0</v>
      </c>
      <c r="K82" s="3">
        <v>0</v>
      </c>
      <c r="L82" s="3" t="s">
        <v>1191</v>
      </c>
      <c r="M82">
        <v>1594856</v>
      </c>
      <c r="N82" t="s">
        <v>251</v>
      </c>
      <c r="P82" t="s">
        <v>248</v>
      </c>
      <c r="Q82" t="s">
        <v>20</v>
      </c>
      <c r="R82">
        <v>30307</v>
      </c>
      <c r="S82" t="s">
        <v>57</v>
      </c>
      <c r="T82" t="s">
        <v>973</v>
      </c>
      <c r="U82">
        <v>0</v>
      </c>
      <c r="V82">
        <v>17</v>
      </c>
      <c r="W82" t="s">
        <v>1195</v>
      </c>
      <c r="X82" t="s">
        <v>973</v>
      </c>
      <c r="Y82">
        <v>10000</v>
      </c>
      <c r="Z82" s="2" t="s">
        <v>1194</v>
      </c>
      <c r="AA82" s="2">
        <v>0</v>
      </c>
      <c r="AB82" t="s">
        <v>1238</v>
      </c>
      <c r="AC82">
        <v>854</v>
      </c>
      <c r="AD82" t="s">
        <v>1279</v>
      </c>
      <c r="AE82">
        <v>1</v>
      </c>
      <c r="AF82" t="s">
        <v>1290</v>
      </c>
      <c r="AG82">
        <v>0</v>
      </c>
      <c r="AH82">
        <v>0</v>
      </c>
      <c r="AI82">
        <v>0</v>
      </c>
      <c r="AJ82">
        <v>1910</v>
      </c>
      <c r="AK82">
        <v>2000</v>
      </c>
      <c r="AL82">
        <v>2021</v>
      </c>
      <c r="AM82" s="4" t="s">
        <v>1305</v>
      </c>
      <c r="AN82">
        <v>1</v>
      </c>
      <c r="AO82" t="s">
        <v>1315</v>
      </c>
      <c r="AP82">
        <f t="shared" si="2"/>
        <v>0</v>
      </c>
      <c r="AQ82">
        <v>1</v>
      </c>
      <c r="AR82" t="s">
        <v>1992</v>
      </c>
      <c r="AS82" t="s">
        <v>1996</v>
      </c>
      <c r="AT82" t="s">
        <v>1996</v>
      </c>
      <c r="AU82" t="s">
        <v>1996</v>
      </c>
      <c r="AV82" t="s">
        <v>1995</v>
      </c>
      <c r="AW82" t="s">
        <v>1995</v>
      </c>
      <c r="AX82" t="s">
        <v>2003</v>
      </c>
      <c r="AY82" t="s">
        <v>1996</v>
      </c>
      <c r="AZ82">
        <v>5738</v>
      </c>
      <c r="BA82" t="s">
        <v>1194</v>
      </c>
      <c r="BB82" t="s">
        <v>1194</v>
      </c>
      <c r="BC82" s="3">
        <v>7688.9102999999996</v>
      </c>
      <c r="BD82" s="3">
        <v>8043.39</v>
      </c>
      <c r="BE82" s="3">
        <v>0</v>
      </c>
      <c r="BF82" s="3">
        <v>0</v>
      </c>
      <c r="BG82" s="3">
        <v>150</v>
      </c>
      <c r="BH82" s="3">
        <v>0</v>
      </c>
      <c r="BI82" s="3">
        <v>-1285</v>
      </c>
      <c r="BJ82" s="3">
        <v>16450</v>
      </c>
      <c r="BK82" s="3">
        <v>0</v>
      </c>
      <c r="BL82" s="3">
        <v>16450</v>
      </c>
      <c r="BM82" s="2">
        <f t="shared" ca="1" si="3"/>
        <v>2</v>
      </c>
      <c r="BN82" s="3" t="s">
        <v>2916</v>
      </c>
      <c r="BO82" s="3">
        <v>50000</v>
      </c>
      <c r="BP82" s="3" t="s">
        <v>2922</v>
      </c>
      <c r="BQ82" s="3">
        <v>100000</v>
      </c>
      <c r="BR82" s="3">
        <v>250000</v>
      </c>
      <c r="BS82" t="s">
        <v>2916</v>
      </c>
      <c r="BT82">
        <v>0</v>
      </c>
      <c r="BU82">
        <v>1</v>
      </c>
      <c r="BV82">
        <v>0</v>
      </c>
      <c r="BW82">
        <v>0</v>
      </c>
      <c r="BX82">
        <v>1</v>
      </c>
      <c r="BY82">
        <v>0</v>
      </c>
      <c r="BZ82" t="s">
        <v>2943</v>
      </c>
      <c r="CA82" t="s">
        <v>2006</v>
      </c>
      <c r="CB82" t="s">
        <v>2941</v>
      </c>
    </row>
    <row r="83" spans="1:80" x14ac:dyDescent="0.25">
      <c r="A83">
        <v>81</v>
      </c>
      <c r="B83" t="s">
        <v>2100</v>
      </c>
      <c r="C83" s="1">
        <v>44792</v>
      </c>
      <c r="D83" s="2">
        <v>24</v>
      </c>
      <c r="E83" t="s">
        <v>4</v>
      </c>
      <c r="F83" t="s">
        <v>1311</v>
      </c>
      <c r="G83">
        <v>0</v>
      </c>
      <c r="H83" s="3">
        <v>8900000</v>
      </c>
      <c r="I83" s="3">
        <v>5000000</v>
      </c>
      <c r="J83" s="3">
        <v>0</v>
      </c>
      <c r="K83" s="3">
        <v>0</v>
      </c>
      <c r="L83" s="3" t="s">
        <v>1191</v>
      </c>
      <c r="M83">
        <v>1746633</v>
      </c>
      <c r="N83" t="s">
        <v>252</v>
      </c>
      <c r="P83" t="s">
        <v>253</v>
      </c>
      <c r="Q83" t="s">
        <v>15</v>
      </c>
      <c r="R83">
        <v>33455</v>
      </c>
      <c r="S83" t="s">
        <v>61</v>
      </c>
      <c r="T83" t="s">
        <v>967</v>
      </c>
      <c r="U83">
        <v>1</v>
      </c>
      <c r="V83" t="s">
        <v>1037</v>
      </c>
      <c r="W83" t="s">
        <v>1194</v>
      </c>
      <c r="X83" t="s">
        <v>1309</v>
      </c>
      <c r="Y83">
        <v>25000</v>
      </c>
      <c r="Z83" s="2">
        <v>25</v>
      </c>
      <c r="AA83" s="2" t="s">
        <v>1238</v>
      </c>
      <c r="AB83" t="s">
        <v>1238</v>
      </c>
      <c r="AC83">
        <v>942</v>
      </c>
      <c r="AD83" t="s">
        <v>1280</v>
      </c>
      <c r="AE83">
        <v>4</v>
      </c>
      <c r="AF83" t="s">
        <v>1290</v>
      </c>
      <c r="AG83">
        <v>0</v>
      </c>
      <c r="AH83">
        <v>0</v>
      </c>
      <c r="AI83">
        <v>0</v>
      </c>
      <c r="AJ83">
        <v>2021</v>
      </c>
      <c r="AK83" t="s">
        <v>1194</v>
      </c>
      <c r="AL83" t="s">
        <v>1194</v>
      </c>
      <c r="AM83" s="4" t="s">
        <v>1238</v>
      </c>
      <c r="AN83">
        <v>0</v>
      </c>
      <c r="AO83" t="s">
        <v>1315</v>
      </c>
      <c r="AP83">
        <f t="shared" si="2"/>
        <v>0</v>
      </c>
      <c r="AQ83">
        <v>1</v>
      </c>
      <c r="AR83" t="s">
        <v>1992</v>
      </c>
      <c r="AS83" t="s">
        <v>1996</v>
      </c>
      <c r="AT83" t="s">
        <v>1996</v>
      </c>
      <c r="AU83" t="s">
        <v>1996</v>
      </c>
      <c r="AV83" t="s">
        <v>1995</v>
      </c>
      <c r="AW83" t="s">
        <v>1996</v>
      </c>
      <c r="AX83" t="s">
        <v>2007</v>
      </c>
      <c r="AY83" t="s">
        <v>1995</v>
      </c>
      <c r="AZ83">
        <v>13000</v>
      </c>
      <c r="BA83" t="s">
        <v>1194</v>
      </c>
      <c r="BB83" t="s">
        <v>1194</v>
      </c>
      <c r="BC83" s="3">
        <v>20366.887699999999</v>
      </c>
      <c r="BD83" s="3">
        <v>13669.66</v>
      </c>
      <c r="BE83" s="3">
        <v>0</v>
      </c>
      <c r="BF83" s="3">
        <v>0</v>
      </c>
      <c r="BG83" s="3">
        <v>300</v>
      </c>
      <c r="BH83" s="3">
        <v>0</v>
      </c>
      <c r="BI83" s="3">
        <v>65203</v>
      </c>
      <c r="BJ83" s="3">
        <v>99540</v>
      </c>
      <c r="BK83" s="3">
        <v>3000</v>
      </c>
      <c r="BL83" s="3">
        <v>102540</v>
      </c>
      <c r="BM83" s="2">
        <f t="shared" ca="1" si="3"/>
        <v>2</v>
      </c>
      <c r="BN83" s="3" t="s">
        <v>2916</v>
      </c>
      <c r="BO83" s="3">
        <v>1000000</v>
      </c>
      <c r="BP83" s="3" t="s">
        <v>2922</v>
      </c>
      <c r="BQ83" s="3">
        <v>2000000</v>
      </c>
      <c r="BR83" s="3">
        <v>2000000</v>
      </c>
      <c r="BS83">
        <v>100000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 t="s">
        <v>2938</v>
      </c>
      <c r="CA83" t="s">
        <v>2939</v>
      </c>
      <c r="CB83" t="s">
        <v>2941</v>
      </c>
    </row>
    <row r="84" spans="1:80" x14ac:dyDescent="0.25">
      <c r="A84">
        <v>82</v>
      </c>
      <c r="B84" t="s">
        <v>2101</v>
      </c>
      <c r="C84" s="1">
        <v>44876</v>
      </c>
      <c r="D84" s="2">
        <v>33</v>
      </c>
      <c r="E84" t="s">
        <v>4</v>
      </c>
      <c r="F84" t="s">
        <v>1311</v>
      </c>
      <c r="G84">
        <v>0</v>
      </c>
      <c r="H84" s="3">
        <v>3500000</v>
      </c>
      <c r="I84" s="3">
        <v>0</v>
      </c>
      <c r="J84" s="3">
        <v>0</v>
      </c>
      <c r="K84" s="3">
        <v>0</v>
      </c>
      <c r="L84" s="3" t="s">
        <v>1191</v>
      </c>
      <c r="M84">
        <v>1633506</v>
      </c>
      <c r="N84" t="s">
        <v>254</v>
      </c>
      <c r="P84" t="s">
        <v>62</v>
      </c>
      <c r="Q84" t="s">
        <v>19</v>
      </c>
      <c r="R84">
        <v>94110</v>
      </c>
      <c r="S84" t="s">
        <v>62</v>
      </c>
      <c r="T84" t="s">
        <v>975</v>
      </c>
      <c r="U84">
        <v>0</v>
      </c>
      <c r="V84">
        <v>33</v>
      </c>
      <c r="W84" t="s">
        <v>1198</v>
      </c>
      <c r="X84" t="s">
        <v>973</v>
      </c>
      <c r="Y84">
        <v>10000</v>
      </c>
      <c r="Z84" s="2" t="s">
        <v>1194</v>
      </c>
      <c r="AA84" s="2" t="s">
        <v>1238</v>
      </c>
      <c r="AB84" t="s">
        <v>1238</v>
      </c>
      <c r="AC84" t="s">
        <v>1194</v>
      </c>
      <c r="AD84" t="s">
        <v>1279</v>
      </c>
      <c r="AE84">
        <v>1</v>
      </c>
      <c r="AF84" t="s">
        <v>1290</v>
      </c>
      <c r="AG84">
        <v>0</v>
      </c>
      <c r="AH84">
        <v>0</v>
      </c>
      <c r="AI84">
        <v>0</v>
      </c>
      <c r="AJ84">
        <v>1900</v>
      </c>
      <c r="AK84" t="s">
        <v>1194</v>
      </c>
      <c r="AL84" t="s">
        <v>1194</v>
      </c>
      <c r="AM84" s="4" t="s">
        <v>1238</v>
      </c>
      <c r="AN84">
        <v>1</v>
      </c>
      <c r="AO84" t="s">
        <v>1315</v>
      </c>
      <c r="AP84">
        <f t="shared" si="2"/>
        <v>0</v>
      </c>
      <c r="AQ84">
        <v>1</v>
      </c>
      <c r="AR84" t="s">
        <v>1992</v>
      </c>
      <c r="AS84" t="s">
        <v>1995</v>
      </c>
      <c r="AT84" t="s">
        <v>1995</v>
      </c>
      <c r="AU84" t="s">
        <v>1996</v>
      </c>
      <c r="AV84" t="s">
        <v>1996</v>
      </c>
      <c r="AW84" t="s">
        <v>1996</v>
      </c>
      <c r="AX84" t="s">
        <v>1194</v>
      </c>
      <c r="AY84" t="s">
        <v>1996</v>
      </c>
      <c r="AZ84">
        <v>2357</v>
      </c>
      <c r="BA84" t="s">
        <v>1194</v>
      </c>
      <c r="BB84" t="s">
        <v>2014</v>
      </c>
      <c r="BC84" s="3">
        <v>0</v>
      </c>
      <c r="BD84" s="3">
        <v>0</v>
      </c>
      <c r="BE84" s="3">
        <v>6960.97</v>
      </c>
      <c r="BF84" s="3">
        <v>4817.28</v>
      </c>
      <c r="BG84" s="3">
        <v>0</v>
      </c>
      <c r="BH84" s="3">
        <v>0</v>
      </c>
      <c r="BI84" s="3">
        <v>18000</v>
      </c>
      <c r="BJ84" s="3">
        <v>29778.25</v>
      </c>
      <c r="BK84" s="3">
        <v>0</v>
      </c>
      <c r="BL84" s="3">
        <v>29778.25</v>
      </c>
      <c r="BM84" s="2">
        <f t="shared" ca="1" si="3"/>
        <v>5</v>
      </c>
      <c r="BN84" s="3" t="s">
        <v>2916</v>
      </c>
      <c r="BO84" s="3">
        <v>20000</v>
      </c>
      <c r="BP84" s="3">
        <v>200000</v>
      </c>
      <c r="BQ84" s="3">
        <v>250000</v>
      </c>
      <c r="BR84" s="3">
        <v>100000</v>
      </c>
      <c r="BS84">
        <v>100000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 t="s">
        <v>2950</v>
      </c>
      <c r="CA84" t="s">
        <v>1194</v>
      </c>
      <c r="CB84" t="s">
        <v>2941</v>
      </c>
    </row>
    <row r="85" spans="1:80" x14ac:dyDescent="0.25">
      <c r="A85">
        <v>83</v>
      </c>
      <c r="B85" t="s">
        <v>2102</v>
      </c>
      <c r="C85" s="1">
        <v>44838</v>
      </c>
      <c r="D85" s="2">
        <v>30</v>
      </c>
      <c r="E85" t="s">
        <v>4</v>
      </c>
      <c r="F85" t="s">
        <v>1311</v>
      </c>
      <c r="G85">
        <v>0</v>
      </c>
      <c r="H85" s="3">
        <v>5000000</v>
      </c>
      <c r="I85" s="3">
        <v>175000</v>
      </c>
      <c r="J85" s="3">
        <v>0</v>
      </c>
      <c r="K85" s="3">
        <v>0</v>
      </c>
      <c r="L85" s="3" t="s">
        <v>1191</v>
      </c>
      <c r="M85">
        <v>1331527</v>
      </c>
      <c r="N85" t="s">
        <v>255</v>
      </c>
      <c r="P85" t="s">
        <v>256</v>
      </c>
      <c r="Q85" t="s">
        <v>15</v>
      </c>
      <c r="R85">
        <v>34102</v>
      </c>
      <c r="S85" t="s">
        <v>63</v>
      </c>
      <c r="T85" t="s">
        <v>964</v>
      </c>
      <c r="U85">
        <v>1</v>
      </c>
      <c r="V85" t="s">
        <v>1038</v>
      </c>
      <c r="W85" t="s">
        <v>1194</v>
      </c>
      <c r="X85" t="s">
        <v>1309</v>
      </c>
      <c r="Y85">
        <v>10000</v>
      </c>
      <c r="Z85" s="2">
        <v>5</v>
      </c>
      <c r="AA85" s="2" t="s">
        <v>1238</v>
      </c>
      <c r="AB85" t="s">
        <v>1238</v>
      </c>
      <c r="AC85">
        <v>845</v>
      </c>
      <c r="AD85" t="s">
        <v>1280</v>
      </c>
      <c r="AE85">
        <v>1</v>
      </c>
      <c r="AF85" t="s">
        <v>1292</v>
      </c>
      <c r="AG85">
        <v>0</v>
      </c>
      <c r="AH85">
        <v>0</v>
      </c>
      <c r="AI85">
        <v>0</v>
      </c>
      <c r="AJ85">
        <v>2004</v>
      </c>
      <c r="AK85" t="s">
        <v>1194</v>
      </c>
      <c r="AL85">
        <v>2004</v>
      </c>
      <c r="AM85" s="4" t="s">
        <v>1238</v>
      </c>
      <c r="AN85">
        <v>1</v>
      </c>
      <c r="AO85" t="s">
        <v>1315</v>
      </c>
      <c r="AP85">
        <f t="shared" si="2"/>
        <v>0</v>
      </c>
      <c r="AQ85">
        <v>1</v>
      </c>
      <c r="AR85" t="s">
        <v>1992</v>
      </c>
      <c r="AS85" t="s">
        <v>1995</v>
      </c>
      <c r="AT85" t="s">
        <v>1996</v>
      </c>
      <c r="AU85" t="s">
        <v>1996</v>
      </c>
      <c r="AV85" t="s">
        <v>1995</v>
      </c>
      <c r="AW85" t="s">
        <v>1995</v>
      </c>
      <c r="AX85" t="s">
        <v>2009</v>
      </c>
      <c r="AY85" t="s">
        <v>1995</v>
      </c>
      <c r="AZ85">
        <v>5221</v>
      </c>
      <c r="BA85" t="s">
        <v>1194</v>
      </c>
      <c r="BB85" t="s">
        <v>1194</v>
      </c>
      <c r="BC85" s="3">
        <v>13346.491900000001</v>
      </c>
      <c r="BD85" s="3">
        <v>24835.41</v>
      </c>
      <c r="BE85" s="3">
        <v>0</v>
      </c>
      <c r="BF85" s="3">
        <v>0</v>
      </c>
      <c r="BG85" s="3">
        <v>300</v>
      </c>
      <c r="BH85" s="3">
        <v>0</v>
      </c>
      <c r="BI85" s="3">
        <v>11531</v>
      </c>
      <c r="BJ85" s="3">
        <v>50013</v>
      </c>
      <c r="BK85" s="3">
        <v>1705.5</v>
      </c>
      <c r="BL85" s="3">
        <v>51718.5</v>
      </c>
      <c r="BM85" s="2">
        <f t="shared" ca="1" si="3"/>
        <v>1</v>
      </c>
      <c r="BN85" s="3">
        <v>500000</v>
      </c>
      <c r="BO85" s="3">
        <v>250000</v>
      </c>
      <c r="BP85" s="3">
        <v>50000</v>
      </c>
      <c r="BQ85" s="3">
        <v>500000</v>
      </c>
      <c r="BR85" s="3">
        <v>500000</v>
      </c>
      <c r="BS85">
        <v>100000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 t="s">
        <v>2943</v>
      </c>
      <c r="CA85" t="s">
        <v>2939</v>
      </c>
      <c r="CB85" t="s">
        <v>2945</v>
      </c>
    </row>
    <row r="86" spans="1:80" x14ac:dyDescent="0.25">
      <c r="A86">
        <v>84</v>
      </c>
      <c r="B86" t="s">
        <v>2103</v>
      </c>
      <c r="C86" s="1">
        <v>44742</v>
      </c>
      <c r="D86" s="2">
        <v>18</v>
      </c>
      <c r="E86" t="s">
        <v>4</v>
      </c>
      <c r="F86" t="s">
        <v>1311</v>
      </c>
      <c r="G86">
        <v>0</v>
      </c>
      <c r="H86" s="3">
        <v>1900000</v>
      </c>
      <c r="I86" s="3">
        <v>150000</v>
      </c>
      <c r="J86" s="3">
        <v>0</v>
      </c>
      <c r="K86" s="3">
        <v>0</v>
      </c>
      <c r="L86" s="3" t="s">
        <v>1191</v>
      </c>
      <c r="M86">
        <v>1909618</v>
      </c>
      <c r="N86" t="s">
        <v>257</v>
      </c>
      <c r="P86" t="s">
        <v>157</v>
      </c>
      <c r="Q86" t="s">
        <v>14</v>
      </c>
      <c r="R86">
        <v>11530</v>
      </c>
      <c r="S86" t="s">
        <v>38</v>
      </c>
      <c r="T86" t="s">
        <v>968</v>
      </c>
      <c r="U86">
        <v>0</v>
      </c>
      <c r="V86" t="s">
        <v>1039</v>
      </c>
      <c r="W86" t="s">
        <v>1194</v>
      </c>
      <c r="X86" t="s">
        <v>973</v>
      </c>
      <c r="Y86">
        <v>10000</v>
      </c>
      <c r="Z86" s="2">
        <v>2</v>
      </c>
      <c r="AA86" s="2" t="s">
        <v>1238</v>
      </c>
      <c r="AB86" t="s">
        <v>1238</v>
      </c>
      <c r="AC86">
        <v>759</v>
      </c>
      <c r="AD86" t="s">
        <v>1279</v>
      </c>
      <c r="AE86">
        <v>3</v>
      </c>
      <c r="AF86" t="s">
        <v>1290</v>
      </c>
      <c r="AG86">
        <v>0</v>
      </c>
      <c r="AH86">
        <v>0</v>
      </c>
      <c r="AI86">
        <v>0</v>
      </c>
      <c r="AJ86">
        <v>1936</v>
      </c>
      <c r="AK86">
        <v>2022</v>
      </c>
      <c r="AL86">
        <v>2022</v>
      </c>
      <c r="AM86" s="4" t="s">
        <v>1238</v>
      </c>
      <c r="AN86">
        <v>1</v>
      </c>
      <c r="AO86" t="s">
        <v>1315</v>
      </c>
      <c r="AP86">
        <f t="shared" si="2"/>
        <v>0</v>
      </c>
      <c r="AQ86">
        <v>1</v>
      </c>
      <c r="AR86" t="s">
        <v>1992</v>
      </c>
      <c r="AS86" t="s">
        <v>1995</v>
      </c>
      <c r="AT86" t="s">
        <v>1995</v>
      </c>
      <c r="AU86" t="s">
        <v>1995</v>
      </c>
      <c r="AV86" t="s">
        <v>1996</v>
      </c>
      <c r="AW86" t="s">
        <v>1995</v>
      </c>
      <c r="AX86" t="s">
        <v>2006</v>
      </c>
      <c r="AY86" t="s">
        <v>1996</v>
      </c>
      <c r="AZ86">
        <v>3400</v>
      </c>
      <c r="BA86" t="s">
        <v>1194</v>
      </c>
      <c r="BB86" t="s">
        <v>1194</v>
      </c>
      <c r="BC86" s="3">
        <v>6400.8316999999997</v>
      </c>
      <c r="BD86" s="3">
        <v>2377.25</v>
      </c>
      <c r="BE86" s="3">
        <v>0</v>
      </c>
      <c r="BF86" s="3">
        <v>0</v>
      </c>
      <c r="BG86" s="3">
        <v>150</v>
      </c>
      <c r="BH86" s="3">
        <v>0</v>
      </c>
      <c r="BI86" s="3">
        <v>4396.92</v>
      </c>
      <c r="BJ86" s="3">
        <v>13325</v>
      </c>
      <c r="BK86" s="3">
        <v>300</v>
      </c>
      <c r="BL86" s="3">
        <v>13625</v>
      </c>
      <c r="BM86" s="2">
        <f t="shared" ca="1" si="3"/>
        <v>1</v>
      </c>
      <c r="BN86" s="3" t="s">
        <v>2916</v>
      </c>
      <c r="BO86" s="3">
        <v>250000</v>
      </c>
      <c r="BP86" s="3">
        <v>50000</v>
      </c>
      <c r="BQ86" s="3">
        <v>500000</v>
      </c>
      <c r="BR86" s="3">
        <v>2000000</v>
      </c>
      <c r="BS86">
        <v>100000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 t="s">
        <v>2006</v>
      </c>
      <c r="CA86" t="s">
        <v>2006</v>
      </c>
      <c r="CB86" t="s">
        <v>2945</v>
      </c>
    </row>
    <row r="87" spans="1:80" x14ac:dyDescent="0.25">
      <c r="A87">
        <v>85</v>
      </c>
      <c r="B87" t="s">
        <v>2104</v>
      </c>
      <c r="C87" s="1">
        <v>44742</v>
      </c>
      <c r="D87" s="2">
        <v>18</v>
      </c>
      <c r="E87" t="s">
        <v>4</v>
      </c>
      <c r="F87" t="s">
        <v>1311</v>
      </c>
      <c r="G87">
        <v>0</v>
      </c>
      <c r="H87" s="3">
        <v>4200000</v>
      </c>
      <c r="I87" s="3">
        <v>60000</v>
      </c>
      <c r="J87" s="3">
        <v>337085</v>
      </c>
      <c r="K87" s="3">
        <v>0</v>
      </c>
      <c r="L87" s="3" t="s">
        <v>1191</v>
      </c>
      <c r="M87">
        <v>1114146</v>
      </c>
      <c r="N87" t="s">
        <v>258</v>
      </c>
      <c r="P87" t="s">
        <v>134</v>
      </c>
      <c r="Q87" t="s">
        <v>17</v>
      </c>
      <c r="R87">
        <v>29455</v>
      </c>
      <c r="S87" t="s">
        <v>31</v>
      </c>
      <c r="T87" t="s">
        <v>969</v>
      </c>
      <c r="U87">
        <v>0</v>
      </c>
      <c r="V87" t="s">
        <v>1040</v>
      </c>
      <c r="W87" t="s">
        <v>1194</v>
      </c>
      <c r="X87" t="s">
        <v>973</v>
      </c>
      <c r="Y87">
        <v>10000</v>
      </c>
      <c r="Z87" s="2">
        <v>5</v>
      </c>
      <c r="AA87" s="2" t="s">
        <v>1238</v>
      </c>
      <c r="AB87" t="s">
        <v>1238</v>
      </c>
      <c r="AC87">
        <v>785</v>
      </c>
      <c r="AD87" t="s">
        <v>1279</v>
      </c>
      <c r="AE87">
        <v>2</v>
      </c>
      <c r="AF87" t="s">
        <v>1291</v>
      </c>
      <c r="AG87">
        <v>0</v>
      </c>
      <c r="AH87">
        <v>0</v>
      </c>
      <c r="AI87">
        <v>0</v>
      </c>
      <c r="AJ87">
        <v>2016</v>
      </c>
      <c r="AK87" t="s">
        <v>1194</v>
      </c>
      <c r="AL87" t="s">
        <v>1194</v>
      </c>
      <c r="AM87" s="4" t="s">
        <v>1238</v>
      </c>
      <c r="AN87">
        <v>0</v>
      </c>
      <c r="AO87" t="s">
        <v>1315</v>
      </c>
      <c r="AP87">
        <f t="shared" si="2"/>
        <v>0</v>
      </c>
      <c r="AQ87">
        <v>0</v>
      </c>
      <c r="AR87" t="s">
        <v>1993</v>
      </c>
      <c r="AS87" t="s">
        <v>1996</v>
      </c>
      <c r="AT87" t="s">
        <v>1996</v>
      </c>
      <c r="AU87" t="s">
        <v>1995</v>
      </c>
      <c r="AV87" t="s">
        <v>1996</v>
      </c>
      <c r="AW87" t="s">
        <v>1996</v>
      </c>
      <c r="AX87" t="s">
        <v>2007</v>
      </c>
      <c r="AY87" t="s">
        <v>1995</v>
      </c>
      <c r="AZ87">
        <v>5873</v>
      </c>
      <c r="BA87" t="s">
        <v>1194</v>
      </c>
      <c r="BB87" t="s">
        <v>1194</v>
      </c>
      <c r="BC87" s="3">
        <v>6170.5481</v>
      </c>
      <c r="BD87" s="3">
        <v>14111.13</v>
      </c>
      <c r="BE87" s="3">
        <v>0</v>
      </c>
      <c r="BF87" s="3">
        <v>0</v>
      </c>
      <c r="BG87" s="3">
        <v>150</v>
      </c>
      <c r="BH87" s="3">
        <v>0</v>
      </c>
      <c r="BI87" s="3">
        <v>24160.04</v>
      </c>
      <c r="BJ87" s="3">
        <v>44592</v>
      </c>
      <c r="BK87" s="3">
        <v>300</v>
      </c>
      <c r="BL87" s="3">
        <v>44892</v>
      </c>
      <c r="BM87" s="2">
        <f t="shared" ca="1" si="3"/>
        <v>1</v>
      </c>
      <c r="BN87" s="3">
        <v>50000</v>
      </c>
      <c r="BO87" s="3">
        <v>50000</v>
      </c>
      <c r="BP87" s="3">
        <v>100000</v>
      </c>
      <c r="BQ87" s="3">
        <v>100000</v>
      </c>
      <c r="BR87" s="3">
        <v>250000</v>
      </c>
      <c r="BS87">
        <v>50000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 t="s">
        <v>2943</v>
      </c>
      <c r="CA87" t="s">
        <v>2944</v>
      </c>
      <c r="CB87" t="s">
        <v>2945</v>
      </c>
    </row>
    <row r="88" spans="1:80" x14ac:dyDescent="0.25">
      <c r="A88">
        <v>86</v>
      </c>
      <c r="B88" t="s">
        <v>2105</v>
      </c>
      <c r="C88" s="1">
        <v>44755</v>
      </c>
      <c r="D88" s="2">
        <v>21</v>
      </c>
      <c r="E88" t="s">
        <v>4</v>
      </c>
      <c r="F88" t="s">
        <v>1311</v>
      </c>
      <c r="G88">
        <v>1</v>
      </c>
      <c r="H88" s="3">
        <v>0</v>
      </c>
      <c r="I88" s="3">
        <v>0</v>
      </c>
      <c r="J88" s="3">
        <v>1250000</v>
      </c>
      <c r="K88" s="3">
        <v>0</v>
      </c>
      <c r="L88" s="3" t="s">
        <v>1192</v>
      </c>
      <c r="M88">
        <v>1209639</v>
      </c>
      <c r="N88" t="s">
        <v>259</v>
      </c>
      <c r="O88" t="s">
        <v>260</v>
      </c>
      <c r="P88" t="s">
        <v>256</v>
      </c>
      <c r="Q88" t="s">
        <v>15</v>
      </c>
      <c r="R88">
        <v>34103</v>
      </c>
      <c r="S88" t="s">
        <v>63</v>
      </c>
      <c r="T88" t="s">
        <v>964</v>
      </c>
      <c r="U88">
        <v>1</v>
      </c>
      <c r="V88" t="s">
        <v>1038</v>
      </c>
      <c r="W88" t="s">
        <v>1194</v>
      </c>
      <c r="X88" t="s">
        <v>1309</v>
      </c>
      <c r="Y88">
        <v>10000</v>
      </c>
      <c r="Z88" s="2">
        <v>5</v>
      </c>
      <c r="AA88" s="2" t="s">
        <v>1238</v>
      </c>
      <c r="AB88" t="s">
        <v>1238</v>
      </c>
      <c r="AC88">
        <v>729</v>
      </c>
      <c r="AD88" t="s">
        <v>1281</v>
      </c>
      <c r="AE88">
        <v>1</v>
      </c>
      <c r="AF88" t="s">
        <v>1292</v>
      </c>
      <c r="AG88">
        <v>0</v>
      </c>
      <c r="AH88">
        <v>0</v>
      </c>
      <c r="AI88">
        <v>0</v>
      </c>
      <c r="AJ88">
        <v>1984</v>
      </c>
      <c r="AK88" t="s">
        <v>1194</v>
      </c>
      <c r="AL88" t="s">
        <v>1194</v>
      </c>
      <c r="AM88" s="4" t="s">
        <v>1238</v>
      </c>
      <c r="AN88">
        <v>1</v>
      </c>
      <c r="AO88" t="s">
        <v>1315</v>
      </c>
      <c r="AP88">
        <f t="shared" si="2"/>
        <v>0</v>
      </c>
      <c r="AQ88">
        <v>0</v>
      </c>
      <c r="AR88" t="s">
        <v>1993</v>
      </c>
      <c r="AS88" t="s">
        <v>1996</v>
      </c>
      <c r="AT88" t="s">
        <v>1996</v>
      </c>
      <c r="AU88" t="s">
        <v>1996</v>
      </c>
      <c r="AV88" t="s">
        <v>1995</v>
      </c>
      <c r="AW88" t="s">
        <v>1996</v>
      </c>
      <c r="AX88" t="s">
        <v>2009</v>
      </c>
      <c r="AY88" t="s">
        <v>1995</v>
      </c>
      <c r="AZ88">
        <v>3282</v>
      </c>
      <c r="BA88" t="s">
        <v>1194</v>
      </c>
      <c r="BB88" t="s">
        <v>1194</v>
      </c>
      <c r="BC88" s="3">
        <v>2593.4807000000001</v>
      </c>
      <c r="BD88" s="3">
        <v>8351.89</v>
      </c>
      <c r="BE88" s="3">
        <v>0</v>
      </c>
      <c r="BF88" s="3">
        <v>0</v>
      </c>
      <c r="BG88" s="3">
        <v>200</v>
      </c>
      <c r="BH88" s="3">
        <v>0</v>
      </c>
      <c r="BI88" s="3">
        <v>4230</v>
      </c>
      <c r="BJ88" s="3">
        <v>15375</v>
      </c>
      <c r="BK88" s="3">
        <v>150</v>
      </c>
      <c r="BL88" s="3">
        <v>15525</v>
      </c>
      <c r="BM88" s="2">
        <f t="shared" ca="1" si="3"/>
        <v>4</v>
      </c>
      <c r="BN88" s="3">
        <v>1000000</v>
      </c>
      <c r="BO88" s="3">
        <v>50000</v>
      </c>
      <c r="BP88" s="3">
        <v>50000</v>
      </c>
      <c r="BQ88" s="3">
        <v>1000000</v>
      </c>
      <c r="BR88" s="3">
        <v>50000</v>
      </c>
      <c r="BS88">
        <v>1000000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 t="s">
        <v>2938</v>
      </c>
      <c r="CA88" t="s">
        <v>2939</v>
      </c>
      <c r="CB88" t="s">
        <v>2941</v>
      </c>
    </row>
    <row r="89" spans="1:80" x14ac:dyDescent="0.25">
      <c r="A89">
        <v>87</v>
      </c>
      <c r="B89" t="s">
        <v>2106</v>
      </c>
      <c r="C89" s="1">
        <v>44972</v>
      </c>
      <c r="D89" s="2">
        <v>6</v>
      </c>
      <c r="E89" t="s">
        <v>4</v>
      </c>
      <c r="F89" t="s">
        <v>1310</v>
      </c>
      <c r="G89">
        <v>0</v>
      </c>
      <c r="H89" s="3">
        <v>3300000</v>
      </c>
      <c r="I89" s="3">
        <v>0</v>
      </c>
      <c r="J89" s="3">
        <v>0</v>
      </c>
      <c r="K89" s="3">
        <v>0</v>
      </c>
      <c r="L89" s="3" t="s">
        <v>1191</v>
      </c>
      <c r="M89">
        <v>2060621</v>
      </c>
      <c r="N89" t="s">
        <v>261</v>
      </c>
      <c r="P89" t="s">
        <v>262</v>
      </c>
      <c r="Q89" t="s">
        <v>21</v>
      </c>
      <c r="R89">
        <v>28411</v>
      </c>
      <c r="S89" t="s">
        <v>64</v>
      </c>
      <c r="T89" t="s">
        <v>967</v>
      </c>
      <c r="U89">
        <v>0</v>
      </c>
      <c r="V89" t="s">
        <v>1041</v>
      </c>
      <c r="W89" t="s">
        <v>1194</v>
      </c>
      <c r="X89" t="s">
        <v>973</v>
      </c>
      <c r="Y89">
        <v>10000</v>
      </c>
      <c r="Z89" s="2">
        <v>5</v>
      </c>
      <c r="AA89" s="2" t="s">
        <v>1238</v>
      </c>
      <c r="AB89" t="s">
        <v>1238</v>
      </c>
      <c r="AC89">
        <v>891</v>
      </c>
      <c r="AD89" t="s">
        <v>1279</v>
      </c>
      <c r="AE89">
        <v>2</v>
      </c>
      <c r="AF89" t="s">
        <v>1291</v>
      </c>
      <c r="AG89">
        <v>0</v>
      </c>
      <c r="AH89">
        <v>0</v>
      </c>
      <c r="AI89">
        <v>0</v>
      </c>
      <c r="AJ89">
        <v>2023</v>
      </c>
      <c r="AK89" t="s">
        <v>1194</v>
      </c>
      <c r="AL89" t="s">
        <v>1194</v>
      </c>
      <c r="AM89" s="4" t="s">
        <v>1304</v>
      </c>
      <c r="AN89">
        <v>0</v>
      </c>
      <c r="AO89" t="s">
        <v>1315</v>
      </c>
      <c r="AP89">
        <f t="shared" si="2"/>
        <v>0</v>
      </c>
      <c r="AQ89">
        <v>0</v>
      </c>
      <c r="AR89" t="s">
        <v>1993</v>
      </c>
      <c r="AS89" t="s">
        <v>1995</v>
      </c>
      <c r="AT89" t="s">
        <v>1995</v>
      </c>
      <c r="AU89" t="s">
        <v>1996</v>
      </c>
      <c r="AV89" t="s">
        <v>1996</v>
      </c>
      <c r="AW89" t="s">
        <v>1995</v>
      </c>
      <c r="AX89" t="s">
        <v>2006</v>
      </c>
      <c r="AY89" t="s">
        <v>1996</v>
      </c>
      <c r="AZ89">
        <v>4500</v>
      </c>
      <c r="BA89" t="s">
        <v>1194</v>
      </c>
      <c r="BB89" t="s">
        <v>1194</v>
      </c>
      <c r="BC89" s="3">
        <v>3267.9313999999999</v>
      </c>
      <c r="BD89" s="3">
        <v>17697.310000000001</v>
      </c>
      <c r="BE89" s="3">
        <v>0</v>
      </c>
      <c r="BF89" s="3">
        <v>0</v>
      </c>
      <c r="BG89" s="3">
        <v>0</v>
      </c>
      <c r="BH89" s="3">
        <v>0</v>
      </c>
      <c r="BI89" s="3">
        <v>5435</v>
      </c>
      <c r="BJ89" s="3">
        <v>26400</v>
      </c>
      <c r="BK89" s="3">
        <v>200</v>
      </c>
      <c r="BL89" s="3">
        <v>26600</v>
      </c>
      <c r="BM89" s="2">
        <f t="shared" ca="1" si="3"/>
        <v>0</v>
      </c>
      <c r="BN89" s="3" t="s">
        <v>2916</v>
      </c>
      <c r="BO89" s="3">
        <v>50000</v>
      </c>
      <c r="BP89" s="3">
        <v>100000</v>
      </c>
      <c r="BQ89" s="3">
        <v>100000</v>
      </c>
      <c r="BR89" s="3">
        <v>100000</v>
      </c>
      <c r="BS89">
        <v>1000000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 t="s">
        <v>2942</v>
      </c>
      <c r="CA89" t="s">
        <v>2006</v>
      </c>
      <c r="CB89" t="s">
        <v>2941</v>
      </c>
    </row>
    <row r="90" spans="1:80" x14ac:dyDescent="0.25">
      <c r="A90">
        <v>88</v>
      </c>
      <c r="B90" t="s">
        <v>2107</v>
      </c>
      <c r="C90" s="1">
        <v>44888</v>
      </c>
      <c r="D90" s="2">
        <v>33</v>
      </c>
      <c r="E90" t="s">
        <v>4</v>
      </c>
      <c r="F90" t="s">
        <v>1311</v>
      </c>
      <c r="G90">
        <v>1</v>
      </c>
      <c r="H90" s="3">
        <v>12800000</v>
      </c>
      <c r="I90" s="3">
        <v>250000</v>
      </c>
      <c r="J90" s="3">
        <v>0</v>
      </c>
      <c r="K90" s="3">
        <v>0</v>
      </c>
      <c r="L90" s="3" t="s">
        <v>1191</v>
      </c>
      <c r="M90">
        <v>1774787</v>
      </c>
      <c r="N90" t="s">
        <v>263</v>
      </c>
      <c r="P90" t="s">
        <v>264</v>
      </c>
      <c r="Q90" t="s">
        <v>19</v>
      </c>
      <c r="R90">
        <v>94970</v>
      </c>
      <c r="S90" t="s">
        <v>65</v>
      </c>
      <c r="T90" t="s">
        <v>976</v>
      </c>
      <c r="U90">
        <v>1</v>
      </c>
      <c r="V90">
        <v>44</v>
      </c>
      <c r="W90" t="s">
        <v>1199</v>
      </c>
      <c r="X90" t="s">
        <v>1309</v>
      </c>
      <c r="Y90">
        <v>100000</v>
      </c>
      <c r="Z90" s="2" t="s">
        <v>1194</v>
      </c>
      <c r="AA90" s="2" t="s">
        <v>1238</v>
      </c>
      <c r="AB90" t="s">
        <v>1238</v>
      </c>
      <c r="AC90" t="s">
        <v>1194</v>
      </c>
      <c r="AD90" t="s">
        <v>1279</v>
      </c>
      <c r="AE90">
        <v>4</v>
      </c>
      <c r="AF90" t="s">
        <v>1292</v>
      </c>
      <c r="AG90">
        <v>0</v>
      </c>
      <c r="AH90">
        <v>0</v>
      </c>
      <c r="AI90">
        <v>0</v>
      </c>
      <c r="AJ90">
        <v>2021</v>
      </c>
      <c r="AK90" t="s">
        <v>1194</v>
      </c>
      <c r="AL90" t="s">
        <v>1194</v>
      </c>
      <c r="AM90" s="4" t="s">
        <v>1238</v>
      </c>
      <c r="AN90">
        <v>1</v>
      </c>
      <c r="AO90" t="s">
        <v>1315</v>
      </c>
      <c r="AP90">
        <f t="shared" si="2"/>
        <v>0</v>
      </c>
      <c r="AQ90">
        <v>0</v>
      </c>
      <c r="AR90" t="s">
        <v>1993</v>
      </c>
      <c r="AS90" t="s">
        <v>1995</v>
      </c>
      <c r="AT90" t="s">
        <v>1995</v>
      </c>
      <c r="AU90" t="s">
        <v>1996</v>
      </c>
      <c r="AV90" t="s">
        <v>1996</v>
      </c>
      <c r="AW90" t="s">
        <v>1995</v>
      </c>
      <c r="AX90" t="s">
        <v>1194</v>
      </c>
      <c r="AY90" t="s">
        <v>1996</v>
      </c>
      <c r="AZ90">
        <v>4493</v>
      </c>
      <c r="BA90">
        <v>3</v>
      </c>
      <c r="BB90" t="s">
        <v>2016</v>
      </c>
      <c r="BC90" s="3">
        <v>0</v>
      </c>
      <c r="BD90" s="3">
        <v>0</v>
      </c>
      <c r="BE90" s="3">
        <v>24263.23</v>
      </c>
      <c r="BF90" s="3">
        <v>13949.03</v>
      </c>
      <c r="BG90" s="3">
        <v>0</v>
      </c>
      <c r="BH90" s="3">
        <v>0</v>
      </c>
      <c r="BI90" s="3">
        <v>40023</v>
      </c>
      <c r="BJ90" s="3">
        <v>78235.259999999995</v>
      </c>
      <c r="BK90" s="3">
        <v>0</v>
      </c>
      <c r="BL90" s="3">
        <v>78235.259999999995</v>
      </c>
      <c r="BM90" s="2">
        <f t="shared" ca="1" si="3"/>
        <v>4</v>
      </c>
      <c r="BN90" s="3">
        <v>500000</v>
      </c>
      <c r="BO90" s="3">
        <v>100000</v>
      </c>
      <c r="BP90" s="3">
        <v>200000</v>
      </c>
      <c r="BQ90" s="3">
        <v>1000000</v>
      </c>
      <c r="BR90" s="3">
        <v>500000</v>
      </c>
      <c r="BS90">
        <v>50000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 t="s">
        <v>2950</v>
      </c>
      <c r="CA90" t="s">
        <v>1194</v>
      </c>
      <c r="CB90" t="s">
        <v>2949</v>
      </c>
    </row>
    <row r="91" spans="1:80" x14ac:dyDescent="0.25">
      <c r="A91">
        <v>89</v>
      </c>
      <c r="B91" t="s">
        <v>2108</v>
      </c>
      <c r="C91" s="1">
        <v>44868</v>
      </c>
      <c r="D91" s="2">
        <v>33</v>
      </c>
      <c r="E91" t="s">
        <v>4</v>
      </c>
      <c r="F91" t="s">
        <v>1311</v>
      </c>
      <c r="G91">
        <v>1</v>
      </c>
      <c r="H91" s="3">
        <v>0</v>
      </c>
      <c r="I91" s="3">
        <v>0</v>
      </c>
      <c r="J91" s="3">
        <v>2500000</v>
      </c>
      <c r="K91" s="3">
        <v>0</v>
      </c>
      <c r="L91" s="3" t="s">
        <v>1192</v>
      </c>
      <c r="M91">
        <v>1717105</v>
      </c>
      <c r="N91" t="s">
        <v>265</v>
      </c>
      <c r="O91">
        <v>2102</v>
      </c>
      <c r="P91" t="s">
        <v>46</v>
      </c>
      <c r="Q91" t="s">
        <v>19</v>
      </c>
      <c r="R91">
        <v>90024</v>
      </c>
      <c r="S91" t="s">
        <v>46</v>
      </c>
      <c r="T91" t="s">
        <v>965</v>
      </c>
      <c r="U91">
        <v>0</v>
      </c>
      <c r="V91">
        <v>7</v>
      </c>
      <c r="W91" t="s">
        <v>1200</v>
      </c>
      <c r="X91" t="s">
        <v>973</v>
      </c>
      <c r="Y91">
        <v>10000</v>
      </c>
      <c r="Z91" s="2" t="s">
        <v>1194</v>
      </c>
      <c r="AA91" s="2" t="s">
        <v>1238</v>
      </c>
      <c r="AB91" t="s">
        <v>1238</v>
      </c>
      <c r="AC91" t="s">
        <v>1194</v>
      </c>
      <c r="AD91" t="s">
        <v>1281</v>
      </c>
      <c r="AE91">
        <v>1</v>
      </c>
      <c r="AF91" t="s">
        <v>1290</v>
      </c>
      <c r="AG91">
        <v>0</v>
      </c>
      <c r="AH91">
        <v>0</v>
      </c>
      <c r="AI91">
        <v>0</v>
      </c>
      <c r="AJ91">
        <v>1989</v>
      </c>
      <c r="AK91" t="s">
        <v>1194</v>
      </c>
      <c r="AL91">
        <v>2015</v>
      </c>
      <c r="AM91" s="4" t="s">
        <v>1238</v>
      </c>
      <c r="AN91">
        <v>0</v>
      </c>
      <c r="AO91" t="s">
        <v>1316</v>
      </c>
      <c r="AP91">
        <f t="shared" si="2"/>
        <v>0</v>
      </c>
      <c r="AQ91">
        <v>0</v>
      </c>
      <c r="AR91" t="s">
        <v>1993</v>
      </c>
      <c r="AS91" t="s">
        <v>1995</v>
      </c>
      <c r="AT91" t="s">
        <v>1996</v>
      </c>
      <c r="AU91" t="s">
        <v>1995</v>
      </c>
      <c r="AV91" t="s">
        <v>1996</v>
      </c>
      <c r="AW91" t="s">
        <v>1995</v>
      </c>
      <c r="AX91" t="s">
        <v>1194</v>
      </c>
      <c r="AY91" t="s">
        <v>1996</v>
      </c>
      <c r="AZ91">
        <v>4733</v>
      </c>
      <c r="BA91">
        <v>3</v>
      </c>
      <c r="BB91" t="s">
        <v>2014</v>
      </c>
      <c r="BC91" s="3">
        <v>0</v>
      </c>
      <c r="BD91" s="3">
        <v>0</v>
      </c>
      <c r="BE91" s="3">
        <v>4672.09</v>
      </c>
      <c r="BF91" s="3">
        <v>3519.36</v>
      </c>
      <c r="BG91" s="3">
        <v>150</v>
      </c>
      <c r="BH91" s="3">
        <v>0</v>
      </c>
      <c r="BI91" s="3">
        <v>10409</v>
      </c>
      <c r="BJ91" s="3">
        <v>18750.45</v>
      </c>
      <c r="BK91" s="3">
        <v>0</v>
      </c>
      <c r="BL91" s="3">
        <v>18750.45</v>
      </c>
      <c r="BM91" s="2">
        <f t="shared" ca="1" si="3"/>
        <v>1</v>
      </c>
      <c r="BN91" s="3">
        <v>100000</v>
      </c>
      <c r="BO91" s="3">
        <v>25000</v>
      </c>
      <c r="BP91" s="3">
        <v>100000</v>
      </c>
      <c r="BQ91" s="3">
        <v>2000000</v>
      </c>
      <c r="BR91" s="3">
        <v>50000</v>
      </c>
      <c r="BS91">
        <v>250000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 t="s">
        <v>2951</v>
      </c>
      <c r="CA91" t="s">
        <v>1194</v>
      </c>
      <c r="CB91" t="s">
        <v>2952</v>
      </c>
    </row>
    <row r="92" spans="1:80" x14ac:dyDescent="0.25">
      <c r="A92">
        <v>90</v>
      </c>
      <c r="B92" t="s">
        <v>2109</v>
      </c>
      <c r="C92" s="1">
        <v>44800</v>
      </c>
      <c r="D92" s="2">
        <v>24</v>
      </c>
      <c r="E92" t="s">
        <v>4</v>
      </c>
      <c r="F92" t="s">
        <v>1311</v>
      </c>
      <c r="G92">
        <v>1</v>
      </c>
      <c r="H92" s="3">
        <v>29100000</v>
      </c>
      <c r="I92" s="3">
        <v>500000</v>
      </c>
      <c r="J92" s="3">
        <v>0</v>
      </c>
      <c r="K92" s="3">
        <v>0</v>
      </c>
      <c r="L92" s="3" t="s">
        <v>1191</v>
      </c>
      <c r="M92">
        <v>1890662</v>
      </c>
      <c r="N92" t="s">
        <v>266</v>
      </c>
      <c r="P92" t="s">
        <v>267</v>
      </c>
      <c r="Q92" t="s">
        <v>19</v>
      </c>
      <c r="R92">
        <v>94027</v>
      </c>
      <c r="S92" t="s">
        <v>66</v>
      </c>
      <c r="T92" t="s">
        <v>975</v>
      </c>
      <c r="U92">
        <v>0</v>
      </c>
      <c r="V92">
        <v>48</v>
      </c>
      <c r="W92" t="s">
        <v>1201</v>
      </c>
      <c r="X92" t="s">
        <v>973</v>
      </c>
      <c r="Y92">
        <v>25000</v>
      </c>
      <c r="Z92" s="2" t="s">
        <v>1194</v>
      </c>
      <c r="AA92" s="2" t="s">
        <v>1238</v>
      </c>
      <c r="AB92" t="s">
        <v>1238</v>
      </c>
      <c r="AC92" t="s">
        <v>1194</v>
      </c>
      <c r="AD92" t="s">
        <v>1279</v>
      </c>
      <c r="AE92">
        <v>2</v>
      </c>
      <c r="AF92" t="s">
        <v>1290</v>
      </c>
      <c r="AG92">
        <v>0</v>
      </c>
      <c r="AH92">
        <v>0</v>
      </c>
      <c r="AI92">
        <v>0</v>
      </c>
      <c r="AJ92">
        <v>2021</v>
      </c>
      <c r="AK92" t="s">
        <v>1194</v>
      </c>
      <c r="AL92" t="s">
        <v>1194</v>
      </c>
      <c r="AM92" s="4" t="s">
        <v>1238</v>
      </c>
      <c r="AN92">
        <v>1</v>
      </c>
      <c r="AO92" t="s">
        <v>1317</v>
      </c>
      <c r="AP92">
        <f t="shared" si="2"/>
        <v>0</v>
      </c>
      <c r="AQ92">
        <v>1</v>
      </c>
      <c r="AR92" t="s">
        <v>1992</v>
      </c>
      <c r="AS92" t="s">
        <v>1996</v>
      </c>
      <c r="AT92" t="s">
        <v>1996</v>
      </c>
      <c r="AU92" t="s">
        <v>1996</v>
      </c>
      <c r="AV92" t="s">
        <v>1996</v>
      </c>
      <c r="AW92" t="s">
        <v>1996</v>
      </c>
      <c r="AX92" t="s">
        <v>1194</v>
      </c>
      <c r="AY92" t="s">
        <v>1996</v>
      </c>
      <c r="AZ92">
        <v>19267</v>
      </c>
      <c r="BA92">
        <v>3</v>
      </c>
      <c r="BB92" t="s">
        <v>2016</v>
      </c>
      <c r="BC92" s="3">
        <v>0</v>
      </c>
      <c r="BD92" s="3">
        <v>0</v>
      </c>
      <c r="BE92" s="3">
        <v>90046.13</v>
      </c>
      <c r="BF92" s="3">
        <v>47418.74</v>
      </c>
      <c r="BG92" s="3">
        <v>150</v>
      </c>
      <c r="BH92" s="3">
        <v>0</v>
      </c>
      <c r="BI92" s="3">
        <v>84390</v>
      </c>
      <c r="BJ92" s="3">
        <v>222004.87</v>
      </c>
      <c r="BK92" s="3">
        <v>0</v>
      </c>
      <c r="BL92" s="3">
        <v>222004.87</v>
      </c>
      <c r="BM92" s="2">
        <f t="shared" ca="1" si="3"/>
        <v>0</v>
      </c>
      <c r="BN92" s="3" t="s">
        <v>2916</v>
      </c>
      <c r="BO92" s="3">
        <v>1000000</v>
      </c>
      <c r="BP92" s="3">
        <v>100000</v>
      </c>
      <c r="BQ92" s="3">
        <v>100000</v>
      </c>
      <c r="BR92" s="3" t="s">
        <v>2916</v>
      </c>
      <c r="BS92">
        <v>250000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 t="s">
        <v>2953</v>
      </c>
      <c r="CA92" t="s">
        <v>1194</v>
      </c>
      <c r="CB92" t="s">
        <v>2949</v>
      </c>
    </row>
    <row r="93" spans="1:80" x14ac:dyDescent="0.25">
      <c r="A93">
        <v>91</v>
      </c>
      <c r="B93" t="s">
        <v>2110</v>
      </c>
      <c r="C93" s="1">
        <v>44867</v>
      </c>
      <c r="D93" s="2">
        <v>33</v>
      </c>
      <c r="E93" t="s">
        <v>4</v>
      </c>
      <c r="F93" t="s">
        <v>1311</v>
      </c>
      <c r="G93">
        <v>0</v>
      </c>
      <c r="H93" s="3">
        <v>2500000</v>
      </c>
      <c r="I93" s="3">
        <v>32000</v>
      </c>
      <c r="J93" s="3">
        <v>325000</v>
      </c>
      <c r="K93" s="3">
        <v>0</v>
      </c>
      <c r="L93" s="3" t="s">
        <v>1191</v>
      </c>
      <c r="M93">
        <v>1042145</v>
      </c>
      <c r="N93" t="s">
        <v>268</v>
      </c>
      <c r="P93" t="s">
        <v>134</v>
      </c>
      <c r="Q93" t="s">
        <v>17</v>
      </c>
      <c r="R93">
        <v>29455</v>
      </c>
      <c r="S93" t="s">
        <v>31</v>
      </c>
      <c r="T93" t="s">
        <v>969</v>
      </c>
      <c r="U93">
        <v>0</v>
      </c>
      <c r="V93" t="s">
        <v>1040</v>
      </c>
      <c r="W93" t="s">
        <v>1194</v>
      </c>
      <c r="X93" t="s">
        <v>973</v>
      </c>
      <c r="Y93">
        <v>10000</v>
      </c>
      <c r="Z93" s="2">
        <v>5</v>
      </c>
      <c r="AA93" s="2" t="s">
        <v>1238</v>
      </c>
      <c r="AB93" t="s">
        <v>1238</v>
      </c>
      <c r="AC93">
        <v>761</v>
      </c>
      <c r="AD93" t="s">
        <v>1279</v>
      </c>
      <c r="AE93">
        <v>2</v>
      </c>
      <c r="AF93" t="s">
        <v>1290</v>
      </c>
      <c r="AG93">
        <v>0</v>
      </c>
      <c r="AH93">
        <v>0</v>
      </c>
      <c r="AI93">
        <v>0</v>
      </c>
      <c r="AJ93">
        <v>2006</v>
      </c>
      <c r="AK93" t="s">
        <v>1194</v>
      </c>
      <c r="AL93" t="s">
        <v>1194</v>
      </c>
      <c r="AM93" s="4" t="s">
        <v>1238</v>
      </c>
      <c r="AN93">
        <v>1</v>
      </c>
      <c r="AO93" t="s">
        <v>1315</v>
      </c>
      <c r="AP93">
        <f t="shared" si="2"/>
        <v>0</v>
      </c>
      <c r="AQ93">
        <v>0</v>
      </c>
      <c r="AR93" t="s">
        <v>1993</v>
      </c>
      <c r="AS93" t="s">
        <v>1996</v>
      </c>
      <c r="AT93" t="s">
        <v>1996</v>
      </c>
      <c r="AU93" t="s">
        <v>1996</v>
      </c>
      <c r="AV93" t="s">
        <v>1996</v>
      </c>
      <c r="AW93" t="s">
        <v>1996</v>
      </c>
      <c r="AX93" t="s">
        <v>2007</v>
      </c>
      <c r="AY93" t="s">
        <v>1995</v>
      </c>
      <c r="AZ93">
        <v>3456</v>
      </c>
      <c r="BA93" t="s">
        <v>1194</v>
      </c>
      <c r="BB93" t="s">
        <v>1194</v>
      </c>
      <c r="BC93" s="3">
        <v>4390.7614999999996</v>
      </c>
      <c r="BD93" s="3">
        <v>10054.709999999999</v>
      </c>
      <c r="BE93" s="3">
        <v>0</v>
      </c>
      <c r="BF93" s="3">
        <v>0</v>
      </c>
      <c r="BG93" s="3">
        <v>150</v>
      </c>
      <c r="BH93" s="3">
        <v>0</v>
      </c>
      <c r="BI93" s="3">
        <v>8261</v>
      </c>
      <c r="BJ93" s="3">
        <v>22856</v>
      </c>
      <c r="BK93" s="3">
        <v>2193.2399999999998</v>
      </c>
      <c r="BL93" s="3">
        <v>25049.24</v>
      </c>
      <c r="BM93" s="2">
        <f t="shared" ca="1" si="3"/>
        <v>1</v>
      </c>
      <c r="BN93" s="3">
        <v>2000000</v>
      </c>
      <c r="BO93" s="3">
        <v>500000</v>
      </c>
      <c r="BP93" s="3">
        <v>200000</v>
      </c>
      <c r="BQ93" s="3">
        <v>1000000</v>
      </c>
      <c r="BR93" s="3">
        <v>50000</v>
      </c>
      <c r="BS93">
        <v>1000000</v>
      </c>
      <c r="BT93">
        <v>0</v>
      </c>
      <c r="BU93">
        <v>1</v>
      </c>
      <c r="BV93">
        <v>0</v>
      </c>
      <c r="BW93">
        <v>0</v>
      </c>
      <c r="BX93">
        <v>1</v>
      </c>
      <c r="BY93">
        <v>0</v>
      </c>
      <c r="BZ93" t="s">
        <v>2938</v>
      </c>
      <c r="CA93" t="s">
        <v>2939</v>
      </c>
      <c r="CB93" t="s">
        <v>2945</v>
      </c>
    </row>
    <row r="94" spans="1:80" x14ac:dyDescent="0.25">
      <c r="A94">
        <v>92</v>
      </c>
      <c r="B94" t="s">
        <v>2111</v>
      </c>
      <c r="C94" s="1">
        <v>44756</v>
      </c>
      <c r="D94" s="2">
        <v>21</v>
      </c>
      <c r="E94" t="s">
        <v>4</v>
      </c>
      <c r="F94" t="s">
        <v>1311</v>
      </c>
      <c r="G94">
        <v>0</v>
      </c>
      <c r="H94" s="3">
        <v>4100000</v>
      </c>
      <c r="I94" s="3">
        <v>350000</v>
      </c>
      <c r="J94" s="3">
        <v>500000</v>
      </c>
      <c r="K94" s="3">
        <v>0</v>
      </c>
      <c r="L94" s="3" t="s">
        <v>1191</v>
      </c>
      <c r="M94">
        <v>342679</v>
      </c>
      <c r="N94" t="s">
        <v>269</v>
      </c>
      <c r="P94" t="s">
        <v>178</v>
      </c>
      <c r="Q94" t="s">
        <v>18</v>
      </c>
      <c r="R94">
        <v>77024</v>
      </c>
      <c r="S94" t="s">
        <v>44</v>
      </c>
      <c r="T94" t="s">
        <v>968</v>
      </c>
      <c r="U94">
        <v>0</v>
      </c>
      <c r="V94" t="s">
        <v>1007</v>
      </c>
      <c r="W94" t="s">
        <v>1195</v>
      </c>
      <c r="X94" t="s">
        <v>973</v>
      </c>
      <c r="Y94">
        <v>100000</v>
      </c>
      <c r="Z94" s="2">
        <v>3</v>
      </c>
      <c r="AA94" s="2">
        <v>0</v>
      </c>
      <c r="AB94" t="s">
        <v>1238</v>
      </c>
      <c r="AC94">
        <v>852</v>
      </c>
      <c r="AD94" t="s">
        <v>1279</v>
      </c>
      <c r="AE94">
        <v>1</v>
      </c>
      <c r="AF94" t="s">
        <v>1290</v>
      </c>
      <c r="AG94">
        <v>1</v>
      </c>
      <c r="AH94">
        <v>0</v>
      </c>
      <c r="AI94">
        <v>1</v>
      </c>
      <c r="AJ94">
        <v>1992</v>
      </c>
      <c r="AK94" t="s">
        <v>1194</v>
      </c>
      <c r="AL94" t="s">
        <v>1194</v>
      </c>
      <c r="AM94" s="4" t="s">
        <v>1238</v>
      </c>
      <c r="AN94">
        <v>0</v>
      </c>
      <c r="AO94" t="s">
        <v>1315</v>
      </c>
      <c r="AP94">
        <f t="shared" si="2"/>
        <v>1</v>
      </c>
      <c r="AQ94">
        <v>0</v>
      </c>
      <c r="AR94" t="s">
        <v>1993</v>
      </c>
      <c r="AS94" t="s">
        <v>1995</v>
      </c>
      <c r="AT94" t="s">
        <v>1995</v>
      </c>
      <c r="AU94" t="s">
        <v>1995</v>
      </c>
      <c r="AV94" t="s">
        <v>1995</v>
      </c>
      <c r="AW94" t="s">
        <v>1995</v>
      </c>
      <c r="AX94" t="s">
        <v>2006</v>
      </c>
      <c r="AY94" t="s">
        <v>1996</v>
      </c>
      <c r="AZ94">
        <v>6726</v>
      </c>
      <c r="BA94" t="s">
        <v>1194</v>
      </c>
      <c r="BB94" t="s">
        <v>1194</v>
      </c>
      <c r="BC94" s="3">
        <v>8042.6828999999998</v>
      </c>
      <c r="BD94" s="3">
        <v>11721.74</v>
      </c>
      <c r="BE94" s="3">
        <v>0</v>
      </c>
      <c r="BF94" s="3">
        <v>0</v>
      </c>
      <c r="BG94" s="3">
        <v>150</v>
      </c>
      <c r="BH94" s="3">
        <v>0</v>
      </c>
      <c r="BI94" s="3">
        <v>9756</v>
      </c>
      <c r="BJ94" s="3">
        <v>29670</v>
      </c>
      <c r="BK94" s="3">
        <v>0</v>
      </c>
      <c r="BL94" s="3">
        <v>29670</v>
      </c>
      <c r="BM94" s="2">
        <f t="shared" ca="1" si="3"/>
        <v>4</v>
      </c>
      <c r="BN94" s="3" t="s">
        <v>2916</v>
      </c>
      <c r="BO94" s="3">
        <v>1000000</v>
      </c>
      <c r="BP94" s="3">
        <v>50000</v>
      </c>
      <c r="BQ94" s="3">
        <v>50000</v>
      </c>
      <c r="BR94" s="3">
        <v>2000000</v>
      </c>
      <c r="BS94">
        <v>250000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 t="s">
        <v>2943</v>
      </c>
      <c r="CA94" t="s">
        <v>2006</v>
      </c>
      <c r="CB94" t="s">
        <v>2941</v>
      </c>
    </row>
    <row r="95" spans="1:80" x14ac:dyDescent="0.25">
      <c r="A95">
        <v>93</v>
      </c>
      <c r="B95" t="s">
        <v>2112</v>
      </c>
      <c r="C95" s="1">
        <v>44757</v>
      </c>
      <c r="D95" s="2">
        <v>21</v>
      </c>
      <c r="E95" t="s">
        <v>4</v>
      </c>
      <c r="F95" t="s">
        <v>1311</v>
      </c>
      <c r="G95">
        <v>0</v>
      </c>
      <c r="H95" s="3">
        <v>3600000</v>
      </c>
      <c r="I95" s="3">
        <v>0</v>
      </c>
      <c r="J95" s="3">
        <v>0</v>
      </c>
      <c r="K95" s="3">
        <v>0</v>
      </c>
      <c r="L95" s="3" t="s">
        <v>1191</v>
      </c>
      <c r="M95">
        <v>1950917</v>
      </c>
      <c r="N95" t="s">
        <v>270</v>
      </c>
      <c r="P95" t="s">
        <v>271</v>
      </c>
      <c r="Q95" t="s">
        <v>14</v>
      </c>
      <c r="R95">
        <v>11201</v>
      </c>
      <c r="S95" t="s">
        <v>67</v>
      </c>
      <c r="T95" t="s">
        <v>963</v>
      </c>
      <c r="U95">
        <v>0</v>
      </c>
      <c r="V95" t="s">
        <v>1042</v>
      </c>
      <c r="W95" t="s">
        <v>1194</v>
      </c>
      <c r="X95" t="s">
        <v>973</v>
      </c>
      <c r="Y95">
        <v>100000</v>
      </c>
      <c r="Z95" s="2">
        <v>3</v>
      </c>
      <c r="AA95" s="2" t="s">
        <v>1238</v>
      </c>
      <c r="AB95" t="s">
        <v>1238</v>
      </c>
      <c r="AC95">
        <v>698</v>
      </c>
      <c r="AD95" t="s">
        <v>1283</v>
      </c>
      <c r="AE95">
        <v>1</v>
      </c>
      <c r="AF95" t="s">
        <v>1290</v>
      </c>
      <c r="AG95">
        <v>0</v>
      </c>
      <c r="AH95">
        <v>0</v>
      </c>
      <c r="AI95">
        <v>0</v>
      </c>
      <c r="AJ95">
        <v>1899</v>
      </c>
      <c r="AK95">
        <v>1983</v>
      </c>
      <c r="AL95">
        <v>2020</v>
      </c>
      <c r="AM95" s="4" t="s">
        <v>1238</v>
      </c>
      <c r="AN95">
        <v>1</v>
      </c>
      <c r="AO95" t="s">
        <v>1315</v>
      </c>
      <c r="AP95">
        <f t="shared" si="2"/>
        <v>0</v>
      </c>
      <c r="AQ95">
        <v>0</v>
      </c>
      <c r="AR95" t="s">
        <v>1993</v>
      </c>
      <c r="AS95" t="s">
        <v>1996</v>
      </c>
      <c r="AT95" t="s">
        <v>1996</v>
      </c>
      <c r="AU95" t="s">
        <v>1996</v>
      </c>
      <c r="AV95" t="s">
        <v>1995</v>
      </c>
      <c r="AW95" t="s">
        <v>1996</v>
      </c>
      <c r="AX95" t="s">
        <v>2006</v>
      </c>
      <c r="AY95" t="s">
        <v>1996</v>
      </c>
      <c r="AZ95">
        <v>2400</v>
      </c>
      <c r="BA95" t="s">
        <v>1194</v>
      </c>
      <c r="BB95" t="s">
        <v>1194</v>
      </c>
      <c r="BC95" s="3">
        <v>17828.271199999999</v>
      </c>
      <c r="BD95" s="3">
        <v>4058.08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21886</v>
      </c>
      <c r="BK95" s="3">
        <v>0</v>
      </c>
      <c r="BL95" s="3">
        <v>21886</v>
      </c>
      <c r="BM95" s="2">
        <f t="shared" ca="1" si="3"/>
        <v>1</v>
      </c>
      <c r="BN95" s="3" t="s">
        <v>2916</v>
      </c>
      <c r="BO95" s="3">
        <v>500000</v>
      </c>
      <c r="BP95" s="3" t="s">
        <v>2922</v>
      </c>
      <c r="BQ95" s="3">
        <v>2000000</v>
      </c>
      <c r="BR95" s="3">
        <v>100000</v>
      </c>
      <c r="BS95">
        <v>100000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 t="s">
        <v>2942</v>
      </c>
      <c r="CA95" t="s">
        <v>2006</v>
      </c>
      <c r="CB95" t="s">
        <v>2006</v>
      </c>
    </row>
    <row r="96" spans="1:80" x14ac:dyDescent="0.25">
      <c r="A96">
        <v>94</v>
      </c>
      <c r="B96" t="s">
        <v>2113</v>
      </c>
      <c r="C96" s="1">
        <v>44849</v>
      </c>
      <c r="D96" s="2">
        <v>30</v>
      </c>
      <c r="E96" t="s">
        <v>4</v>
      </c>
      <c r="F96" t="s">
        <v>1311</v>
      </c>
      <c r="G96">
        <v>1</v>
      </c>
      <c r="H96" s="3">
        <v>7700000</v>
      </c>
      <c r="I96" s="3">
        <v>645000</v>
      </c>
      <c r="J96" s="3">
        <v>0</v>
      </c>
      <c r="K96" s="3">
        <v>0</v>
      </c>
      <c r="L96" s="3" t="s">
        <v>1191</v>
      </c>
      <c r="M96">
        <v>1755344</v>
      </c>
      <c r="N96" t="s">
        <v>272</v>
      </c>
      <c r="P96" t="s">
        <v>273</v>
      </c>
      <c r="Q96" t="s">
        <v>15</v>
      </c>
      <c r="R96">
        <v>34102</v>
      </c>
      <c r="S96" t="s">
        <v>63</v>
      </c>
      <c r="T96" t="s">
        <v>964</v>
      </c>
      <c r="U96">
        <v>1</v>
      </c>
      <c r="V96" t="s">
        <v>1038</v>
      </c>
      <c r="W96" t="s">
        <v>1194</v>
      </c>
      <c r="X96" t="s">
        <v>1309</v>
      </c>
      <c r="Y96">
        <v>25000</v>
      </c>
      <c r="Z96" s="2">
        <v>5</v>
      </c>
      <c r="AA96" s="2" t="s">
        <v>1238</v>
      </c>
      <c r="AB96" t="s">
        <v>1238</v>
      </c>
      <c r="AC96">
        <v>826</v>
      </c>
      <c r="AD96" t="s">
        <v>1280</v>
      </c>
      <c r="AE96">
        <v>1</v>
      </c>
      <c r="AF96" t="s">
        <v>1291</v>
      </c>
      <c r="AG96">
        <v>0</v>
      </c>
      <c r="AH96">
        <v>0</v>
      </c>
      <c r="AI96">
        <v>0</v>
      </c>
      <c r="AJ96">
        <v>2021</v>
      </c>
      <c r="AK96" t="s">
        <v>1194</v>
      </c>
      <c r="AL96" t="s">
        <v>1194</v>
      </c>
      <c r="AM96" s="4" t="s">
        <v>1238</v>
      </c>
      <c r="AN96">
        <v>0</v>
      </c>
      <c r="AO96" t="s">
        <v>1315</v>
      </c>
      <c r="AP96">
        <f t="shared" si="2"/>
        <v>0</v>
      </c>
      <c r="AQ96">
        <v>0</v>
      </c>
      <c r="AR96" t="s">
        <v>1993</v>
      </c>
      <c r="AS96" t="s">
        <v>1995</v>
      </c>
      <c r="AT96" t="s">
        <v>1995</v>
      </c>
      <c r="AU96" t="s">
        <v>1996</v>
      </c>
      <c r="AV96" t="s">
        <v>1996</v>
      </c>
      <c r="AW96" t="s">
        <v>1996</v>
      </c>
      <c r="AX96" t="s">
        <v>2007</v>
      </c>
      <c r="AY96" t="s">
        <v>1995</v>
      </c>
      <c r="AZ96">
        <v>8053</v>
      </c>
      <c r="BA96" t="s">
        <v>1194</v>
      </c>
      <c r="BB96" t="s">
        <v>1194</v>
      </c>
      <c r="BC96" s="3">
        <v>13417.7547</v>
      </c>
      <c r="BD96" s="3">
        <v>23242.37</v>
      </c>
      <c r="BE96" s="3">
        <v>0</v>
      </c>
      <c r="BF96" s="3">
        <v>0</v>
      </c>
      <c r="BG96" s="3">
        <v>300</v>
      </c>
      <c r="BH96" s="3">
        <v>0</v>
      </c>
      <c r="BI96" s="3">
        <v>39814</v>
      </c>
      <c r="BJ96" s="3">
        <v>76774</v>
      </c>
      <c r="BK96" s="3">
        <v>300</v>
      </c>
      <c r="BL96" s="3">
        <v>77074</v>
      </c>
      <c r="BM96" s="2">
        <f t="shared" ca="1" si="3"/>
        <v>3</v>
      </c>
      <c r="BN96" s="3">
        <v>500000</v>
      </c>
      <c r="BO96" s="3">
        <v>250000</v>
      </c>
      <c r="BP96" s="3">
        <v>100000</v>
      </c>
      <c r="BQ96" s="3">
        <v>250000</v>
      </c>
      <c r="BR96" s="3" t="s">
        <v>2916</v>
      </c>
      <c r="BS96">
        <v>1000000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 t="s">
        <v>2942</v>
      </c>
      <c r="CA96" t="s">
        <v>2939</v>
      </c>
      <c r="CB96" t="s">
        <v>2941</v>
      </c>
    </row>
    <row r="97" spans="1:80" x14ac:dyDescent="0.25">
      <c r="A97">
        <v>95</v>
      </c>
      <c r="B97" t="s">
        <v>2114</v>
      </c>
      <c r="C97" s="1">
        <v>44908</v>
      </c>
      <c r="D97" s="2">
        <v>36</v>
      </c>
      <c r="E97" t="s">
        <v>4</v>
      </c>
      <c r="F97" t="s">
        <v>1311</v>
      </c>
      <c r="G97">
        <v>1</v>
      </c>
      <c r="H97" s="3">
        <v>2400000</v>
      </c>
      <c r="I97" s="3">
        <v>480000</v>
      </c>
      <c r="J97" s="3">
        <v>0</v>
      </c>
      <c r="K97" s="3">
        <v>0</v>
      </c>
      <c r="L97" s="3" t="s">
        <v>1191</v>
      </c>
      <c r="M97">
        <v>1625479</v>
      </c>
      <c r="N97" t="s">
        <v>274</v>
      </c>
      <c r="P97" t="s">
        <v>275</v>
      </c>
      <c r="Q97" t="s">
        <v>15</v>
      </c>
      <c r="R97">
        <v>34957</v>
      </c>
      <c r="S97" t="s">
        <v>61</v>
      </c>
      <c r="T97" t="s">
        <v>966</v>
      </c>
      <c r="U97">
        <v>0</v>
      </c>
      <c r="V97" t="s">
        <v>1043</v>
      </c>
      <c r="W97" t="s">
        <v>1194</v>
      </c>
      <c r="X97" t="s">
        <v>973</v>
      </c>
      <c r="Y97">
        <v>10000</v>
      </c>
      <c r="Z97" s="2">
        <v>5</v>
      </c>
      <c r="AA97" s="2" t="s">
        <v>1238</v>
      </c>
      <c r="AB97" t="s">
        <v>1238</v>
      </c>
      <c r="AC97">
        <v>739</v>
      </c>
      <c r="AD97" t="s">
        <v>1280</v>
      </c>
      <c r="AE97">
        <v>3</v>
      </c>
      <c r="AF97" t="s">
        <v>1290</v>
      </c>
      <c r="AG97">
        <v>0</v>
      </c>
      <c r="AH97">
        <v>0</v>
      </c>
      <c r="AI97">
        <v>0</v>
      </c>
      <c r="AJ97">
        <v>2021</v>
      </c>
      <c r="AK97" t="s">
        <v>1194</v>
      </c>
      <c r="AL97" t="s">
        <v>1194</v>
      </c>
      <c r="AM97" s="4" t="s">
        <v>1238</v>
      </c>
      <c r="AN97">
        <v>0</v>
      </c>
      <c r="AO97" t="s">
        <v>1316</v>
      </c>
      <c r="AP97">
        <f t="shared" si="2"/>
        <v>0</v>
      </c>
      <c r="AQ97">
        <v>0</v>
      </c>
      <c r="AR97" t="s">
        <v>1993</v>
      </c>
      <c r="AS97" t="s">
        <v>1995</v>
      </c>
      <c r="AT97" t="s">
        <v>1995</v>
      </c>
      <c r="AU97" t="s">
        <v>1995</v>
      </c>
      <c r="AV97" t="s">
        <v>1996</v>
      </c>
      <c r="AW97" t="s">
        <v>1996</v>
      </c>
      <c r="AX97" t="s">
        <v>2009</v>
      </c>
      <c r="AY97" t="s">
        <v>1995</v>
      </c>
      <c r="AZ97">
        <v>4548</v>
      </c>
      <c r="BA97" t="s">
        <v>1194</v>
      </c>
      <c r="BB97" t="s">
        <v>1194</v>
      </c>
      <c r="BC97" s="3">
        <v>5190.4147999999996</v>
      </c>
      <c r="BD97" s="3">
        <v>9777.76</v>
      </c>
      <c r="BE97" s="3">
        <v>0</v>
      </c>
      <c r="BF97" s="3">
        <v>0</v>
      </c>
      <c r="BG97" s="3">
        <v>300</v>
      </c>
      <c r="BH97" s="3">
        <v>0</v>
      </c>
      <c r="BI97" s="3">
        <v>10350</v>
      </c>
      <c r="BJ97" s="3">
        <v>25618</v>
      </c>
      <c r="BK97" s="3">
        <v>0</v>
      </c>
      <c r="BL97" s="3">
        <v>25618</v>
      </c>
      <c r="BM97" s="2">
        <f t="shared" ca="1" si="3"/>
        <v>1</v>
      </c>
      <c r="BN97" s="3" t="s">
        <v>2916</v>
      </c>
      <c r="BO97" s="3">
        <v>500000</v>
      </c>
      <c r="BP97" s="3">
        <v>50000</v>
      </c>
      <c r="BQ97" s="3">
        <v>500000</v>
      </c>
      <c r="BR97" s="3" t="s">
        <v>2916</v>
      </c>
      <c r="BS97">
        <v>500000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 t="s">
        <v>2940</v>
      </c>
      <c r="CA97" t="s">
        <v>2939</v>
      </c>
      <c r="CB97" t="s">
        <v>2941</v>
      </c>
    </row>
    <row r="98" spans="1:80" x14ac:dyDescent="0.25">
      <c r="A98">
        <v>96</v>
      </c>
      <c r="B98" t="s">
        <v>2115</v>
      </c>
      <c r="C98" s="1">
        <v>44722</v>
      </c>
      <c r="D98" s="2">
        <v>18</v>
      </c>
      <c r="E98" t="s">
        <v>4</v>
      </c>
      <c r="F98" t="s">
        <v>1311</v>
      </c>
      <c r="G98">
        <v>0</v>
      </c>
      <c r="H98" s="3">
        <v>10000000</v>
      </c>
      <c r="I98" s="3">
        <v>500000</v>
      </c>
      <c r="J98" s="3">
        <v>0</v>
      </c>
      <c r="K98" s="3">
        <v>0</v>
      </c>
      <c r="L98" s="3" t="s">
        <v>1191</v>
      </c>
      <c r="M98">
        <v>1406732</v>
      </c>
      <c r="N98" t="s">
        <v>276</v>
      </c>
      <c r="P98" t="s">
        <v>256</v>
      </c>
      <c r="Q98" t="s">
        <v>15</v>
      </c>
      <c r="R98">
        <v>34102</v>
      </c>
      <c r="S98" t="s">
        <v>63</v>
      </c>
      <c r="T98" t="s">
        <v>967</v>
      </c>
      <c r="U98">
        <v>1</v>
      </c>
      <c r="V98" t="s">
        <v>1044</v>
      </c>
      <c r="W98" t="s">
        <v>1194</v>
      </c>
      <c r="X98" t="s">
        <v>1309</v>
      </c>
      <c r="Y98">
        <v>50000</v>
      </c>
      <c r="Z98" s="2">
        <v>25</v>
      </c>
      <c r="AA98" s="2" t="s">
        <v>1238</v>
      </c>
      <c r="AB98" t="s">
        <v>1238</v>
      </c>
      <c r="AC98">
        <v>689</v>
      </c>
      <c r="AD98" t="s">
        <v>1280</v>
      </c>
      <c r="AE98">
        <v>1</v>
      </c>
      <c r="AF98" t="s">
        <v>1290</v>
      </c>
      <c r="AG98">
        <v>0</v>
      </c>
      <c r="AH98">
        <v>0</v>
      </c>
      <c r="AI98">
        <v>0</v>
      </c>
      <c r="AJ98">
        <v>1997</v>
      </c>
      <c r="AK98" t="s">
        <v>1194</v>
      </c>
      <c r="AL98" t="s">
        <v>1194</v>
      </c>
      <c r="AM98" s="4" t="s">
        <v>1238</v>
      </c>
      <c r="AN98">
        <v>0</v>
      </c>
      <c r="AO98" t="s">
        <v>1316</v>
      </c>
      <c r="AP98">
        <f t="shared" si="2"/>
        <v>0</v>
      </c>
      <c r="AQ98">
        <v>0</v>
      </c>
      <c r="AR98" t="s">
        <v>1993</v>
      </c>
      <c r="AS98" t="s">
        <v>1996</v>
      </c>
      <c r="AT98" t="s">
        <v>1996</v>
      </c>
      <c r="AU98" t="s">
        <v>1995</v>
      </c>
      <c r="AV98" t="s">
        <v>1996</v>
      </c>
      <c r="AW98" t="s">
        <v>1996</v>
      </c>
      <c r="AX98" t="s">
        <v>2003</v>
      </c>
      <c r="AY98" t="s">
        <v>1996</v>
      </c>
      <c r="AZ98">
        <v>9429</v>
      </c>
      <c r="BA98" t="s">
        <v>1194</v>
      </c>
      <c r="BB98" t="s">
        <v>1194</v>
      </c>
      <c r="BC98" s="3">
        <v>24578.4555</v>
      </c>
      <c r="BD98" s="3">
        <v>21354.21</v>
      </c>
      <c r="BE98" s="3">
        <v>0</v>
      </c>
      <c r="BF98" s="3">
        <v>0</v>
      </c>
      <c r="BG98" s="3">
        <v>0</v>
      </c>
      <c r="BH98" s="3">
        <v>0</v>
      </c>
      <c r="BI98" s="3">
        <v>116065</v>
      </c>
      <c r="BJ98" s="3">
        <v>161998</v>
      </c>
      <c r="BK98" s="3">
        <v>1250</v>
      </c>
      <c r="BL98" s="3">
        <v>163248</v>
      </c>
      <c r="BM98" s="2">
        <f t="shared" ca="1" si="3"/>
        <v>5</v>
      </c>
      <c r="BN98" s="3">
        <v>250000</v>
      </c>
      <c r="BO98" s="3">
        <v>50000</v>
      </c>
      <c r="BP98" s="3">
        <v>100000</v>
      </c>
      <c r="BQ98" s="3">
        <v>100000</v>
      </c>
      <c r="BR98" s="3">
        <v>50000</v>
      </c>
      <c r="BS98">
        <v>1000000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 t="s">
        <v>2940</v>
      </c>
      <c r="CA98" t="s">
        <v>2939</v>
      </c>
      <c r="CB98" t="s">
        <v>2941</v>
      </c>
    </row>
    <row r="99" spans="1:80" x14ac:dyDescent="0.25">
      <c r="A99">
        <v>97</v>
      </c>
      <c r="B99" t="s">
        <v>2116</v>
      </c>
      <c r="C99" s="1">
        <v>44912</v>
      </c>
      <c r="D99" s="2">
        <v>36</v>
      </c>
      <c r="E99" t="s">
        <v>4</v>
      </c>
      <c r="F99" t="s">
        <v>1311</v>
      </c>
      <c r="G99">
        <v>0</v>
      </c>
      <c r="H99" s="3">
        <v>2200000</v>
      </c>
      <c r="I99" s="3">
        <v>200000</v>
      </c>
      <c r="J99" s="3">
        <v>0</v>
      </c>
      <c r="K99" s="3">
        <v>0</v>
      </c>
      <c r="L99" s="3" t="s">
        <v>1191</v>
      </c>
      <c r="M99">
        <v>1346986</v>
      </c>
      <c r="N99" t="s">
        <v>277</v>
      </c>
      <c r="P99" t="s">
        <v>278</v>
      </c>
      <c r="Q99" t="s">
        <v>15</v>
      </c>
      <c r="R99">
        <v>33308</v>
      </c>
      <c r="S99" t="s">
        <v>68</v>
      </c>
      <c r="T99" t="s">
        <v>964</v>
      </c>
      <c r="U99">
        <v>0</v>
      </c>
      <c r="V99" t="s">
        <v>1045</v>
      </c>
      <c r="W99" t="s">
        <v>1194</v>
      </c>
      <c r="X99" t="s">
        <v>973</v>
      </c>
      <c r="Y99">
        <v>10000</v>
      </c>
      <c r="Z99" s="2">
        <v>5</v>
      </c>
      <c r="AA99" s="2" t="s">
        <v>1238</v>
      </c>
      <c r="AB99" t="s">
        <v>1238</v>
      </c>
      <c r="AC99">
        <v>933</v>
      </c>
      <c r="AD99" t="s">
        <v>1280</v>
      </c>
      <c r="AE99">
        <v>1</v>
      </c>
      <c r="AF99" t="s">
        <v>1291</v>
      </c>
      <c r="AG99">
        <v>0</v>
      </c>
      <c r="AH99">
        <v>0</v>
      </c>
      <c r="AI99">
        <v>0</v>
      </c>
      <c r="AJ99">
        <v>1976</v>
      </c>
      <c r="AK99">
        <v>2021</v>
      </c>
      <c r="AL99">
        <v>2021</v>
      </c>
      <c r="AM99" s="4" t="s">
        <v>1238</v>
      </c>
      <c r="AN99">
        <v>0</v>
      </c>
      <c r="AO99" t="s">
        <v>1316</v>
      </c>
      <c r="AP99">
        <f t="shared" si="2"/>
        <v>0</v>
      </c>
      <c r="AQ99">
        <v>0</v>
      </c>
      <c r="AR99" t="s">
        <v>1993</v>
      </c>
      <c r="AS99" t="s">
        <v>1996</v>
      </c>
      <c r="AT99" t="s">
        <v>1996</v>
      </c>
      <c r="AU99" t="s">
        <v>1995</v>
      </c>
      <c r="AV99" t="s">
        <v>1995</v>
      </c>
      <c r="AW99" t="s">
        <v>1996</v>
      </c>
      <c r="AX99" t="s">
        <v>2007</v>
      </c>
      <c r="AY99" t="s">
        <v>1995</v>
      </c>
      <c r="AZ99">
        <v>4507</v>
      </c>
      <c r="BA99" t="s">
        <v>1194</v>
      </c>
      <c r="BB99" t="s">
        <v>1194</v>
      </c>
      <c r="BC99" s="3">
        <v>6095.0047999999997</v>
      </c>
      <c r="BD99" s="3">
        <v>17620.21</v>
      </c>
      <c r="BE99" s="3">
        <v>0</v>
      </c>
      <c r="BF99" s="3">
        <v>0</v>
      </c>
      <c r="BG99" s="3">
        <v>300</v>
      </c>
      <c r="BH99" s="3">
        <v>0</v>
      </c>
      <c r="BI99" s="3">
        <v>7435</v>
      </c>
      <c r="BJ99" s="3">
        <v>31450</v>
      </c>
      <c r="BK99" s="3">
        <v>0</v>
      </c>
      <c r="BL99" s="3">
        <v>31450</v>
      </c>
      <c r="BM99" s="2">
        <f t="shared" ca="1" si="3"/>
        <v>1</v>
      </c>
      <c r="BN99" s="3">
        <v>250000</v>
      </c>
      <c r="BO99" s="3">
        <v>25000</v>
      </c>
      <c r="BP99" s="3" t="s">
        <v>2922</v>
      </c>
      <c r="BQ99" s="3">
        <v>1000000</v>
      </c>
      <c r="BR99" s="3">
        <v>100000</v>
      </c>
      <c r="BS99">
        <v>2000000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 t="s">
        <v>2940</v>
      </c>
      <c r="CA99" t="s">
        <v>2939</v>
      </c>
      <c r="CB99" t="s">
        <v>2941</v>
      </c>
    </row>
    <row r="100" spans="1:80" x14ac:dyDescent="0.25">
      <c r="A100">
        <v>98</v>
      </c>
      <c r="B100" t="s">
        <v>2117</v>
      </c>
      <c r="C100" s="1">
        <v>44865</v>
      </c>
      <c r="D100" s="2">
        <v>30</v>
      </c>
      <c r="E100" t="s">
        <v>4</v>
      </c>
      <c r="F100" t="s">
        <v>1311</v>
      </c>
      <c r="G100">
        <v>0</v>
      </c>
      <c r="H100" s="3">
        <v>2725000</v>
      </c>
      <c r="I100" s="3">
        <v>261600</v>
      </c>
      <c r="J100" s="3">
        <v>0</v>
      </c>
      <c r="K100" s="3">
        <v>0</v>
      </c>
      <c r="L100" s="3" t="s">
        <v>1191</v>
      </c>
      <c r="M100">
        <v>29550</v>
      </c>
      <c r="N100" t="s">
        <v>279</v>
      </c>
      <c r="P100" t="s">
        <v>280</v>
      </c>
      <c r="Q100" t="s">
        <v>15</v>
      </c>
      <c r="R100">
        <v>33158</v>
      </c>
      <c r="S100" t="s">
        <v>33</v>
      </c>
      <c r="T100" t="s">
        <v>964</v>
      </c>
      <c r="U100">
        <v>1</v>
      </c>
      <c r="V100" t="s">
        <v>1046</v>
      </c>
      <c r="W100" t="s">
        <v>1194</v>
      </c>
      <c r="X100" t="s">
        <v>1309</v>
      </c>
      <c r="Y100">
        <v>10000</v>
      </c>
      <c r="Z100" s="2">
        <v>5</v>
      </c>
      <c r="AA100" s="2" t="s">
        <v>1238</v>
      </c>
      <c r="AB100" t="s">
        <v>1238</v>
      </c>
      <c r="AC100">
        <v>835</v>
      </c>
      <c r="AD100" t="s">
        <v>1280</v>
      </c>
      <c r="AE100">
        <v>1</v>
      </c>
      <c r="AF100" t="s">
        <v>1291</v>
      </c>
      <c r="AG100">
        <v>0</v>
      </c>
      <c r="AH100">
        <v>0</v>
      </c>
      <c r="AI100">
        <v>0</v>
      </c>
      <c r="AJ100">
        <v>2002</v>
      </c>
      <c r="AK100" t="s">
        <v>1194</v>
      </c>
      <c r="AL100">
        <v>2021</v>
      </c>
      <c r="AM100" s="4" t="s">
        <v>1238</v>
      </c>
      <c r="AN100">
        <v>0</v>
      </c>
      <c r="AO100" t="s">
        <v>1315</v>
      </c>
      <c r="AP100">
        <f t="shared" si="2"/>
        <v>0</v>
      </c>
      <c r="AQ100">
        <v>1</v>
      </c>
      <c r="AR100" t="s">
        <v>1992</v>
      </c>
      <c r="AS100" t="s">
        <v>1996</v>
      </c>
      <c r="AT100" t="s">
        <v>1996</v>
      </c>
      <c r="AU100" t="s">
        <v>1996</v>
      </c>
      <c r="AV100" t="s">
        <v>1996</v>
      </c>
      <c r="AW100" t="s">
        <v>1996</v>
      </c>
      <c r="AX100" t="s">
        <v>2007</v>
      </c>
      <c r="AY100" t="s">
        <v>1995</v>
      </c>
      <c r="AZ100">
        <v>5357</v>
      </c>
      <c r="BA100" t="s">
        <v>1194</v>
      </c>
      <c r="BB100" t="s">
        <v>1194</v>
      </c>
      <c r="BC100" s="3">
        <v>9507.6257999999998</v>
      </c>
      <c r="BD100" s="3">
        <v>20501.310000000001</v>
      </c>
      <c r="BE100" s="3">
        <v>0</v>
      </c>
      <c r="BF100" s="3">
        <v>0</v>
      </c>
      <c r="BG100" s="3">
        <v>300</v>
      </c>
      <c r="BH100" s="3">
        <v>0</v>
      </c>
      <c r="BI100" s="3">
        <v>65262</v>
      </c>
      <c r="BJ100" s="3">
        <v>95571</v>
      </c>
      <c r="BK100" s="3">
        <v>200</v>
      </c>
      <c r="BL100" s="3">
        <v>95771</v>
      </c>
      <c r="BM100" s="2">
        <f t="shared" ca="1" si="3"/>
        <v>5</v>
      </c>
      <c r="BN100" s="3">
        <v>2000000</v>
      </c>
      <c r="BO100" s="3">
        <v>25000</v>
      </c>
      <c r="BP100" s="3">
        <v>100000</v>
      </c>
      <c r="BQ100" s="3">
        <v>250000</v>
      </c>
      <c r="BR100" s="3">
        <v>50000</v>
      </c>
      <c r="BS100">
        <v>50000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 t="s">
        <v>2940</v>
      </c>
      <c r="CA100" t="s">
        <v>2939</v>
      </c>
      <c r="CB100" t="s">
        <v>2941</v>
      </c>
    </row>
    <row r="101" spans="1:80" x14ac:dyDescent="0.25">
      <c r="A101">
        <v>99</v>
      </c>
      <c r="B101" t="s">
        <v>2118</v>
      </c>
      <c r="C101" s="1">
        <v>44826</v>
      </c>
      <c r="D101" s="2">
        <v>27</v>
      </c>
      <c r="E101" t="s">
        <v>4</v>
      </c>
      <c r="F101" t="s">
        <v>1311</v>
      </c>
      <c r="G101">
        <v>0</v>
      </c>
      <c r="H101" s="3">
        <v>3860000</v>
      </c>
      <c r="I101" s="3">
        <v>0</v>
      </c>
      <c r="J101" s="3">
        <v>0</v>
      </c>
      <c r="K101" s="3">
        <v>0</v>
      </c>
      <c r="L101" s="3" t="s">
        <v>1191</v>
      </c>
      <c r="M101">
        <v>1360571</v>
      </c>
      <c r="N101" t="s">
        <v>281</v>
      </c>
      <c r="P101" t="s">
        <v>282</v>
      </c>
      <c r="Q101" t="s">
        <v>13</v>
      </c>
      <c r="R101">
        <v>1742</v>
      </c>
      <c r="S101" t="s">
        <v>53</v>
      </c>
      <c r="T101" t="s">
        <v>968</v>
      </c>
      <c r="U101">
        <v>0</v>
      </c>
      <c r="V101" t="s">
        <v>1047</v>
      </c>
      <c r="W101" t="s">
        <v>1194</v>
      </c>
      <c r="X101" t="s">
        <v>973</v>
      </c>
      <c r="Y101">
        <v>25000</v>
      </c>
      <c r="Z101" s="2">
        <v>2</v>
      </c>
      <c r="AA101" s="2" t="s">
        <v>1238</v>
      </c>
      <c r="AB101" t="s">
        <v>1238</v>
      </c>
      <c r="AC101">
        <v>819</v>
      </c>
      <c r="AD101" t="s">
        <v>1279</v>
      </c>
      <c r="AE101">
        <v>3</v>
      </c>
      <c r="AF101" t="s">
        <v>1290</v>
      </c>
      <c r="AG101">
        <v>0</v>
      </c>
      <c r="AH101">
        <v>0</v>
      </c>
      <c r="AI101">
        <v>0</v>
      </c>
      <c r="AJ101">
        <v>1903</v>
      </c>
      <c r="AK101" t="s">
        <v>1194</v>
      </c>
      <c r="AL101">
        <v>2009</v>
      </c>
      <c r="AM101" s="4" t="s">
        <v>1238</v>
      </c>
      <c r="AN101">
        <v>1</v>
      </c>
      <c r="AO101" t="s">
        <v>1316</v>
      </c>
      <c r="AP101">
        <f t="shared" si="2"/>
        <v>0</v>
      </c>
      <c r="AQ101">
        <v>1</v>
      </c>
      <c r="AR101" t="s">
        <v>1992</v>
      </c>
      <c r="AS101" t="s">
        <v>1996</v>
      </c>
      <c r="AT101" t="s">
        <v>1996</v>
      </c>
      <c r="AU101" t="s">
        <v>1995</v>
      </c>
      <c r="AV101" t="s">
        <v>1995</v>
      </c>
      <c r="AW101" t="s">
        <v>1995</v>
      </c>
      <c r="AX101" t="s">
        <v>2006</v>
      </c>
      <c r="AY101" t="s">
        <v>1996</v>
      </c>
      <c r="AZ101">
        <v>4867</v>
      </c>
      <c r="BA101" t="s">
        <v>1194</v>
      </c>
      <c r="BB101" t="s">
        <v>1194</v>
      </c>
      <c r="BC101" s="3">
        <v>7885.8654999999999</v>
      </c>
      <c r="BD101" s="3">
        <v>2771.21</v>
      </c>
      <c r="BE101" s="3">
        <v>0</v>
      </c>
      <c r="BF101" s="3">
        <v>0</v>
      </c>
      <c r="BG101" s="3">
        <v>150</v>
      </c>
      <c r="BH101" s="3">
        <v>0</v>
      </c>
      <c r="BI101" s="3">
        <v>6397</v>
      </c>
      <c r="BJ101" s="3">
        <v>17204</v>
      </c>
      <c r="BK101" s="3">
        <v>0</v>
      </c>
      <c r="BL101" s="3">
        <v>17204</v>
      </c>
      <c r="BM101" s="2">
        <f t="shared" ca="1" si="3"/>
        <v>4</v>
      </c>
      <c r="BN101" s="3">
        <v>500000</v>
      </c>
      <c r="BO101" s="3">
        <v>2000000</v>
      </c>
      <c r="BP101" s="3">
        <v>50000</v>
      </c>
      <c r="BQ101" s="3">
        <v>500000</v>
      </c>
      <c r="BR101" s="3">
        <v>50000</v>
      </c>
      <c r="BS101">
        <v>1000000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 t="s">
        <v>2942</v>
      </c>
      <c r="CA101" t="s">
        <v>2006</v>
      </c>
      <c r="CB101" t="s">
        <v>2006</v>
      </c>
    </row>
    <row r="102" spans="1:80" x14ac:dyDescent="0.25">
      <c r="A102">
        <v>100</v>
      </c>
      <c r="B102" t="s">
        <v>2119</v>
      </c>
      <c r="C102" s="1">
        <v>44967</v>
      </c>
      <c r="D102" s="2">
        <v>6</v>
      </c>
      <c r="E102" t="s">
        <v>4</v>
      </c>
      <c r="F102" t="s">
        <v>1310</v>
      </c>
      <c r="G102">
        <v>0</v>
      </c>
      <c r="H102" s="3">
        <v>2925960</v>
      </c>
      <c r="I102" s="3">
        <v>785000</v>
      </c>
      <c r="J102" s="3">
        <v>1000000</v>
      </c>
      <c r="K102" s="3">
        <v>260000</v>
      </c>
      <c r="L102" s="3" t="s">
        <v>1191</v>
      </c>
      <c r="M102">
        <v>1615705</v>
      </c>
      <c r="N102" t="s">
        <v>283</v>
      </c>
      <c r="P102" t="s">
        <v>284</v>
      </c>
      <c r="Q102" t="s">
        <v>14</v>
      </c>
      <c r="R102">
        <v>11050</v>
      </c>
      <c r="S102" t="s">
        <v>38</v>
      </c>
      <c r="T102" t="s">
        <v>970</v>
      </c>
      <c r="U102">
        <v>1</v>
      </c>
      <c r="V102" t="s">
        <v>1048</v>
      </c>
      <c r="W102" t="s">
        <v>1194</v>
      </c>
      <c r="X102" t="s">
        <v>1309</v>
      </c>
      <c r="Y102">
        <v>25000</v>
      </c>
      <c r="Z102" s="2">
        <v>1.999993165</v>
      </c>
      <c r="AA102" s="2" t="s">
        <v>1238</v>
      </c>
      <c r="AB102" t="s">
        <v>1238</v>
      </c>
      <c r="AC102">
        <v>775</v>
      </c>
      <c r="AD102" t="s">
        <v>1279</v>
      </c>
      <c r="AE102">
        <v>3</v>
      </c>
      <c r="AF102" t="s">
        <v>1291</v>
      </c>
      <c r="AG102">
        <v>0</v>
      </c>
      <c r="AH102">
        <v>0</v>
      </c>
      <c r="AI102">
        <v>0</v>
      </c>
      <c r="AJ102">
        <v>1920</v>
      </c>
      <c r="AK102" t="s">
        <v>1194</v>
      </c>
      <c r="AL102">
        <v>1990</v>
      </c>
      <c r="AM102" s="4" t="s">
        <v>1308</v>
      </c>
      <c r="AN102">
        <v>1</v>
      </c>
      <c r="AO102" t="s">
        <v>1315</v>
      </c>
      <c r="AP102">
        <f t="shared" si="2"/>
        <v>0</v>
      </c>
      <c r="AQ102">
        <v>1</v>
      </c>
      <c r="AR102" t="s">
        <v>1992</v>
      </c>
      <c r="AS102" t="s">
        <v>1996</v>
      </c>
      <c r="AT102" t="s">
        <v>1995</v>
      </c>
      <c r="AU102" t="s">
        <v>1995</v>
      </c>
      <c r="AV102" t="s">
        <v>1995</v>
      </c>
      <c r="AW102" t="s">
        <v>1996</v>
      </c>
      <c r="AX102" t="s">
        <v>2006</v>
      </c>
      <c r="AY102" t="s">
        <v>1996</v>
      </c>
      <c r="AZ102">
        <v>6000</v>
      </c>
      <c r="BA102" t="s">
        <v>1194</v>
      </c>
      <c r="BB102" t="s">
        <v>1194</v>
      </c>
      <c r="BC102" s="3">
        <v>17536.804400000001</v>
      </c>
      <c r="BD102" s="3">
        <v>7267.46</v>
      </c>
      <c r="BE102" s="3">
        <v>0</v>
      </c>
      <c r="BF102" s="3">
        <v>0</v>
      </c>
      <c r="BG102" s="3">
        <v>200</v>
      </c>
      <c r="BH102" s="3">
        <v>0</v>
      </c>
      <c r="BI102" s="3">
        <v>5815</v>
      </c>
      <c r="BJ102" s="3">
        <v>30819</v>
      </c>
      <c r="BK102" s="3">
        <v>94.08</v>
      </c>
      <c r="BL102" s="3">
        <v>30913.08</v>
      </c>
      <c r="BM102" s="2">
        <f t="shared" ca="1" si="3"/>
        <v>4</v>
      </c>
      <c r="BN102" s="3">
        <v>500000</v>
      </c>
      <c r="BO102" s="3">
        <v>500000</v>
      </c>
      <c r="BP102" s="3" t="s">
        <v>2922</v>
      </c>
      <c r="BQ102" s="3">
        <v>500000</v>
      </c>
      <c r="BR102" s="3">
        <v>50000</v>
      </c>
      <c r="BS102">
        <v>500000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 t="s">
        <v>2942</v>
      </c>
      <c r="CA102" t="s">
        <v>2006</v>
      </c>
      <c r="CB102" t="s">
        <v>2006</v>
      </c>
    </row>
    <row r="103" spans="1:80" x14ac:dyDescent="0.25">
      <c r="A103">
        <v>101</v>
      </c>
      <c r="B103" t="s">
        <v>2120</v>
      </c>
      <c r="C103" s="1">
        <v>44896</v>
      </c>
      <c r="D103" s="2">
        <v>36</v>
      </c>
      <c r="E103" t="s">
        <v>4</v>
      </c>
      <c r="F103" t="s">
        <v>1311</v>
      </c>
      <c r="G103">
        <v>0</v>
      </c>
      <c r="H103" s="3">
        <v>2000000</v>
      </c>
      <c r="I103" s="3">
        <v>233000</v>
      </c>
      <c r="J103" s="3">
        <v>0</v>
      </c>
      <c r="K103" s="3">
        <v>0</v>
      </c>
      <c r="L103" s="3" t="s">
        <v>1191</v>
      </c>
      <c r="M103">
        <v>1705429</v>
      </c>
      <c r="N103" t="s">
        <v>285</v>
      </c>
      <c r="P103" t="s">
        <v>286</v>
      </c>
      <c r="Q103" t="s">
        <v>21</v>
      </c>
      <c r="R103">
        <v>28605</v>
      </c>
      <c r="S103" t="s">
        <v>69</v>
      </c>
      <c r="T103" t="s">
        <v>973</v>
      </c>
      <c r="U103">
        <v>0</v>
      </c>
      <c r="V103" t="s">
        <v>1049</v>
      </c>
      <c r="W103" t="s">
        <v>1194</v>
      </c>
      <c r="X103" t="s">
        <v>973</v>
      </c>
      <c r="Y103">
        <v>10000</v>
      </c>
      <c r="Z103" s="2" t="s">
        <v>1194</v>
      </c>
      <c r="AA103" s="2" t="s">
        <v>1238</v>
      </c>
      <c r="AB103" t="s">
        <v>1238</v>
      </c>
      <c r="AC103">
        <v>814</v>
      </c>
      <c r="AD103" t="s">
        <v>1279</v>
      </c>
      <c r="AE103">
        <v>4</v>
      </c>
      <c r="AF103" t="s">
        <v>1290</v>
      </c>
      <c r="AG103">
        <v>0</v>
      </c>
      <c r="AH103">
        <v>0</v>
      </c>
      <c r="AI103">
        <v>0</v>
      </c>
      <c r="AJ103">
        <v>1951</v>
      </c>
      <c r="AK103">
        <v>1981</v>
      </c>
      <c r="AL103" t="s">
        <v>1194</v>
      </c>
      <c r="AM103" s="4" t="s">
        <v>1238</v>
      </c>
      <c r="AN103">
        <v>0</v>
      </c>
      <c r="AO103" t="s">
        <v>1317</v>
      </c>
      <c r="AP103">
        <f t="shared" si="2"/>
        <v>0</v>
      </c>
      <c r="AQ103">
        <v>0</v>
      </c>
      <c r="AR103" t="s">
        <v>1993</v>
      </c>
      <c r="AS103" t="s">
        <v>1995</v>
      </c>
      <c r="AT103" t="s">
        <v>1995</v>
      </c>
      <c r="AU103" t="s">
        <v>1996</v>
      </c>
      <c r="AV103" t="s">
        <v>1995</v>
      </c>
      <c r="AW103" t="s">
        <v>1995</v>
      </c>
      <c r="AX103" t="s">
        <v>2006</v>
      </c>
      <c r="AY103" t="s">
        <v>1996</v>
      </c>
      <c r="AZ103">
        <v>2999</v>
      </c>
      <c r="BA103" t="s">
        <v>1194</v>
      </c>
      <c r="BB103" t="s">
        <v>1194</v>
      </c>
      <c r="BC103" s="3">
        <v>4701.0614999999998</v>
      </c>
      <c r="BD103" s="3">
        <v>3104.05</v>
      </c>
      <c r="BE103" s="3">
        <v>0</v>
      </c>
      <c r="BF103" s="3">
        <v>0</v>
      </c>
      <c r="BG103" s="3">
        <v>150</v>
      </c>
      <c r="BH103" s="3">
        <v>0</v>
      </c>
      <c r="BI103" s="3">
        <v>2815</v>
      </c>
      <c r="BJ103" s="3">
        <v>10770</v>
      </c>
      <c r="BK103" s="3">
        <v>150</v>
      </c>
      <c r="BL103" s="3">
        <v>10920</v>
      </c>
      <c r="BM103" s="2">
        <f t="shared" ca="1" si="3"/>
        <v>5</v>
      </c>
      <c r="BN103" s="3" t="s">
        <v>2916</v>
      </c>
      <c r="BO103" s="3">
        <v>250000</v>
      </c>
      <c r="BP103" s="3">
        <v>50000</v>
      </c>
      <c r="BQ103" s="3">
        <v>50000</v>
      </c>
      <c r="BR103" s="3">
        <v>1000000</v>
      </c>
      <c r="BS103">
        <v>250000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 t="s">
        <v>2942</v>
      </c>
      <c r="CA103" t="s">
        <v>2006</v>
      </c>
      <c r="CB103" t="s">
        <v>2945</v>
      </c>
    </row>
    <row r="104" spans="1:80" x14ac:dyDescent="0.25">
      <c r="A104">
        <v>102</v>
      </c>
      <c r="B104" t="s">
        <v>2121</v>
      </c>
      <c r="C104" s="1">
        <v>44648</v>
      </c>
      <c r="D104" s="2">
        <v>9</v>
      </c>
      <c r="E104" t="s">
        <v>4</v>
      </c>
      <c r="F104" t="s">
        <v>1310</v>
      </c>
      <c r="G104">
        <v>0</v>
      </c>
      <c r="H104" s="3">
        <v>3000000</v>
      </c>
      <c r="I104" s="3">
        <v>0</v>
      </c>
      <c r="J104" s="3">
        <v>0</v>
      </c>
      <c r="K104" s="3">
        <v>0</v>
      </c>
      <c r="L104" s="3" t="s">
        <v>1191</v>
      </c>
      <c r="M104">
        <v>1523279</v>
      </c>
      <c r="N104" t="s">
        <v>287</v>
      </c>
      <c r="P104" t="s">
        <v>288</v>
      </c>
      <c r="Q104" t="s">
        <v>16</v>
      </c>
      <c r="R104">
        <v>8738</v>
      </c>
      <c r="S104" t="s">
        <v>70</v>
      </c>
      <c r="T104" t="s">
        <v>967</v>
      </c>
      <c r="U104">
        <v>1</v>
      </c>
      <c r="V104" t="s">
        <v>1050</v>
      </c>
      <c r="W104" t="s">
        <v>1194</v>
      </c>
      <c r="X104" t="s">
        <v>1309</v>
      </c>
      <c r="Y104">
        <v>10000</v>
      </c>
      <c r="Z104" s="2">
        <v>2</v>
      </c>
      <c r="AA104" s="2" t="s">
        <v>1238</v>
      </c>
      <c r="AB104" t="s">
        <v>1238</v>
      </c>
      <c r="AC104">
        <v>699</v>
      </c>
      <c r="AD104" t="s">
        <v>1279</v>
      </c>
      <c r="AE104">
        <v>3</v>
      </c>
      <c r="AF104" t="s">
        <v>1291</v>
      </c>
      <c r="AG104">
        <v>0</v>
      </c>
      <c r="AH104">
        <v>0</v>
      </c>
      <c r="AI104">
        <v>0</v>
      </c>
      <c r="AJ104">
        <v>2022</v>
      </c>
      <c r="AK104" t="s">
        <v>1194</v>
      </c>
      <c r="AL104" t="s">
        <v>1194</v>
      </c>
      <c r="AM104" s="4" t="s">
        <v>1304</v>
      </c>
      <c r="AN104">
        <v>0</v>
      </c>
      <c r="AO104" t="s">
        <v>1315</v>
      </c>
      <c r="AP104">
        <f t="shared" si="2"/>
        <v>0</v>
      </c>
      <c r="AQ104">
        <v>1</v>
      </c>
      <c r="AR104" t="s">
        <v>1992</v>
      </c>
      <c r="AS104" t="s">
        <v>1996</v>
      </c>
      <c r="AT104" t="s">
        <v>1995</v>
      </c>
      <c r="AU104" t="s">
        <v>1996</v>
      </c>
      <c r="AV104" t="s">
        <v>1996</v>
      </c>
      <c r="AW104" t="s">
        <v>1995</v>
      </c>
      <c r="AX104" t="s">
        <v>2006</v>
      </c>
      <c r="AY104" t="s">
        <v>1996</v>
      </c>
      <c r="AZ104">
        <v>5000</v>
      </c>
      <c r="BA104" t="s">
        <v>1194</v>
      </c>
      <c r="BB104" t="s">
        <v>1194</v>
      </c>
      <c r="BC104" s="3">
        <v>5174.4894000000004</v>
      </c>
      <c r="BD104" s="3">
        <v>5475.62</v>
      </c>
      <c r="BE104" s="3">
        <v>0</v>
      </c>
      <c r="BF104" s="3">
        <v>0</v>
      </c>
      <c r="BG104" s="3">
        <v>150</v>
      </c>
      <c r="BH104" s="3">
        <v>0</v>
      </c>
      <c r="BI104" s="3">
        <v>3300</v>
      </c>
      <c r="BJ104" s="3">
        <v>14100</v>
      </c>
      <c r="BK104" s="3">
        <v>450</v>
      </c>
      <c r="BL104" s="3">
        <v>14550</v>
      </c>
      <c r="BM104" s="2">
        <f t="shared" ca="1" si="3"/>
        <v>3</v>
      </c>
      <c r="BN104" s="3">
        <v>100000</v>
      </c>
      <c r="BO104" s="3">
        <v>100000</v>
      </c>
      <c r="BP104" s="3">
        <v>100000</v>
      </c>
      <c r="BQ104" s="3">
        <v>50000</v>
      </c>
      <c r="BR104" s="3">
        <v>1000000</v>
      </c>
      <c r="BS104">
        <v>500000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 t="s">
        <v>2942</v>
      </c>
      <c r="CA104" t="s">
        <v>2006</v>
      </c>
      <c r="CB104" t="s">
        <v>2006</v>
      </c>
    </row>
    <row r="105" spans="1:80" x14ac:dyDescent="0.25">
      <c r="A105">
        <v>103</v>
      </c>
      <c r="B105" t="s">
        <v>2122</v>
      </c>
      <c r="C105" s="1">
        <v>44939</v>
      </c>
      <c r="D105" s="2">
        <v>3</v>
      </c>
      <c r="E105" t="s">
        <v>4</v>
      </c>
      <c r="F105" t="s">
        <v>1310</v>
      </c>
      <c r="G105">
        <v>0</v>
      </c>
      <c r="H105" s="3">
        <v>1245000</v>
      </c>
      <c r="I105" s="3">
        <v>50000</v>
      </c>
      <c r="J105" s="3">
        <v>200000</v>
      </c>
      <c r="K105" s="3">
        <v>0</v>
      </c>
      <c r="L105" s="3" t="s">
        <v>1191</v>
      </c>
      <c r="M105">
        <v>1781784</v>
      </c>
      <c r="N105" t="s">
        <v>289</v>
      </c>
      <c r="P105" t="s">
        <v>290</v>
      </c>
      <c r="Q105" t="s">
        <v>15</v>
      </c>
      <c r="R105">
        <v>32459</v>
      </c>
      <c r="S105" t="s">
        <v>71</v>
      </c>
      <c r="T105" t="s">
        <v>964</v>
      </c>
      <c r="U105">
        <v>1</v>
      </c>
      <c r="V105" t="s">
        <v>1051</v>
      </c>
      <c r="W105" t="s">
        <v>1194</v>
      </c>
      <c r="X105" t="s">
        <v>1309</v>
      </c>
      <c r="Y105">
        <v>10000</v>
      </c>
      <c r="Z105" s="2">
        <v>5</v>
      </c>
      <c r="AA105" s="2" t="s">
        <v>1238</v>
      </c>
      <c r="AB105" t="s">
        <v>1238</v>
      </c>
      <c r="AC105">
        <v>785</v>
      </c>
      <c r="AD105" t="s">
        <v>1279</v>
      </c>
      <c r="AE105">
        <v>3</v>
      </c>
      <c r="AF105" t="s">
        <v>1292</v>
      </c>
      <c r="AG105">
        <v>0</v>
      </c>
      <c r="AH105">
        <v>0</v>
      </c>
      <c r="AI105">
        <v>0</v>
      </c>
      <c r="AJ105">
        <v>1991</v>
      </c>
      <c r="AK105" t="s">
        <v>1194</v>
      </c>
      <c r="AL105">
        <v>2010</v>
      </c>
      <c r="AM105" s="4" t="s">
        <v>1306</v>
      </c>
      <c r="AN105">
        <v>0</v>
      </c>
      <c r="AO105" t="s">
        <v>1315</v>
      </c>
      <c r="AP105">
        <f t="shared" si="2"/>
        <v>0</v>
      </c>
      <c r="AQ105">
        <v>0</v>
      </c>
      <c r="AR105" t="s">
        <v>1993</v>
      </c>
      <c r="AS105" t="s">
        <v>1996</v>
      </c>
      <c r="AT105" t="s">
        <v>1996</v>
      </c>
      <c r="AU105" t="s">
        <v>1995</v>
      </c>
      <c r="AV105" t="s">
        <v>1996</v>
      </c>
      <c r="AW105" t="s">
        <v>1996</v>
      </c>
      <c r="AX105" t="s">
        <v>2007</v>
      </c>
      <c r="AY105" t="s">
        <v>1995</v>
      </c>
      <c r="AZ105">
        <v>2640</v>
      </c>
      <c r="BA105" t="s">
        <v>1194</v>
      </c>
      <c r="BB105" t="s">
        <v>1194</v>
      </c>
      <c r="BC105" s="3">
        <v>3380.4149000000002</v>
      </c>
      <c r="BD105" s="3">
        <v>10869.06</v>
      </c>
      <c r="BE105" s="3">
        <v>0</v>
      </c>
      <c r="BF105" s="3">
        <v>0</v>
      </c>
      <c r="BG105" s="3">
        <v>300</v>
      </c>
      <c r="BH105" s="3">
        <v>0</v>
      </c>
      <c r="BI105" s="3">
        <v>5437</v>
      </c>
      <c r="BJ105" s="3">
        <v>19986</v>
      </c>
      <c r="BK105" s="3">
        <v>0</v>
      </c>
      <c r="BL105" s="3">
        <v>19986</v>
      </c>
      <c r="BM105" s="2">
        <f t="shared" ca="1" si="3"/>
        <v>3</v>
      </c>
      <c r="BN105" s="3">
        <v>2000000</v>
      </c>
      <c r="BO105" s="3">
        <v>20000</v>
      </c>
      <c r="BP105" s="3">
        <v>50000</v>
      </c>
      <c r="BQ105" s="3">
        <v>100000</v>
      </c>
      <c r="BR105" s="3">
        <v>1000000</v>
      </c>
      <c r="BS105">
        <v>100000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 t="s">
        <v>2943</v>
      </c>
      <c r="CA105" t="s">
        <v>2954</v>
      </c>
      <c r="CB105" t="s">
        <v>2941</v>
      </c>
    </row>
    <row r="106" spans="1:80" x14ac:dyDescent="0.25">
      <c r="A106">
        <v>104</v>
      </c>
      <c r="B106" t="s">
        <v>2123</v>
      </c>
      <c r="C106" s="1">
        <v>44884</v>
      </c>
      <c r="D106" s="2">
        <v>33</v>
      </c>
      <c r="E106" t="s">
        <v>4</v>
      </c>
      <c r="F106" t="s">
        <v>1311</v>
      </c>
      <c r="G106">
        <v>0</v>
      </c>
      <c r="H106" s="3">
        <v>1110000</v>
      </c>
      <c r="I106" s="3">
        <v>0</v>
      </c>
      <c r="J106" s="3">
        <v>0</v>
      </c>
      <c r="K106" s="3">
        <v>0</v>
      </c>
      <c r="L106" s="3" t="s">
        <v>1191</v>
      </c>
      <c r="M106">
        <v>1581935</v>
      </c>
      <c r="N106" t="s">
        <v>291</v>
      </c>
      <c r="O106" t="s">
        <v>292</v>
      </c>
      <c r="P106" t="s">
        <v>293</v>
      </c>
      <c r="Q106" t="s">
        <v>21</v>
      </c>
      <c r="R106">
        <v>28723</v>
      </c>
      <c r="S106" t="s">
        <v>72</v>
      </c>
      <c r="T106" t="s">
        <v>973</v>
      </c>
      <c r="U106">
        <v>0</v>
      </c>
      <c r="V106" t="s">
        <v>1052</v>
      </c>
      <c r="W106" t="s">
        <v>1194</v>
      </c>
      <c r="X106" t="s">
        <v>973</v>
      </c>
      <c r="Y106">
        <v>5000</v>
      </c>
      <c r="Z106" s="2" t="s">
        <v>1194</v>
      </c>
      <c r="AA106" s="2" t="s">
        <v>1238</v>
      </c>
      <c r="AB106" t="s">
        <v>1238</v>
      </c>
      <c r="AC106">
        <v>753</v>
      </c>
      <c r="AD106" t="s">
        <v>1279</v>
      </c>
      <c r="AE106">
        <v>6</v>
      </c>
      <c r="AF106" t="s">
        <v>1290</v>
      </c>
      <c r="AG106">
        <v>0</v>
      </c>
      <c r="AH106">
        <v>0</v>
      </c>
      <c r="AI106">
        <v>0</v>
      </c>
      <c r="AJ106">
        <v>2020</v>
      </c>
      <c r="AK106" t="s">
        <v>1194</v>
      </c>
      <c r="AL106" t="s">
        <v>1194</v>
      </c>
      <c r="AM106" s="4" t="s">
        <v>1238</v>
      </c>
      <c r="AN106">
        <v>1</v>
      </c>
      <c r="AO106" t="s">
        <v>1315</v>
      </c>
      <c r="AP106">
        <f t="shared" si="2"/>
        <v>0</v>
      </c>
      <c r="AQ106">
        <v>1</v>
      </c>
      <c r="AR106" t="s">
        <v>1992</v>
      </c>
      <c r="AS106" t="s">
        <v>1995</v>
      </c>
      <c r="AT106" t="s">
        <v>1996</v>
      </c>
      <c r="AU106" t="s">
        <v>1996</v>
      </c>
      <c r="AV106" t="s">
        <v>1995</v>
      </c>
      <c r="AW106" t="s">
        <v>1996</v>
      </c>
      <c r="AX106" t="s">
        <v>2006</v>
      </c>
      <c r="AY106" t="s">
        <v>1996</v>
      </c>
      <c r="AZ106">
        <v>1100</v>
      </c>
      <c r="BA106" t="s">
        <v>1194</v>
      </c>
      <c r="BB106" t="s">
        <v>1194</v>
      </c>
      <c r="BC106" s="3">
        <v>2394.9196000000002</v>
      </c>
      <c r="BD106" s="3">
        <v>1077.1099999999999</v>
      </c>
      <c r="BE106" s="3">
        <v>0</v>
      </c>
      <c r="BF106" s="3">
        <v>0</v>
      </c>
      <c r="BG106" s="3">
        <v>0</v>
      </c>
      <c r="BH106" s="3">
        <v>0</v>
      </c>
      <c r="BI106" s="3">
        <v>2633</v>
      </c>
      <c r="BJ106" s="3">
        <v>6105</v>
      </c>
      <c r="BK106" s="3">
        <v>0</v>
      </c>
      <c r="BL106" s="3">
        <v>6105</v>
      </c>
      <c r="BM106" s="2">
        <f t="shared" ca="1" si="3"/>
        <v>0</v>
      </c>
      <c r="BN106" s="3">
        <v>2000000</v>
      </c>
      <c r="BO106" s="3">
        <v>250000</v>
      </c>
      <c r="BP106" s="3">
        <v>100000</v>
      </c>
      <c r="BQ106" s="3">
        <v>500000</v>
      </c>
      <c r="BR106" s="3">
        <v>100000</v>
      </c>
      <c r="BS106">
        <v>100000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 t="s">
        <v>2006</v>
      </c>
      <c r="CA106" t="s">
        <v>2006</v>
      </c>
      <c r="CB106" t="s">
        <v>2006</v>
      </c>
    </row>
    <row r="107" spans="1:80" x14ac:dyDescent="0.25">
      <c r="A107">
        <v>105</v>
      </c>
      <c r="B107" t="s">
        <v>2124</v>
      </c>
      <c r="C107" s="1">
        <v>44714</v>
      </c>
      <c r="D107" s="2">
        <v>18</v>
      </c>
      <c r="E107" t="s">
        <v>4</v>
      </c>
      <c r="F107" t="s">
        <v>1311</v>
      </c>
      <c r="G107">
        <v>0</v>
      </c>
      <c r="H107" s="3">
        <v>1500000</v>
      </c>
      <c r="I107" s="3">
        <v>100000</v>
      </c>
      <c r="J107" s="3">
        <v>0</v>
      </c>
      <c r="K107" s="3">
        <v>0</v>
      </c>
      <c r="L107" s="3" t="s">
        <v>1191</v>
      </c>
      <c r="M107">
        <v>1102379</v>
      </c>
      <c r="N107" t="s">
        <v>294</v>
      </c>
      <c r="P107" t="s">
        <v>295</v>
      </c>
      <c r="Q107" t="s">
        <v>15</v>
      </c>
      <c r="R107">
        <v>33921</v>
      </c>
      <c r="S107" t="s">
        <v>73</v>
      </c>
      <c r="T107" t="s">
        <v>967</v>
      </c>
      <c r="U107">
        <v>0</v>
      </c>
      <c r="V107" t="s">
        <v>1053</v>
      </c>
      <c r="W107" t="s">
        <v>1194</v>
      </c>
      <c r="X107" t="s">
        <v>973</v>
      </c>
      <c r="Y107">
        <v>10000</v>
      </c>
      <c r="Z107" s="2">
        <v>10</v>
      </c>
      <c r="AA107" s="2" t="s">
        <v>1238</v>
      </c>
      <c r="AB107" t="s">
        <v>1238</v>
      </c>
      <c r="AC107">
        <v>782</v>
      </c>
      <c r="AD107" t="s">
        <v>1279</v>
      </c>
      <c r="AE107">
        <v>2</v>
      </c>
      <c r="AF107" t="s">
        <v>1291</v>
      </c>
      <c r="AG107">
        <v>0</v>
      </c>
      <c r="AH107">
        <v>0</v>
      </c>
      <c r="AI107">
        <v>0</v>
      </c>
      <c r="AJ107">
        <v>2002</v>
      </c>
      <c r="AK107" t="s">
        <v>1194</v>
      </c>
      <c r="AL107" t="s">
        <v>1194</v>
      </c>
      <c r="AM107" s="4" t="s">
        <v>1238</v>
      </c>
      <c r="AN107">
        <v>1</v>
      </c>
      <c r="AO107" t="s">
        <v>1316</v>
      </c>
      <c r="AP107">
        <f t="shared" si="2"/>
        <v>0</v>
      </c>
      <c r="AQ107">
        <v>1</v>
      </c>
      <c r="AR107" t="s">
        <v>1992</v>
      </c>
      <c r="AS107" t="s">
        <v>1995</v>
      </c>
      <c r="AT107" t="s">
        <v>1995</v>
      </c>
      <c r="AU107" t="s">
        <v>1996</v>
      </c>
      <c r="AV107" t="s">
        <v>1996</v>
      </c>
      <c r="AW107" t="s">
        <v>1995</v>
      </c>
      <c r="AX107" t="s">
        <v>2007</v>
      </c>
      <c r="AY107" t="s">
        <v>1995</v>
      </c>
      <c r="AZ107">
        <v>2067</v>
      </c>
      <c r="BA107" t="s">
        <v>1194</v>
      </c>
      <c r="BB107" t="s">
        <v>1194</v>
      </c>
      <c r="BC107" s="3">
        <v>5503.1048000000001</v>
      </c>
      <c r="BD107" s="3">
        <v>12239.59</v>
      </c>
      <c r="BE107" s="3">
        <v>0</v>
      </c>
      <c r="BF107" s="3">
        <v>0</v>
      </c>
      <c r="BG107" s="3">
        <v>300</v>
      </c>
      <c r="BH107" s="3">
        <v>0</v>
      </c>
      <c r="BI107" s="3">
        <v>15557</v>
      </c>
      <c r="BJ107" s="3">
        <v>33600</v>
      </c>
      <c r="BK107" s="3">
        <v>0</v>
      </c>
      <c r="BL107" s="3">
        <v>33600</v>
      </c>
      <c r="BM107" s="2">
        <f t="shared" ca="1" si="3"/>
        <v>5</v>
      </c>
      <c r="BN107" s="3" t="s">
        <v>2916</v>
      </c>
      <c r="BO107" s="3">
        <v>500000</v>
      </c>
      <c r="BP107" s="3">
        <v>50000</v>
      </c>
      <c r="BQ107" s="3">
        <v>1000000</v>
      </c>
      <c r="BR107" s="3">
        <v>500000</v>
      </c>
      <c r="BS107">
        <v>100000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 t="s">
        <v>2943</v>
      </c>
      <c r="CA107" t="s">
        <v>2939</v>
      </c>
      <c r="CB107" t="s">
        <v>2941</v>
      </c>
    </row>
    <row r="108" spans="1:80" x14ac:dyDescent="0.25">
      <c r="A108">
        <v>106</v>
      </c>
      <c r="B108" t="s">
        <v>2125</v>
      </c>
      <c r="C108" s="1">
        <v>44786</v>
      </c>
      <c r="D108" s="2">
        <v>24</v>
      </c>
      <c r="E108" t="s">
        <v>4</v>
      </c>
      <c r="F108" t="s">
        <v>1311</v>
      </c>
      <c r="G108">
        <v>0</v>
      </c>
      <c r="H108" s="3">
        <v>4600000</v>
      </c>
      <c r="I108" s="3">
        <v>125000</v>
      </c>
      <c r="J108" s="3">
        <v>0</v>
      </c>
      <c r="K108" s="3">
        <v>0</v>
      </c>
      <c r="L108" s="3" t="s">
        <v>1191</v>
      </c>
      <c r="M108">
        <v>1565147</v>
      </c>
      <c r="N108" t="s">
        <v>296</v>
      </c>
      <c r="O108" t="s">
        <v>297</v>
      </c>
      <c r="P108" t="s">
        <v>298</v>
      </c>
      <c r="Q108" t="s">
        <v>15</v>
      </c>
      <c r="R108">
        <v>33143</v>
      </c>
      <c r="S108" t="s">
        <v>33</v>
      </c>
      <c r="T108" t="s">
        <v>972</v>
      </c>
      <c r="U108">
        <v>0</v>
      </c>
      <c r="V108" t="s">
        <v>995</v>
      </c>
      <c r="W108" t="s">
        <v>1194</v>
      </c>
      <c r="X108" t="s">
        <v>973</v>
      </c>
      <c r="Y108">
        <v>25000</v>
      </c>
      <c r="Z108" s="2">
        <v>10</v>
      </c>
      <c r="AA108" s="2" t="s">
        <v>1238</v>
      </c>
      <c r="AB108" t="s">
        <v>1238</v>
      </c>
      <c r="AC108">
        <v>679</v>
      </c>
      <c r="AD108" t="s">
        <v>1280</v>
      </c>
      <c r="AE108">
        <v>2</v>
      </c>
      <c r="AF108" t="s">
        <v>1293</v>
      </c>
      <c r="AG108">
        <v>0</v>
      </c>
      <c r="AH108">
        <v>1</v>
      </c>
      <c r="AI108">
        <v>1</v>
      </c>
      <c r="AJ108">
        <v>2015</v>
      </c>
      <c r="AK108" t="s">
        <v>1194</v>
      </c>
      <c r="AL108" t="s">
        <v>1194</v>
      </c>
      <c r="AM108" s="4" t="s">
        <v>1238</v>
      </c>
      <c r="AN108">
        <v>0</v>
      </c>
      <c r="AO108" t="s">
        <v>1317</v>
      </c>
      <c r="AP108">
        <f t="shared" si="2"/>
        <v>1</v>
      </c>
      <c r="AQ108">
        <v>1</v>
      </c>
      <c r="AR108" t="s">
        <v>1992</v>
      </c>
      <c r="AS108" t="s">
        <v>1996</v>
      </c>
      <c r="AT108" t="s">
        <v>1996</v>
      </c>
      <c r="AU108" t="s">
        <v>1996</v>
      </c>
      <c r="AV108" t="s">
        <v>1996</v>
      </c>
      <c r="AW108" t="s">
        <v>1996</v>
      </c>
      <c r="AX108" t="s">
        <v>2007</v>
      </c>
      <c r="AY108" t="s">
        <v>1995</v>
      </c>
      <c r="AZ108">
        <v>7488</v>
      </c>
      <c r="BA108" t="s">
        <v>1194</v>
      </c>
      <c r="BB108" t="s">
        <v>1194</v>
      </c>
      <c r="BC108" s="3">
        <v>12784.777700000001</v>
      </c>
      <c r="BD108" s="3">
        <v>24483</v>
      </c>
      <c r="BE108" s="3">
        <v>0</v>
      </c>
      <c r="BF108" s="3">
        <v>0</v>
      </c>
      <c r="BG108" s="3">
        <v>300</v>
      </c>
      <c r="BH108" s="3">
        <v>0</v>
      </c>
      <c r="BI108" s="3">
        <v>28015</v>
      </c>
      <c r="BJ108" s="3">
        <v>65583</v>
      </c>
      <c r="BK108" s="3">
        <v>750</v>
      </c>
      <c r="BL108" s="3">
        <v>66333</v>
      </c>
      <c r="BM108" s="2">
        <f t="shared" ca="1" si="3"/>
        <v>5</v>
      </c>
      <c r="BN108" s="3">
        <v>100000</v>
      </c>
      <c r="BO108" s="3">
        <v>25000</v>
      </c>
      <c r="BP108" s="3">
        <v>50000</v>
      </c>
      <c r="BQ108" s="3">
        <v>25000</v>
      </c>
      <c r="BR108" s="3" t="s">
        <v>2916</v>
      </c>
      <c r="BS108">
        <v>2000000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 t="s">
        <v>2940</v>
      </c>
      <c r="CA108" t="s">
        <v>2939</v>
      </c>
      <c r="CB108" t="s">
        <v>2941</v>
      </c>
    </row>
    <row r="109" spans="1:80" x14ac:dyDescent="0.25">
      <c r="A109">
        <v>107</v>
      </c>
      <c r="B109" t="s">
        <v>2126</v>
      </c>
      <c r="C109" s="1">
        <v>44698</v>
      </c>
      <c r="D109" s="2">
        <v>15</v>
      </c>
      <c r="E109" t="s">
        <v>4</v>
      </c>
      <c r="F109" t="s">
        <v>1311</v>
      </c>
      <c r="G109">
        <v>1</v>
      </c>
      <c r="H109" s="3">
        <v>3200000</v>
      </c>
      <c r="I109" s="3">
        <v>1000000</v>
      </c>
      <c r="J109" s="3">
        <v>0</v>
      </c>
      <c r="K109" s="3">
        <v>0</v>
      </c>
      <c r="L109" s="3" t="s">
        <v>1191</v>
      </c>
      <c r="M109">
        <v>1888166</v>
      </c>
      <c r="N109" t="s">
        <v>299</v>
      </c>
      <c r="P109" t="s">
        <v>300</v>
      </c>
      <c r="Q109" t="s">
        <v>18</v>
      </c>
      <c r="R109">
        <v>78619</v>
      </c>
      <c r="S109" t="s">
        <v>74</v>
      </c>
      <c r="T109" t="s">
        <v>973</v>
      </c>
      <c r="U109">
        <v>0</v>
      </c>
      <c r="V109">
        <v>1300</v>
      </c>
      <c r="W109" t="s">
        <v>1195</v>
      </c>
      <c r="X109" t="s">
        <v>973</v>
      </c>
      <c r="Y109">
        <v>10000</v>
      </c>
      <c r="Z109" s="2" t="s">
        <v>1194</v>
      </c>
      <c r="AA109" s="2">
        <v>0</v>
      </c>
      <c r="AB109" t="s">
        <v>1238</v>
      </c>
      <c r="AC109">
        <v>652</v>
      </c>
      <c r="AD109" t="s">
        <v>1279</v>
      </c>
      <c r="AE109">
        <v>3</v>
      </c>
      <c r="AF109" t="s">
        <v>1290</v>
      </c>
      <c r="AG109">
        <v>0</v>
      </c>
      <c r="AH109">
        <v>0</v>
      </c>
      <c r="AI109">
        <v>0</v>
      </c>
      <c r="AJ109">
        <v>2022</v>
      </c>
      <c r="AK109" t="s">
        <v>1194</v>
      </c>
      <c r="AL109" t="s">
        <v>1194</v>
      </c>
      <c r="AM109" s="4" t="s">
        <v>1238</v>
      </c>
      <c r="AN109">
        <v>1</v>
      </c>
      <c r="AO109" t="s">
        <v>1316</v>
      </c>
      <c r="AP109">
        <f t="shared" si="2"/>
        <v>0</v>
      </c>
      <c r="AQ109">
        <v>0</v>
      </c>
      <c r="AR109" t="s">
        <v>1993</v>
      </c>
      <c r="AS109" t="s">
        <v>1995</v>
      </c>
      <c r="AT109" t="s">
        <v>1995</v>
      </c>
      <c r="AU109" t="s">
        <v>1996</v>
      </c>
      <c r="AV109" t="s">
        <v>1996</v>
      </c>
      <c r="AW109" t="s">
        <v>1996</v>
      </c>
      <c r="AX109" t="s">
        <v>2006</v>
      </c>
      <c r="AY109" t="s">
        <v>1996</v>
      </c>
      <c r="AZ109">
        <v>1</v>
      </c>
      <c r="BA109" t="s">
        <v>1194</v>
      </c>
      <c r="BB109" t="s">
        <v>1194</v>
      </c>
      <c r="BC109" s="3">
        <v>13611.0072</v>
      </c>
      <c r="BD109" s="3">
        <v>7562.77</v>
      </c>
      <c r="BE109" s="3">
        <v>0</v>
      </c>
      <c r="BF109" s="3">
        <v>0</v>
      </c>
      <c r="BG109" s="3">
        <v>120</v>
      </c>
      <c r="BH109" s="3">
        <v>0</v>
      </c>
      <c r="BI109" s="3">
        <v>-2646</v>
      </c>
      <c r="BJ109" s="3">
        <v>18648</v>
      </c>
      <c r="BK109" s="3">
        <v>0</v>
      </c>
      <c r="BL109" s="3">
        <v>18648</v>
      </c>
      <c r="BM109" s="2">
        <f t="shared" ca="1" si="3"/>
        <v>6</v>
      </c>
      <c r="BN109" s="3" t="s">
        <v>2916</v>
      </c>
      <c r="BO109" s="3">
        <v>250000</v>
      </c>
      <c r="BP109" s="3">
        <v>50000</v>
      </c>
      <c r="BQ109" s="3">
        <v>1000000</v>
      </c>
      <c r="BR109" s="3">
        <v>1000000</v>
      </c>
      <c r="BS109">
        <v>2000000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 t="s">
        <v>2006</v>
      </c>
      <c r="CA109" t="s">
        <v>2006</v>
      </c>
      <c r="CB109" t="s">
        <v>2006</v>
      </c>
    </row>
    <row r="110" spans="1:80" x14ac:dyDescent="0.25">
      <c r="A110">
        <v>108</v>
      </c>
      <c r="B110" t="s">
        <v>2127</v>
      </c>
      <c r="C110" s="1">
        <v>44685</v>
      </c>
      <c r="D110" s="2">
        <v>15</v>
      </c>
      <c r="E110" t="s">
        <v>4</v>
      </c>
      <c r="F110" t="s">
        <v>1311</v>
      </c>
      <c r="G110">
        <v>0</v>
      </c>
      <c r="H110" s="3">
        <v>2326475</v>
      </c>
      <c r="I110" s="3">
        <v>150000</v>
      </c>
      <c r="J110" s="3">
        <v>0</v>
      </c>
      <c r="K110" s="3">
        <v>0</v>
      </c>
      <c r="L110" s="3" t="s">
        <v>1191</v>
      </c>
      <c r="M110">
        <v>515181</v>
      </c>
      <c r="N110" t="s">
        <v>301</v>
      </c>
      <c r="P110" t="s">
        <v>302</v>
      </c>
      <c r="Q110" t="s">
        <v>19</v>
      </c>
      <c r="R110">
        <v>94110</v>
      </c>
      <c r="S110" t="s">
        <v>62</v>
      </c>
      <c r="T110" t="s">
        <v>975</v>
      </c>
      <c r="U110">
        <v>0</v>
      </c>
      <c r="V110">
        <v>33</v>
      </c>
      <c r="W110" t="s">
        <v>1198</v>
      </c>
      <c r="X110" t="s">
        <v>973</v>
      </c>
      <c r="Y110">
        <v>10000</v>
      </c>
      <c r="Z110" s="2" t="s">
        <v>1194</v>
      </c>
      <c r="AA110" s="2" t="s">
        <v>1238</v>
      </c>
      <c r="AB110" t="s">
        <v>1238</v>
      </c>
      <c r="AC110" t="s">
        <v>1194</v>
      </c>
      <c r="AD110" t="s">
        <v>1279</v>
      </c>
      <c r="AE110">
        <v>1</v>
      </c>
      <c r="AF110" t="s">
        <v>1294</v>
      </c>
      <c r="AG110">
        <v>0</v>
      </c>
      <c r="AH110">
        <v>0</v>
      </c>
      <c r="AI110">
        <v>0</v>
      </c>
      <c r="AJ110">
        <v>2007</v>
      </c>
      <c r="AK110" t="s">
        <v>1194</v>
      </c>
      <c r="AL110" t="s">
        <v>1194</v>
      </c>
      <c r="AM110" s="4" t="s">
        <v>1238</v>
      </c>
      <c r="AN110">
        <v>0</v>
      </c>
      <c r="AO110" t="s">
        <v>1316</v>
      </c>
      <c r="AP110">
        <f t="shared" si="2"/>
        <v>0</v>
      </c>
      <c r="AQ110">
        <v>0</v>
      </c>
      <c r="AR110" t="s">
        <v>1993</v>
      </c>
      <c r="AS110" t="s">
        <v>1996</v>
      </c>
      <c r="AT110" t="s">
        <v>1995</v>
      </c>
      <c r="AU110" t="s">
        <v>1996</v>
      </c>
      <c r="AV110" t="s">
        <v>1996</v>
      </c>
      <c r="AW110" t="s">
        <v>1996</v>
      </c>
      <c r="AX110" t="s">
        <v>1194</v>
      </c>
      <c r="AY110" t="s">
        <v>1996</v>
      </c>
      <c r="AZ110">
        <v>2370</v>
      </c>
      <c r="BA110">
        <v>5</v>
      </c>
      <c r="BB110" t="s">
        <v>2014</v>
      </c>
      <c r="BC110" s="3">
        <v>0</v>
      </c>
      <c r="BD110" s="3">
        <v>0</v>
      </c>
      <c r="BE110" s="3">
        <v>5053.04</v>
      </c>
      <c r="BF110" s="3">
        <v>1868</v>
      </c>
      <c r="BG110" s="3">
        <v>150</v>
      </c>
      <c r="BH110" s="3">
        <v>0</v>
      </c>
      <c r="BI110" s="3">
        <v>11596.38</v>
      </c>
      <c r="BJ110" s="3">
        <v>18667.419999999998</v>
      </c>
      <c r="BK110" s="3">
        <v>0</v>
      </c>
      <c r="BL110" s="3">
        <v>18667.419999999998</v>
      </c>
      <c r="BM110" s="2">
        <f t="shared" ca="1" si="3"/>
        <v>2</v>
      </c>
      <c r="BN110" s="3" t="s">
        <v>2916</v>
      </c>
      <c r="BO110" s="3">
        <v>50000</v>
      </c>
      <c r="BP110" s="3">
        <v>50000</v>
      </c>
      <c r="BQ110" s="3">
        <v>50000</v>
      </c>
      <c r="BR110" s="3" t="s">
        <v>2916</v>
      </c>
      <c r="BS110">
        <v>1000000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 t="s">
        <v>2950</v>
      </c>
      <c r="CA110" t="s">
        <v>1194</v>
      </c>
      <c r="CB110" t="s">
        <v>2949</v>
      </c>
    </row>
    <row r="111" spans="1:80" x14ac:dyDescent="0.25">
      <c r="A111">
        <v>109</v>
      </c>
      <c r="B111" t="s">
        <v>2128</v>
      </c>
      <c r="C111" s="1">
        <v>44818</v>
      </c>
      <c r="D111" s="2">
        <v>27</v>
      </c>
      <c r="E111" t="s">
        <v>4</v>
      </c>
      <c r="F111" t="s">
        <v>1311</v>
      </c>
      <c r="G111">
        <v>1</v>
      </c>
      <c r="H111" s="3">
        <v>4119000</v>
      </c>
      <c r="I111" s="3">
        <v>522000</v>
      </c>
      <c r="J111" s="3">
        <v>0</v>
      </c>
      <c r="K111" s="3">
        <v>0</v>
      </c>
      <c r="L111" s="3" t="s">
        <v>1191</v>
      </c>
      <c r="M111">
        <v>45842</v>
      </c>
      <c r="N111" t="s">
        <v>303</v>
      </c>
      <c r="P111" t="s">
        <v>304</v>
      </c>
      <c r="Q111" t="s">
        <v>15</v>
      </c>
      <c r="R111">
        <v>32963</v>
      </c>
      <c r="S111" t="s">
        <v>54</v>
      </c>
      <c r="T111" t="s">
        <v>967</v>
      </c>
      <c r="U111">
        <v>0</v>
      </c>
      <c r="V111" t="s">
        <v>1023</v>
      </c>
      <c r="W111" t="s">
        <v>1194</v>
      </c>
      <c r="X111" t="s">
        <v>973</v>
      </c>
      <c r="Y111">
        <v>50000</v>
      </c>
      <c r="Z111" s="2">
        <v>10</v>
      </c>
      <c r="AA111" s="2" t="s">
        <v>1238</v>
      </c>
      <c r="AB111" t="s">
        <v>1238</v>
      </c>
      <c r="AC111">
        <v>854</v>
      </c>
      <c r="AD111" t="s">
        <v>1280</v>
      </c>
      <c r="AE111">
        <v>2</v>
      </c>
      <c r="AF111" t="s">
        <v>1290</v>
      </c>
      <c r="AG111">
        <v>0</v>
      </c>
      <c r="AH111">
        <v>0</v>
      </c>
      <c r="AI111">
        <v>0</v>
      </c>
      <c r="AJ111">
        <v>1993</v>
      </c>
      <c r="AK111" t="s">
        <v>1194</v>
      </c>
      <c r="AL111">
        <v>2000</v>
      </c>
      <c r="AM111" s="4" t="s">
        <v>1238</v>
      </c>
      <c r="AN111">
        <v>1</v>
      </c>
      <c r="AO111" t="s">
        <v>1316</v>
      </c>
      <c r="AP111">
        <f t="shared" si="2"/>
        <v>0</v>
      </c>
      <c r="AQ111">
        <v>1</v>
      </c>
      <c r="AR111" t="s">
        <v>1992</v>
      </c>
      <c r="AS111" t="s">
        <v>1996</v>
      </c>
      <c r="AT111" t="s">
        <v>1995</v>
      </c>
      <c r="AU111" t="s">
        <v>1996</v>
      </c>
      <c r="AV111" t="s">
        <v>1996</v>
      </c>
      <c r="AW111" t="s">
        <v>1995</v>
      </c>
      <c r="AX111" t="s">
        <v>2009</v>
      </c>
      <c r="AY111" t="s">
        <v>1995</v>
      </c>
      <c r="AZ111">
        <v>5896</v>
      </c>
      <c r="BA111" t="s">
        <v>1194</v>
      </c>
      <c r="BB111" t="s">
        <v>1194</v>
      </c>
      <c r="BC111" s="3">
        <v>8830.1651000000002</v>
      </c>
      <c r="BD111" s="3">
        <v>17360.39</v>
      </c>
      <c r="BE111" s="3">
        <v>0</v>
      </c>
      <c r="BF111" s="3">
        <v>0</v>
      </c>
      <c r="BG111" s="3">
        <v>200</v>
      </c>
      <c r="BH111" s="3">
        <v>0</v>
      </c>
      <c r="BI111" s="3">
        <v>11237</v>
      </c>
      <c r="BJ111" s="3">
        <v>37628</v>
      </c>
      <c r="BK111" s="3">
        <v>0</v>
      </c>
      <c r="BL111" s="3">
        <v>37628</v>
      </c>
      <c r="BM111" s="2">
        <f t="shared" ca="1" si="3"/>
        <v>6</v>
      </c>
      <c r="BN111" s="3">
        <v>100000</v>
      </c>
      <c r="BO111" s="3">
        <v>500000</v>
      </c>
      <c r="BP111" s="3">
        <v>50000</v>
      </c>
      <c r="BQ111" s="3">
        <v>50000</v>
      </c>
      <c r="BR111" s="3">
        <v>50000</v>
      </c>
      <c r="BS111">
        <v>500000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 t="s">
        <v>2947</v>
      </c>
      <c r="CA111" t="s">
        <v>2939</v>
      </c>
      <c r="CB111" t="s">
        <v>2941</v>
      </c>
    </row>
    <row r="112" spans="1:80" x14ac:dyDescent="0.25">
      <c r="A112">
        <v>110</v>
      </c>
      <c r="B112" t="s">
        <v>2129</v>
      </c>
      <c r="C112" s="1">
        <v>44823</v>
      </c>
      <c r="D112" s="2">
        <v>27</v>
      </c>
      <c r="E112" t="s">
        <v>4</v>
      </c>
      <c r="F112" t="s">
        <v>1311</v>
      </c>
      <c r="G112">
        <v>0</v>
      </c>
      <c r="H112" s="3">
        <v>3100000</v>
      </c>
      <c r="I112" s="3">
        <v>0</v>
      </c>
      <c r="J112" s="3">
        <v>0</v>
      </c>
      <c r="K112" s="3">
        <v>0</v>
      </c>
      <c r="L112" s="3" t="s">
        <v>1191</v>
      </c>
      <c r="M112">
        <v>1291800</v>
      </c>
      <c r="N112" t="s">
        <v>305</v>
      </c>
      <c r="P112" t="s">
        <v>306</v>
      </c>
      <c r="Q112" t="s">
        <v>13</v>
      </c>
      <c r="R112">
        <v>1930</v>
      </c>
      <c r="S112" t="s">
        <v>75</v>
      </c>
      <c r="T112" t="s">
        <v>970</v>
      </c>
      <c r="U112">
        <v>1</v>
      </c>
      <c r="V112" t="s">
        <v>1054</v>
      </c>
      <c r="W112" t="s">
        <v>1194</v>
      </c>
      <c r="X112" t="s">
        <v>1309</v>
      </c>
      <c r="Y112">
        <v>10000</v>
      </c>
      <c r="Z112" s="2">
        <v>2</v>
      </c>
      <c r="AA112" s="2" t="s">
        <v>1238</v>
      </c>
      <c r="AB112" t="s">
        <v>1238</v>
      </c>
      <c r="AC112">
        <v>758</v>
      </c>
      <c r="AD112" t="s">
        <v>1279</v>
      </c>
      <c r="AE112">
        <v>4</v>
      </c>
      <c r="AF112" t="s">
        <v>1290</v>
      </c>
      <c r="AG112">
        <v>0</v>
      </c>
      <c r="AH112">
        <v>0</v>
      </c>
      <c r="AI112">
        <v>0</v>
      </c>
      <c r="AJ112">
        <v>2022</v>
      </c>
      <c r="AK112" t="s">
        <v>1194</v>
      </c>
      <c r="AL112" t="s">
        <v>1194</v>
      </c>
      <c r="AM112" s="4" t="s">
        <v>1238</v>
      </c>
      <c r="AN112">
        <v>0</v>
      </c>
      <c r="AO112" t="s">
        <v>1316</v>
      </c>
      <c r="AP112">
        <f t="shared" si="2"/>
        <v>0</v>
      </c>
      <c r="AQ112">
        <v>0</v>
      </c>
      <c r="AR112" t="s">
        <v>1993</v>
      </c>
      <c r="AS112" t="s">
        <v>1996</v>
      </c>
      <c r="AT112" t="s">
        <v>1995</v>
      </c>
      <c r="AU112" t="s">
        <v>1996</v>
      </c>
      <c r="AV112" t="s">
        <v>1996</v>
      </c>
      <c r="AW112" t="s">
        <v>1995</v>
      </c>
      <c r="AX112" t="s">
        <v>2003</v>
      </c>
      <c r="AY112" t="s">
        <v>1996</v>
      </c>
      <c r="AZ112">
        <v>2021</v>
      </c>
      <c r="BA112" t="s">
        <v>1194</v>
      </c>
      <c r="BB112" t="s">
        <v>1194</v>
      </c>
      <c r="BC112" s="3">
        <v>4391.3402999999998</v>
      </c>
      <c r="BD112" s="3">
        <v>4383.68</v>
      </c>
      <c r="BE112" s="3">
        <v>0</v>
      </c>
      <c r="BF112" s="3">
        <v>0</v>
      </c>
      <c r="BG112" s="3">
        <v>120</v>
      </c>
      <c r="BH112" s="3">
        <v>0</v>
      </c>
      <c r="BI112" s="3">
        <v>4685</v>
      </c>
      <c r="BJ112" s="3">
        <v>13580</v>
      </c>
      <c r="BK112" s="3">
        <v>350</v>
      </c>
      <c r="BL112" s="3">
        <v>13930</v>
      </c>
      <c r="BM112" s="2">
        <f t="shared" ca="1" si="3"/>
        <v>2</v>
      </c>
      <c r="BN112" s="3">
        <v>2000000</v>
      </c>
      <c r="BO112" s="3">
        <v>25000</v>
      </c>
      <c r="BP112" s="3">
        <v>50000</v>
      </c>
      <c r="BQ112" s="3">
        <v>1000000</v>
      </c>
      <c r="BR112" s="3">
        <v>250000</v>
      </c>
      <c r="BS112">
        <v>50000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 t="s">
        <v>2006</v>
      </c>
      <c r="CA112" t="s">
        <v>2006</v>
      </c>
      <c r="CB112" t="s">
        <v>2006</v>
      </c>
    </row>
    <row r="113" spans="1:80" x14ac:dyDescent="0.25">
      <c r="A113">
        <v>111</v>
      </c>
      <c r="B113" t="s">
        <v>2130</v>
      </c>
      <c r="C113" s="1">
        <v>44949</v>
      </c>
      <c r="D113" s="2">
        <v>3</v>
      </c>
      <c r="E113" t="s">
        <v>4</v>
      </c>
      <c r="F113" t="s">
        <v>1310</v>
      </c>
      <c r="G113">
        <v>0</v>
      </c>
      <c r="H113" s="3">
        <v>3500000</v>
      </c>
      <c r="I113" s="3">
        <v>0</v>
      </c>
      <c r="J113" s="3">
        <v>0</v>
      </c>
      <c r="K113" s="3">
        <v>0</v>
      </c>
      <c r="L113" s="3" t="s">
        <v>1191</v>
      </c>
      <c r="M113">
        <v>1853399</v>
      </c>
      <c r="N113" t="s">
        <v>307</v>
      </c>
      <c r="P113" t="s">
        <v>308</v>
      </c>
      <c r="Q113" t="s">
        <v>13</v>
      </c>
      <c r="R113">
        <v>2655</v>
      </c>
      <c r="S113" t="s">
        <v>51</v>
      </c>
      <c r="T113" t="s">
        <v>962</v>
      </c>
      <c r="U113">
        <v>0</v>
      </c>
      <c r="V113" t="s">
        <v>1055</v>
      </c>
      <c r="W113" t="s">
        <v>1194</v>
      </c>
      <c r="X113" t="s">
        <v>973</v>
      </c>
      <c r="Y113">
        <v>10000</v>
      </c>
      <c r="Z113" s="2">
        <v>2</v>
      </c>
      <c r="AA113" s="2" t="s">
        <v>1238</v>
      </c>
      <c r="AB113" t="s">
        <v>1238</v>
      </c>
      <c r="AC113">
        <v>732</v>
      </c>
      <c r="AD113" t="s">
        <v>1279</v>
      </c>
      <c r="AE113">
        <v>2</v>
      </c>
      <c r="AF113" t="s">
        <v>1290</v>
      </c>
      <c r="AG113">
        <v>0</v>
      </c>
      <c r="AH113">
        <v>0</v>
      </c>
      <c r="AI113">
        <v>0</v>
      </c>
      <c r="AJ113">
        <v>2022</v>
      </c>
      <c r="AK113" t="s">
        <v>1194</v>
      </c>
      <c r="AL113" t="s">
        <v>1194</v>
      </c>
      <c r="AM113" s="4" t="s">
        <v>1304</v>
      </c>
      <c r="AN113">
        <v>1</v>
      </c>
      <c r="AO113" t="s">
        <v>1316</v>
      </c>
      <c r="AP113">
        <f t="shared" si="2"/>
        <v>0</v>
      </c>
      <c r="AQ113">
        <v>0</v>
      </c>
      <c r="AR113" t="s">
        <v>1993</v>
      </c>
      <c r="AS113" t="s">
        <v>1996</v>
      </c>
      <c r="AT113" t="s">
        <v>1996</v>
      </c>
      <c r="AU113" t="s">
        <v>1996</v>
      </c>
      <c r="AV113" t="s">
        <v>1996</v>
      </c>
      <c r="AW113" t="s">
        <v>1996</v>
      </c>
      <c r="AX113" t="s">
        <v>2006</v>
      </c>
      <c r="AY113" t="s">
        <v>1996</v>
      </c>
      <c r="AZ113">
        <v>4500</v>
      </c>
      <c r="BA113" t="s">
        <v>1194</v>
      </c>
      <c r="BB113" t="s">
        <v>1194</v>
      </c>
      <c r="BC113" s="3">
        <v>5819.3657999999996</v>
      </c>
      <c r="BD113" s="3">
        <v>3698.96</v>
      </c>
      <c r="BE113" s="3">
        <v>0</v>
      </c>
      <c r="BF113" s="3">
        <v>0</v>
      </c>
      <c r="BG113" s="3">
        <v>150</v>
      </c>
      <c r="BH113" s="3">
        <v>0</v>
      </c>
      <c r="BI113" s="3">
        <v>9739</v>
      </c>
      <c r="BJ113" s="3">
        <v>19407</v>
      </c>
      <c r="BK113" s="3">
        <v>0</v>
      </c>
      <c r="BL113" s="3">
        <v>19407</v>
      </c>
      <c r="BM113" s="2">
        <f t="shared" ca="1" si="3"/>
        <v>4</v>
      </c>
      <c r="BN113" s="3">
        <v>100000</v>
      </c>
      <c r="BO113" s="3">
        <v>25000</v>
      </c>
      <c r="BP113" s="3" t="s">
        <v>2922</v>
      </c>
      <c r="BQ113" s="3">
        <v>50000</v>
      </c>
      <c r="BR113" s="3" t="s">
        <v>2916</v>
      </c>
      <c r="BS113">
        <v>1000000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 t="s">
        <v>2947</v>
      </c>
      <c r="CA113" t="s">
        <v>2006</v>
      </c>
      <c r="CB113" t="s">
        <v>2006</v>
      </c>
    </row>
    <row r="114" spans="1:80" x14ac:dyDescent="0.25">
      <c r="A114">
        <v>112</v>
      </c>
      <c r="B114" t="s">
        <v>2131</v>
      </c>
      <c r="C114" s="1">
        <v>44971</v>
      </c>
      <c r="D114" s="2">
        <v>6</v>
      </c>
      <c r="E114" t="s">
        <v>4</v>
      </c>
      <c r="F114" t="s">
        <v>1310</v>
      </c>
      <c r="G114">
        <v>0</v>
      </c>
      <c r="H114" s="3">
        <v>1500000</v>
      </c>
      <c r="I114" s="3">
        <v>200000</v>
      </c>
      <c r="J114" s="3">
        <v>0</v>
      </c>
      <c r="K114" s="3">
        <v>0</v>
      </c>
      <c r="L114" s="3" t="s">
        <v>1191</v>
      </c>
      <c r="M114">
        <v>1853399</v>
      </c>
      <c r="N114" t="s">
        <v>307</v>
      </c>
      <c r="P114" t="s">
        <v>308</v>
      </c>
      <c r="Q114" t="s">
        <v>13</v>
      </c>
      <c r="R114">
        <v>2655</v>
      </c>
      <c r="S114" t="s">
        <v>51</v>
      </c>
      <c r="T114" t="s">
        <v>962</v>
      </c>
      <c r="U114">
        <v>0</v>
      </c>
      <c r="V114" t="s">
        <v>1055</v>
      </c>
      <c r="W114" t="s">
        <v>1194</v>
      </c>
      <c r="X114" t="s">
        <v>973</v>
      </c>
      <c r="Y114">
        <v>10000</v>
      </c>
      <c r="Z114" s="2">
        <v>2</v>
      </c>
      <c r="AA114" s="2" t="s">
        <v>1238</v>
      </c>
      <c r="AB114" t="s">
        <v>1238</v>
      </c>
      <c r="AC114">
        <v>732</v>
      </c>
      <c r="AD114" t="s">
        <v>1279</v>
      </c>
      <c r="AE114">
        <v>2</v>
      </c>
      <c r="AF114" t="s">
        <v>1290</v>
      </c>
      <c r="AG114">
        <v>0</v>
      </c>
      <c r="AH114">
        <v>0</v>
      </c>
      <c r="AI114">
        <v>0</v>
      </c>
      <c r="AJ114">
        <v>2022</v>
      </c>
      <c r="AK114" t="s">
        <v>1194</v>
      </c>
      <c r="AL114" t="s">
        <v>1194</v>
      </c>
      <c r="AM114" s="4" t="s">
        <v>1304</v>
      </c>
      <c r="AN114">
        <v>1</v>
      </c>
      <c r="AO114" t="s">
        <v>1316</v>
      </c>
      <c r="AP114">
        <f t="shared" si="2"/>
        <v>0</v>
      </c>
      <c r="AQ114">
        <v>1</v>
      </c>
      <c r="AR114" t="s">
        <v>1992</v>
      </c>
      <c r="AS114" t="s">
        <v>1995</v>
      </c>
      <c r="AT114" t="s">
        <v>1995</v>
      </c>
      <c r="AU114" t="s">
        <v>1996</v>
      </c>
      <c r="AV114" t="s">
        <v>1996</v>
      </c>
      <c r="AW114" t="s">
        <v>1996</v>
      </c>
      <c r="AX114" t="s">
        <v>2006</v>
      </c>
      <c r="AY114" t="s">
        <v>1996</v>
      </c>
      <c r="AZ114">
        <v>1800</v>
      </c>
      <c r="BA114" t="s">
        <v>1194</v>
      </c>
      <c r="BB114" t="s">
        <v>1194</v>
      </c>
      <c r="BC114" s="3">
        <v>3283.0372000000002</v>
      </c>
      <c r="BD114" s="3">
        <v>2513.21</v>
      </c>
      <c r="BE114" s="3">
        <v>0</v>
      </c>
      <c r="BF114" s="3">
        <v>0</v>
      </c>
      <c r="BG114" s="3">
        <v>150</v>
      </c>
      <c r="BH114" s="3">
        <v>0</v>
      </c>
      <c r="BI114" s="3">
        <v>2054</v>
      </c>
      <c r="BJ114" s="3">
        <v>8000</v>
      </c>
      <c r="BK114" s="3">
        <v>150</v>
      </c>
      <c r="BL114" s="3">
        <v>8150</v>
      </c>
      <c r="BM114" s="2">
        <f t="shared" ca="1" si="3"/>
        <v>5</v>
      </c>
      <c r="BN114" s="3">
        <v>50000</v>
      </c>
      <c r="BO114" s="3">
        <v>100000</v>
      </c>
      <c r="BP114" s="3" t="s">
        <v>2922</v>
      </c>
      <c r="BQ114" s="3">
        <v>1000000</v>
      </c>
      <c r="BR114" s="3">
        <v>1000000</v>
      </c>
      <c r="BS114">
        <v>50000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 t="s">
        <v>2942</v>
      </c>
      <c r="CA114" t="s">
        <v>2006</v>
      </c>
      <c r="CB114" t="s">
        <v>2006</v>
      </c>
    </row>
    <row r="115" spans="1:80" x14ac:dyDescent="0.25">
      <c r="A115">
        <v>113</v>
      </c>
      <c r="B115" t="s">
        <v>2132</v>
      </c>
      <c r="C115" s="1">
        <v>44891</v>
      </c>
      <c r="D115" s="2">
        <v>33</v>
      </c>
      <c r="E115" t="s">
        <v>4</v>
      </c>
      <c r="F115" t="s">
        <v>1311</v>
      </c>
      <c r="G115">
        <v>0</v>
      </c>
      <c r="H115" s="3">
        <v>11793000</v>
      </c>
      <c r="I115" s="3">
        <v>771000</v>
      </c>
      <c r="J115" s="3">
        <v>0</v>
      </c>
      <c r="K115" s="3">
        <v>0</v>
      </c>
      <c r="L115" s="3" t="s">
        <v>1191</v>
      </c>
      <c r="M115">
        <v>1327040</v>
      </c>
      <c r="N115" t="s">
        <v>309</v>
      </c>
      <c r="P115" t="s">
        <v>310</v>
      </c>
      <c r="Q115" t="s">
        <v>15</v>
      </c>
      <c r="R115">
        <v>33140</v>
      </c>
      <c r="S115" t="s">
        <v>33</v>
      </c>
      <c r="T115" t="s">
        <v>967</v>
      </c>
      <c r="U115">
        <v>1</v>
      </c>
      <c r="V115" t="s">
        <v>1056</v>
      </c>
      <c r="W115" t="s">
        <v>1194</v>
      </c>
      <c r="X115" t="s">
        <v>1309</v>
      </c>
      <c r="Y115">
        <v>25000</v>
      </c>
      <c r="Z115" s="2">
        <v>5</v>
      </c>
      <c r="AA115" s="2" t="s">
        <v>1238</v>
      </c>
      <c r="AB115" t="s">
        <v>1238</v>
      </c>
      <c r="AC115">
        <v>960</v>
      </c>
      <c r="AD115" t="s">
        <v>1280</v>
      </c>
      <c r="AE115">
        <v>1</v>
      </c>
      <c r="AF115" t="s">
        <v>1291</v>
      </c>
      <c r="AG115">
        <v>0</v>
      </c>
      <c r="AH115">
        <v>0</v>
      </c>
      <c r="AI115">
        <v>0</v>
      </c>
      <c r="AJ115">
        <v>2019</v>
      </c>
      <c r="AK115" t="s">
        <v>1194</v>
      </c>
      <c r="AL115" t="s">
        <v>1194</v>
      </c>
      <c r="AM115" s="4" t="s">
        <v>1238</v>
      </c>
      <c r="AN115">
        <v>0</v>
      </c>
      <c r="AO115" t="s">
        <v>1315</v>
      </c>
      <c r="AP115">
        <f t="shared" si="2"/>
        <v>0</v>
      </c>
      <c r="AQ115">
        <v>0</v>
      </c>
      <c r="AR115" t="s">
        <v>1993</v>
      </c>
      <c r="AS115" t="s">
        <v>1996</v>
      </c>
      <c r="AT115" t="s">
        <v>1995</v>
      </c>
      <c r="AU115" t="s">
        <v>1996</v>
      </c>
      <c r="AV115" t="s">
        <v>1995</v>
      </c>
      <c r="AW115" t="s">
        <v>1996</v>
      </c>
      <c r="AX115" t="s">
        <v>2007</v>
      </c>
      <c r="AY115" t="s">
        <v>1995</v>
      </c>
      <c r="AZ115">
        <v>6955</v>
      </c>
      <c r="BA115" t="s">
        <v>1194</v>
      </c>
      <c r="BB115" t="s">
        <v>1194</v>
      </c>
      <c r="BC115" s="3">
        <v>24667.250499999998</v>
      </c>
      <c r="BD115" s="3">
        <v>85945.34</v>
      </c>
      <c r="BE115" s="3">
        <v>0</v>
      </c>
      <c r="BF115" s="3">
        <v>0</v>
      </c>
      <c r="BG115" s="3">
        <v>300</v>
      </c>
      <c r="BH115" s="3">
        <v>0</v>
      </c>
      <c r="BI115" s="3">
        <v>46137</v>
      </c>
      <c r="BJ115" s="3">
        <v>157050</v>
      </c>
      <c r="BK115" s="3">
        <v>4147.66</v>
      </c>
      <c r="BL115" s="3">
        <v>161197.66</v>
      </c>
      <c r="BM115" s="2">
        <f t="shared" ca="1" si="3"/>
        <v>2</v>
      </c>
      <c r="BN115" s="3">
        <v>50000</v>
      </c>
      <c r="BO115" s="3">
        <v>100000</v>
      </c>
      <c r="BP115" s="3">
        <v>50000</v>
      </c>
      <c r="BQ115" s="3">
        <v>25000</v>
      </c>
      <c r="BR115" s="3">
        <v>500000</v>
      </c>
      <c r="BS115">
        <v>500000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 t="s">
        <v>2940</v>
      </c>
      <c r="CA115" t="s">
        <v>2939</v>
      </c>
      <c r="CB115" t="s">
        <v>2941</v>
      </c>
    </row>
    <row r="116" spans="1:80" x14ac:dyDescent="0.25">
      <c r="A116">
        <v>114</v>
      </c>
      <c r="B116" t="s">
        <v>2133</v>
      </c>
      <c r="C116" s="1">
        <v>44845</v>
      </c>
      <c r="D116" s="2">
        <v>30</v>
      </c>
      <c r="E116" t="s">
        <v>4</v>
      </c>
      <c r="F116" t="s">
        <v>1311</v>
      </c>
      <c r="G116">
        <v>0</v>
      </c>
      <c r="H116" s="3">
        <v>0</v>
      </c>
      <c r="I116" s="3">
        <v>0</v>
      </c>
      <c r="J116" s="3">
        <v>2375000</v>
      </c>
      <c r="K116" s="3">
        <v>0</v>
      </c>
      <c r="L116" s="3" t="s">
        <v>1192</v>
      </c>
      <c r="M116">
        <v>1924427</v>
      </c>
      <c r="N116" t="s">
        <v>311</v>
      </c>
      <c r="P116" t="s">
        <v>312</v>
      </c>
      <c r="Q116" t="s">
        <v>14</v>
      </c>
      <c r="R116">
        <v>10706</v>
      </c>
      <c r="S116" t="s">
        <v>36</v>
      </c>
      <c r="T116" t="s">
        <v>968</v>
      </c>
      <c r="U116">
        <v>0</v>
      </c>
      <c r="V116" t="s">
        <v>1057</v>
      </c>
      <c r="W116" t="s">
        <v>1194</v>
      </c>
      <c r="X116" t="s">
        <v>973</v>
      </c>
      <c r="Y116">
        <v>10000</v>
      </c>
      <c r="Z116" s="2">
        <v>2</v>
      </c>
      <c r="AA116" s="2" t="s">
        <v>1238</v>
      </c>
      <c r="AB116" t="s">
        <v>1238</v>
      </c>
      <c r="AC116">
        <v>867</v>
      </c>
      <c r="AD116" t="s">
        <v>1279</v>
      </c>
      <c r="AE116">
        <v>3</v>
      </c>
      <c r="AF116" t="s">
        <v>1290</v>
      </c>
      <c r="AG116">
        <v>0</v>
      </c>
      <c r="AH116">
        <v>0</v>
      </c>
      <c r="AI116">
        <v>0</v>
      </c>
      <c r="AJ116">
        <v>1983</v>
      </c>
      <c r="AK116" t="s">
        <v>1194</v>
      </c>
      <c r="AL116" t="s">
        <v>1194</v>
      </c>
      <c r="AM116" s="4" t="s">
        <v>1238</v>
      </c>
      <c r="AN116">
        <v>0</v>
      </c>
      <c r="AO116" t="s">
        <v>1315</v>
      </c>
      <c r="AP116">
        <f t="shared" si="2"/>
        <v>0</v>
      </c>
      <c r="AQ116">
        <v>0</v>
      </c>
      <c r="AR116" t="s">
        <v>1993</v>
      </c>
      <c r="AS116" t="s">
        <v>1996</v>
      </c>
      <c r="AT116" t="s">
        <v>1995</v>
      </c>
      <c r="AU116" t="s">
        <v>1995</v>
      </c>
      <c r="AV116" t="s">
        <v>1995</v>
      </c>
      <c r="AW116" t="s">
        <v>1995</v>
      </c>
      <c r="AX116" t="s">
        <v>2006</v>
      </c>
      <c r="AY116" t="s">
        <v>1996</v>
      </c>
      <c r="AZ116">
        <v>3342</v>
      </c>
      <c r="BA116" t="s">
        <v>1194</v>
      </c>
      <c r="BB116" t="s">
        <v>1194</v>
      </c>
      <c r="BC116" s="3">
        <v>12939.749299999999</v>
      </c>
      <c r="BD116" s="3">
        <v>1929.78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14870</v>
      </c>
      <c r="BK116" s="3">
        <v>0</v>
      </c>
      <c r="BL116" s="3">
        <v>14870</v>
      </c>
      <c r="BM116" s="2">
        <f t="shared" ca="1" si="3"/>
        <v>5</v>
      </c>
      <c r="BN116" s="3" t="s">
        <v>2916</v>
      </c>
      <c r="BO116" s="3">
        <v>25000</v>
      </c>
      <c r="BP116" s="3" t="s">
        <v>2922</v>
      </c>
      <c r="BQ116" s="3">
        <v>50000</v>
      </c>
      <c r="BR116" s="3">
        <v>50000</v>
      </c>
      <c r="BS116">
        <v>50000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 t="s">
        <v>2942</v>
      </c>
      <c r="CA116" t="s">
        <v>2006</v>
      </c>
      <c r="CB116" t="s">
        <v>2945</v>
      </c>
    </row>
    <row r="117" spans="1:80" x14ac:dyDescent="0.25">
      <c r="A117">
        <v>115</v>
      </c>
      <c r="B117" t="s">
        <v>2134</v>
      </c>
      <c r="C117" s="1">
        <v>44956</v>
      </c>
      <c r="D117" s="2">
        <v>3</v>
      </c>
      <c r="E117" t="s">
        <v>4</v>
      </c>
      <c r="F117" t="s">
        <v>1310</v>
      </c>
      <c r="G117">
        <v>0</v>
      </c>
      <c r="H117" s="3">
        <v>1500000</v>
      </c>
      <c r="I117" s="3">
        <v>0</v>
      </c>
      <c r="J117" s="3">
        <v>0</v>
      </c>
      <c r="K117" s="3">
        <v>0</v>
      </c>
      <c r="L117" s="3" t="s">
        <v>1191</v>
      </c>
      <c r="M117">
        <v>2020432</v>
      </c>
      <c r="N117" t="s">
        <v>313</v>
      </c>
      <c r="P117" t="s">
        <v>314</v>
      </c>
      <c r="Q117" t="s">
        <v>14</v>
      </c>
      <c r="R117">
        <v>11978</v>
      </c>
      <c r="S117" t="s">
        <v>26</v>
      </c>
      <c r="T117" t="s">
        <v>963</v>
      </c>
      <c r="U117">
        <v>0</v>
      </c>
      <c r="V117" t="s">
        <v>1058</v>
      </c>
      <c r="W117" t="s">
        <v>1194</v>
      </c>
      <c r="X117" t="s">
        <v>973</v>
      </c>
      <c r="Y117">
        <v>10000</v>
      </c>
      <c r="Z117" s="2">
        <v>2</v>
      </c>
      <c r="AA117" s="2" t="s">
        <v>1238</v>
      </c>
      <c r="AB117" t="s">
        <v>1238</v>
      </c>
      <c r="AC117">
        <v>714</v>
      </c>
      <c r="AD117" t="s">
        <v>1279</v>
      </c>
      <c r="AE117">
        <v>3</v>
      </c>
      <c r="AF117" t="s">
        <v>1290</v>
      </c>
      <c r="AG117">
        <v>0</v>
      </c>
      <c r="AH117">
        <v>0</v>
      </c>
      <c r="AI117">
        <v>0</v>
      </c>
      <c r="AJ117">
        <v>2022</v>
      </c>
      <c r="AK117" t="s">
        <v>1194</v>
      </c>
      <c r="AL117" t="s">
        <v>1194</v>
      </c>
      <c r="AM117" s="4" t="s">
        <v>1304</v>
      </c>
      <c r="AN117">
        <v>1</v>
      </c>
      <c r="AO117" t="s">
        <v>1315</v>
      </c>
      <c r="AP117">
        <f t="shared" si="2"/>
        <v>0</v>
      </c>
      <c r="AQ117">
        <v>0</v>
      </c>
      <c r="AR117" t="s">
        <v>1993</v>
      </c>
      <c r="AS117" t="s">
        <v>1996</v>
      </c>
      <c r="AT117" t="s">
        <v>1996</v>
      </c>
      <c r="AU117" t="s">
        <v>1996</v>
      </c>
      <c r="AV117" t="s">
        <v>1995</v>
      </c>
      <c r="AW117" t="s">
        <v>1995</v>
      </c>
      <c r="AX117" t="s">
        <v>2006</v>
      </c>
      <c r="AY117" t="s">
        <v>1996</v>
      </c>
      <c r="AZ117">
        <v>3000</v>
      </c>
      <c r="BA117" t="s">
        <v>1194</v>
      </c>
      <c r="BB117" t="s">
        <v>1194</v>
      </c>
      <c r="BC117" s="3">
        <v>4692.3607000000002</v>
      </c>
      <c r="BD117" s="3">
        <v>3904.93</v>
      </c>
      <c r="BE117" s="3">
        <v>0</v>
      </c>
      <c r="BF117" s="3">
        <v>0</v>
      </c>
      <c r="BG117" s="3">
        <v>150</v>
      </c>
      <c r="BH117" s="3">
        <v>0</v>
      </c>
      <c r="BI117" s="3">
        <v>703</v>
      </c>
      <c r="BJ117" s="3">
        <v>9450</v>
      </c>
      <c r="BK117" s="3">
        <v>0</v>
      </c>
      <c r="BL117" s="3">
        <v>9450</v>
      </c>
      <c r="BM117" s="2">
        <f t="shared" ca="1" si="3"/>
        <v>5</v>
      </c>
      <c r="BN117" s="3">
        <v>100000</v>
      </c>
      <c r="BO117" s="3">
        <v>100000</v>
      </c>
      <c r="BP117" s="3">
        <v>100000</v>
      </c>
      <c r="BQ117" s="3">
        <v>25000</v>
      </c>
      <c r="BR117" s="3">
        <v>2000000</v>
      </c>
      <c r="BS117">
        <v>2000000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 t="s">
        <v>2942</v>
      </c>
      <c r="CA117" t="s">
        <v>2006</v>
      </c>
      <c r="CB117" t="s">
        <v>2006</v>
      </c>
    </row>
    <row r="118" spans="1:80" x14ac:dyDescent="0.25">
      <c r="A118">
        <v>116</v>
      </c>
      <c r="B118" t="s">
        <v>2135</v>
      </c>
      <c r="C118" s="1">
        <v>44664</v>
      </c>
      <c r="D118" s="2">
        <v>12</v>
      </c>
      <c r="E118" t="s">
        <v>4</v>
      </c>
      <c r="F118" t="s">
        <v>1311</v>
      </c>
      <c r="G118">
        <v>0</v>
      </c>
      <c r="H118" s="3">
        <v>3000000</v>
      </c>
      <c r="I118" s="3">
        <v>516000</v>
      </c>
      <c r="J118" s="3">
        <v>0</v>
      </c>
      <c r="K118" s="3">
        <v>0</v>
      </c>
      <c r="L118" s="3" t="s">
        <v>1191</v>
      </c>
      <c r="M118">
        <v>1633950</v>
      </c>
      <c r="N118" t="s">
        <v>315</v>
      </c>
      <c r="P118" t="s">
        <v>316</v>
      </c>
      <c r="Q118" t="s">
        <v>19</v>
      </c>
      <c r="R118">
        <v>92264</v>
      </c>
      <c r="S118" t="s">
        <v>76</v>
      </c>
      <c r="T118" t="s">
        <v>965</v>
      </c>
      <c r="U118">
        <v>0</v>
      </c>
      <c r="V118">
        <v>22</v>
      </c>
      <c r="W118" t="s">
        <v>1202</v>
      </c>
      <c r="X118" t="s">
        <v>973</v>
      </c>
      <c r="Y118">
        <v>5000</v>
      </c>
      <c r="Z118" s="2" t="s">
        <v>1194</v>
      </c>
      <c r="AA118" s="2" t="s">
        <v>1238</v>
      </c>
      <c r="AB118" t="s">
        <v>1238</v>
      </c>
      <c r="AC118" t="s">
        <v>1194</v>
      </c>
      <c r="AD118" t="s">
        <v>1279</v>
      </c>
      <c r="AE118">
        <v>3</v>
      </c>
      <c r="AF118" t="s">
        <v>1290</v>
      </c>
      <c r="AG118">
        <v>0</v>
      </c>
      <c r="AH118">
        <v>0</v>
      </c>
      <c r="AI118">
        <v>0</v>
      </c>
      <c r="AJ118">
        <v>1965</v>
      </c>
      <c r="AK118">
        <v>2021</v>
      </c>
      <c r="AL118">
        <v>2016</v>
      </c>
      <c r="AM118" s="4" t="s">
        <v>1238</v>
      </c>
      <c r="AN118">
        <v>0</v>
      </c>
      <c r="AO118" t="s">
        <v>1317</v>
      </c>
      <c r="AP118">
        <f t="shared" si="2"/>
        <v>0</v>
      </c>
      <c r="AQ118">
        <v>1</v>
      </c>
      <c r="AR118" t="s">
        <v>1992</v>
      </c>
      <c r="AS118" t="s">
        <v>1995</v>
      </c>
      <c r="AT118" t="s">
        <v>1995</v>
      </c>
      <c r="AU118" t="s">
        <v>1995</v>
      </c>
      <c r="AV118" t="s">
        <v>1995</v>
      </c>
      <c r="AW118" t="s">
        <v>1995</v>
      </c>
      <c r="AX118" t="s">
        <v>1194</v>
      </c>
      <c r="AY118" t="s">
        <v>1996</v>
      </c>
      <c r="AZ118">
        <v>3203</v>
      </c>
      <c r="BA118">
        <v>0</v>
      </c>
      <c r="BB118" t="s">
        <v>2017</v>
      </c>
      <c r="BC118" s="3">
        <v>0</v>
      </c>
      <c r="BD118" s="3">
        <v>0</v>
      </c>
      <c r="BE118" s="3">
        <v>9101.7000000000007</v>
      </c>
      <c r="BF118" s="3">
        <v>10436.83</v>
      </c>
      <c r="BG118" s="3">
        <v>150</v>
      </c>
      <c r="BH118" s="3">
        <v>0</v>
      </c>
      <c r="BI118" s="3">
        <v>0</v>
      </c>
      <c r="BJ118" s="3">
        <v>19688.53</v>
      </c>
      <c r="BK118" s="3">
        <v>0</v>
      </c>
      <c r="BL118" s="3">
        <v>19688.53</v>
      </c>
      <c r="BM118" s="2">
        <f t="shared" ca="1" si="3"/>
        <v>2</v>
      </c>
      <c r="BN118" s="3">
        <v>50000</v>
      </c>
      <c r="BO118" s="3">
        <v>250000</v>
      </c>
      <c r="BP118" s="3">
        <v>50000</v>
      </c>
      <c r="BQ118" s="3">
        <v>1000000</v>
      </c>
      <c r="BR118" s="3">
        <v>50000</v>
      </c>
      <c r="BS118">
        <v>2000000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 t="s">
        <v>2949</v>
      </c>
      <c r="CA118" t="s">
        <v>1194</v>
      </c>
      <c r="CB118" t="s">
        <v>2952</v>
      </c>
    </row>
    <row r="119" spans="1:80" x14ac:dyDescent="0.25">
      <c r="A119">
        <v>117</v>
      </c>
      <c r="B119" t="s">
        <v>2136</v>
      </c>
      <c r="C119" s="1">
        <v>44700</v>
      </c>
      <c r="D119" s="2">
        <v>15</v>
      </c>
      <c r="E119" t="s">
        <v>4</v>
      </c>
      <c r="F119" t="s">
        <v>1311</v>
      </c>
      <c r="G119">
        <v>0</v>
      </c>
      <c r="H119" s="3">
        <v>9000000</v>
      </c>
      <c r="I119" s="3">
        <v>0</v>
      </c>
      <c r="J119" s="3">
        <v>0</v>
      </c>
      <c r="K119" s="3">
        <v>0</v>
      </c>
      <c r="L119" s="3" t="s">
        <v>1191</v>
      </c>
      <c r="M119">
        <v>1155724</v>
      </c>
      <c r="N119" t="s">
        <v>317</v>
      </c>
      <c r="P119" t="s">
        <v>318</v>
      </c>
      <c r="Q119" t="s">
        <v>14</v>
      </c>
      <c r="R119">
        <v>11937</v>
      </c>
      <c r="S119" t="s">
        <v>26</v>
      </c>
      <c r="T119" t="s">
        <v>963</v>
      </c>
      <c r="U119">
        <v>0</v>
      </c>
      <c r="V119" t="s">
        <v>984</v>
      </c>
      <c r="W119" t="s">
        <v>1194</v>
      </c>
      <c r="X119" t="s">
        <v>973</v>
      </c>
      <c r="Y119">
        <v>100000</v>
      </c>
      <c r="Z119" s="2">
        <v>5</v>
      </c>
      <c r="AA119" s="2" t="s">
        <v>1238</v>
      </c>
      <c r="AB119" t="s">
        <v>1238</v>
      </c>
      <c r="AC119">
        <v>765</v>
      </c>
      <c r="AD119" t="s">
        <v>1279</v>
      </c>
      <c r="AE119">
        <v>3</v>
      </c>
      <c r="AF119" t="s">
        <v>1290</v>
      </c>
      <c r="AG119">
        <v>0</v>
      </c>
      <c r="AH119">
        <v>0</v>
      </c>
      <c r="AI119">
        <v>0</v>
      </c>
      <c r="AJ119">
        <v>1913</v>
      </c>
      <c r="AK119">
        <v>2022</v>
      </c>
      <c r="AL119">
        <v>2022</v>
      </c>
      <c r="AM119" s="4" t="s">
        <v>1238</v>
      </c>
      <c r="AN119">
        <v>1</v>
      </c>
      <c r="AO119" t="s">
        <v>1316</v>
      </c>
      <c r="AP119">
        <f t="shared" si="2"/>
        <v>0</v>
      </c>
      <c r="AQ119">
        <v>0</v>
      </c>
      <c r="AR119" t="s">
        <v>1993</v>
      </c>
      <c r="AS119" t="s">
        <v>1996</v>
      </c>
      <c r="AT119" t="s">
        <v>1996</v>
      </c>
      <c r="AU119" t="s">
        <v>1995</v>
      </c>
      <c r="AV119" t="s">
        <v>1996</v>
      </c>
      <c r="AW119" t="s">
        <v>1996</v>
      </c>
      <c r="AX119" t="s">
        <v>2006</v>
      </c>
      <c r="AY119" t="s">
        <v>1996</v>
      </c>
      <c r="AZ119">
        <v>10208</v>
      </c>
      <c r="BA119" t="s">
        <v>1194</v>
      </c>
      <c r="BB119" t="s">
        <v>1194</v>
      </c>
      <c r="BC119" s="3">
        <v>15494.779399999999</v>
      </c>
      <c r="BD119" s="3">
        <v>17626.5</v>
      </c>
      <c r="BE119" s="3">
        <v>0</v>
      </c>
      <c r="BF119" s="3">
        <v>0</v>
      </c>
      <c r="BG119" s="3">
        <v>0</v>
      </c>
      <c r="BH119" s="3">
        <v>0</v>
      </c>
      <c r="BI119" s="3">
        <v>31049</v>
      </c>
      <c r="BJ119" s="3">
        <v>64170</v>
      </c>
      <c r="BK119" s="3">
        <v>1000</v>
      </c>
      <c r="BL119" s="3">
        <v>65170</v>
      </c>
      <c r="BM119" s="2">
        <f t="shared" ca="1" si="3"/>
        <v>1</v>
      </c>
      <c r="BN119" s="3">
        <v>100000</v>
      </c>
      <c r="BO119" s="3">
        <v>50000</v>
      </c>
      <c r="BP119" s="3">
        <v>200000</v>
      </c>
      <c r="BQ119" s="3">
        <v>500000</v>
      </c>
      <c r="BR119" s="3" t="s">
        <v>2916</v>
      </c>
      <c r="BS119">
        <v>250000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 t="s">
        <v>2942</v>
      </c>
      <c r="CA119" t="s">
        <v>2006</v>
      </c>
      <c r="CB119" t="s">
        <v>2006</v>
      </c>
    </row>
    <row r="120" spans="1:80" x14ac:dyDescent="0.25">
      <c r="A120">
        <v>118</v>
      </c>
      <c r="B120" t="s">
        <v>2137</v>
      </c>
      <c r="C120" s="1">
        <v>44966</v>
      </c>
      <c r="D120" s="2">
        <v>6</v>
      </c>
      <c r="E120" t="s">
        <v>4</v>
      </c>
      <c r="F120" t="s">
        <v>1310</v>
      </c>
      <c r="G120">
        <v>0</v>
      </c>
      <c r="H120" s="3">
        <v>1900000</v>
      </c>
      <c r="I120" s="3">
        <v>0</v>
      </c>
      <c r="J120" s="3">
        <v>190000</v>
      </c>
      <c r="K120" s="3">
        <v>0</v>
      </c>
      <c r="L120" s="3" t="s">
        <v>1191</v>
      </c>
      <c r="M120">
        <v>951891</v>
      </c>
      <c r="N120" t="s">
        <v>319</v>
      </c>
      <c r="P120" t="s">
        <v>320</v>
      </c>
      <c r="Q120" t="s">
        <v>16</v>
      </c>
      <c r="R120">
        <v>8006</v>
      </c>
      <c r="S120" t="s">
        <v>70</v>
      </c>
      <c r="T120" t="s">
        <v>970</v>
      </c>
      <c r="U120">
        <v>1</v>
      </c>
      <c r="V120" t="s">
        <v>1036</v>
      </c>
      <c r="W120" t="s">
        <v>1194</v>
      </c>
      <c r="X120" t="s">
        <v>1309</v>
      </c>
      <c r="Y120">
        <v>10000</v>
      </c>
      <c r="Z120" s="2">
        <v>5</v>
      </c>
      <c r="AA120" s="2" t="s">
        <v>1238</v>
      </c>
      <c r="AB120" t="s">
        <v>1238</v>
      </c>
      <c r="AC120">
        <v>814</v>
      </c>
      <c r="AD120" t="s">
        <v>1279</v>
      </c>
      <c r="AE120">
        <v>5</v>
      </c>
      <c r="AF120" t="s">
        <v>1292</v>
      </c>
      <c r="AG120">
        <v>0</v>
      </c>
      <c r="AH120">
        <v>0</v>
      </c>
      <c r="AI120">
        <v>0</v>
      </c>
      <c r="AJ120">
        <v>2002</v>
      </c>
      <c r="AK120" t="s">
        <v>1194</v>
      </c>
      <c r="AL120">
        <v>2023</v>
      </c>
      <c r="AM120" s="4" t="s">
        <v>1305</v>
      </c>
      <c r="AN120">
        <v>1</v>
      </c>
      <c r="AO120" t="s">
        <v>1316</v>
      </c>
      <c r="AP120">
        <f t="shared" si="2"/>
        <v>0</v>
      </c>
      <c r="AQ120">
        <v>1</v>
      </c>
      <c r="AR120" t="s">
        <v>1992</v>
      </c>
      <c r="AS120" t="s">
        <v>1996</v>
      </c>
      <c r="AT120" t="s">
        <v>1995</v>
      </c>
      <c r="AU120" t="s">
        <v>1996</v>
      </c>
      <c r="AV120" t="s">
        <v>1996</v>
      </c>
      <c r="AW120" t="s">
        <v>1996</v>
      </c>
      <c r="AX120" t="s">
        <v>2006</v>
      </c>
      <c r="AY120" t="s">
        <v>1996</v>
      </c>
      <c r="AZ120">
        <v>3654</v>
      </c>
      <c r="BA120" t="s">
        <v>1194</v>
      </c>
      <c r="BB120" t="s">
        <v>1194</v>
      </c>
      <c r="BC120" s="3">
        <v>5308.5236999999997</v>
      </c>
      <c r="BD120" s="3">
        <v>4608.42</v>
      </c>
      <c r="BE120" s="3">
        <v>0</v>
      </c>
      <c r="BF120" s="3">
        <v>0</v>
      </c>
      <c r="BG120" s="3">
        <v>150</v>
      </c>
      <c r="BH120" s="3">
        <v>0</v>
      </c>
      <c r="BI120" s="3">
        <v>2009</v>
      </c>
      <c r="BJ120" s="3">
        <v>12076</v>
      </c>
      <c r="BK120" s="3">
        <v>0</v>
      </c>
      <c r="BL120" s="3">
        <v>12076</v>
      </c>
      <c r="BM120" s="2">
        <f t="shared" ca="1" si="3"/>
        <v>4</v>
      </c>
      <c r="BN120" s="3">
        <v>50000</v>
      </c>
      <c r="BO120" s="3">
        <v>50000</v>
      </c>
      <c r="BP120" s="3">
        <v>50000</v>
      </c>
      <c r="BQ120" s="3">
        <v>1000000</v>
      </c>
      <c r="BR120" s="3">
        <v>50000</v>
      </c>
      <c r="BS120">
        <v>250000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 t="s">
        <v>2942</v>
      </c>
      <c r="CA120" t="s">
        <v>2006</v>
      </c>
      <c r="CB120" t="s">
        <v>2006</v>
      </c>
    </row>
    <row r="121" spans="1:80" x14ac:dyDescent="0.25">
      <c r="A121">
        <v>119</v>
      </c>
      <c r="B121" t="s">
        <v>2138</v>
      </c>
      <c r="C121" s="1">
        <v>44672</v>
      </c>
      <c r="D121" s="2">
        <v>12</v>
      </c>
      <c r="E121" t="s">
        <v>4</v>
      </c>
      <c r="F121" t="s">
        <v>1311</v>
      </c>
      <c r="G121">
        <v>0</v>
      </c>
      <c r="H121" s="3">
        <v>3250000</v>
      </c>
      <c r="I121" s="3">
        <v>2150000</v>
      </c>
      <c r="J121" s="3">
        <v>0</v>
      </c>
      <c r="K121" s="3">
        <v>0</v>
      </c>
      <c r="L121" s="3" t="s">
        <v>1191</v>
      </c>
      <c r="M121">
        <v>1871678</v>
      </c>
      <c r="N121" t="s">
        <v>321</v>
      </c>
      <c r="P121" t="s">
        <v>322</v>
      </c>
      <c r="Q121" t="s">
        <v>19</v>
      </c>
      <c r="R121">
        <v>92024</v>
      </c>
      <c r="S121" t="s">
        <v>77</v>
      </c>
      <c r="T121" t="s">
        <v>975</v>
      </c>
      <c r="U121">
        <v>0</v>
      </c>
      <c r="V121">
        <v>2</v>
      </c>
      <c r="W121" t="s">
        <v>1203</v>
      </c>
      <c r="X121" t="s">
        <v>973</v>
      </c>
      <c r="Y121">
        <v>50000</v>
      </c>
      <c r="Z121" s="2" t="s">
        <v>1194</v>
      </c>
      <c r="AA121" s="2" t="s">
        <v>1238</v>
      </c>
      <c r="AB121" t="s">
        <v>1238</v>
      </c>
      <c r="AC121" t="s">
        <v>1194</v>
      </c>
      <c r="AD121" t="s">
        <v>1279</v>
      </c>
      <c r="AE121">
        <v>3</v>
      </c>
      <c r="AF121" t="s">
        <v>1290</v>
      </c>
      <c r="AG121">
        <v>0</v>
      </c>
      <c r="AH121">
        <v>0</v>
      </c>
      <c r="AI121">
        <v>0</v>
      </c>
      <c r="AJ121">
        <v>2021</v>
      </c>
      <c r="AK121" t="s">
        <v>1194</v>
      </c>
      <c r="AL121" t="s">
        <v>1194</v>
      </c>
      <c r="AM121" s="4" t="s">
        <v>1238</v>
      </c>
      <c r="AN121">
        <v>0</v>
      </c>
      <c r="AO121" t="s">
        <v>1315</v>
      </c>
      <c r="AP121">
        <f t="shared" si="2"/>
        <v>0</v>
      </c>
      <c r="AQ121">
        <v>0</v>
      </c>
      <c r="AR121" t="s">
        <v>1993</v>
      </c>
      <c r="AS121" t="s">
        <v>1996</v>
      </c>
      <c r="AT121" t="s">
        <v>1995</v>
      </c>
      <c r="AU121" t="s">
        <v>1995</v>
      </c>
      <c r="AV121" t="s">
        <v>1996</v>
      </c>
      <c r="AW121" t="s">
        <v>1995</v>
      </c>
      <c r="AX121" t="s">
        <v>1194</v>
      </c>
      <c r="AY121" t="s">
        <v>1996</v>
      </c>
      <c r="AZ121">
        <v>15518</v>
      </c>
      <c r="BA121">
        <v>3</v>
      </c>
      <c r="BB121" t="s">
        <v>2016</v>
      </c>
      <c r="BC121" s="3">
        <v>0</v>
      </c>
      <c r="BD121" s="3">
        <v>0</v>
      </c>
      <c r="BE121" s="3">
        <v>30915.63</v>
      </c>
      <c r="BF121" s="3">
        <v>7285.25</v>
      </c>
      <c r="BG121" s="3">
        <v>150</v>
      </c>
      <c r="BH121" s="3">
        <v>0</v>
      </c>
      <c r="BI121" s="3">
        <v>0</v>
      </c>
      <c r="BJ121" s="3">
        <v>38350.879999999997</v>
      </c>
      <c r="BK121" s="3">
        <v>0</v>
      </c>
      <c r="BL121" s="3">
        <v>38350.879999999997</v>
      </c>
      <c r="BM121" s="2">
        <f t="shared" ca="1" si="3"/>
        <v>1</v>
      </c>
      <c r="BN121" s="3" t="s">
        <v>2916</v>
      </c>
      <c r="BO121" s="3">
        <v>25000</v>
      </c>
      <c r="BP121" s="3" t="s">
        <v>2922</v>
      </c>
      <c r="BQ121" s="3">
        <v>25000</v>
      </c>
      <c r="BR121" s="3">
        <v>50000</v>
      </c>
      <c r="BS121">
        <v>1000000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 t="s">
        <v>2948</v>
      </c>
      <c r="CA121" t="s">
        <v>1194</v>
      </c>
      <c r="CB121" t="s">
        <v>2949</v>
      </c>
    </row>
    <row r="122" spans="1:80" x14ac:dyDescent="0.25">
      <c r="A122">
        <v>120</v>
      </c>
      <c r="B122" t="s">
        <v>2139</v>
      </c>
      <c r="C122" s="1">
        <v>44751</v>
      </c>
      <c r="D122" s="2">
        <v>21</v>
      </c>
      <c r="E122" t="s">
        <v>4</v>
      </c>
      <c r="F122" t="s">
        <v>1311</v>
      </c>
      <c r="G122">
        <v>0</v>
      </c>
      <c r="H122" s="3">
        <v>8880359</v>
      </c>
      <c r="I122" s="3">
        <v>1420011</v>
      </c>
      <c r="J122" s="3">
        <v>4440180</v>
      </c>
      <c r="K122" s="3">
        <v>0</v>
      </c>
      <c r="L122" s="3" t="s">
        <v>1191</v>
      </c>
      <c r="M122">
        <v>1038126</v>
      </c>
      <c r="N122" t="s">
        <v>323</v>
      </c>
      <c r="P122" t="s">
        <v>155</v>
      </c>
      <c r="Q122" t="s">
        <v>15</v>
      </c>
      <c r="R122">
        <v>33160</v>
      </c>
      <c r="S122" t="s">
        <v>33</v>
      </c>
      <c r="T122" t="s">
        <v>967</v>
      </c>
      <c r="U122">
        <v>1</v>
      </c>
      <c r="V122" t="s">
        <v>1056</v>
      </c>
      <c r="W122" t="s">
        <v>1194</v>
      </c>
      <c r="X122" t="s">
        <v>1309</v>
      </c>
      <c r="Y122">
        <v>25000</v>
      </c>
      <c r="Z122" s="2">
        <v>5.0000005630000004</v>
      </c>
      <c r="AA122" s="2" t="s">
        <v>1238</v>
      </c>
      <c r="AB122" t="s">
        <v>1238</v>
      </c>
      <c r="AC122">
        <v>644</v>
      </c>
      <c r="AD122" t="s">
        <v>1280</v>
      </c>
      <c r="AE122">
        <v>4</v>
      </c>
      <c r="AF122" t="s">
        <v>1290</v>
      </c>
      <c r="AG122">
        <v>0</v>
      </c>
      <c r="AH122">
        <v>0</v>
      </c>
      <c r="AI122">
        <v>0</v>
      </c>
      <c r="AJ122">
        <v>2018</v>
      </c>
      <c r="AK122" t="s">
        <v>1194</v>
      </c>
      <c r="AL122" t="s">
        <v>1194</v>
      </c>
      <c r="AM122" s="4" t="s">
        <v>1238</v>
      </c>
      <c r="AN122">
        <v>0</v>
      </c>
      <c r="AO122" t="s">
        <v>1315</v>
      </c>
      <c r="AP122">
        <f t="shared" si="2"/>
        <v>0</v>
      </c>
      <c r="AQ122">
        <v>0</v>
      </c>
      <c r="AR122" t="s">
        <v>1993</v>
      </c>
      <c r="AS122" t="s">
        <v>1995</v>
      </c>
      <c r="AT122" t="s">
        <v>1995</v>
      </c>
      <c r="AU122" t="s">
        <v>1995</v>
      </c>
      <c r="AV122" t="s">
        <v>1995</v>
      </c>
      <c r="AW122" t="s">
        <v>1996</v>
      </c>
      <c r="AX122" t="s">
        <v>2007</v>
      </c>
      <c r="AY122" t="s">
        <v>1995</v>
      </c>
      <c r="AZ122">
        <v>7860</v>
      </c>
      <c r="BA122" t="s">
        <v>1194</v>
      </c>
      <c r="BB122" t="s">
        <v>1194</v>
      </c>
      <c r="BC122" s="3">
        <v>37864.5579</v>
      </c>
      <c r="BD122" s="3">
        <v>121473.56</v>
      </c>
      <c r="BE122" s="3">
        <v>0</v>
      </c>
      <c r="BF122" s="3">
        <v>0</v>
      </c>
      <c r="BG122" s="3">
        <v>300</v>
      </c>
      <c r="BH122" s="3">
        <v>0</v>
      </c>
      <c r="BI122" s="3">
        <v>33775</v>
      </c>
      <c r="BJ122" s="3">
        <v>193413</v>
      </c>
      <c r="BK122" s="3">
        <v>0</v>
      </c>
      <c r="BL122" s="3">
        <v>193413</v>
      </c>
      <c r="BM122" s="2">
        <f t="shared" ca="1" si="3"/>
        <v>4</v>
      </c>
      <c r="BN122" s="3">
        <v>1000000</v>
      </c>
      <c r="BO122" s="3">
        <v>20000</v>
      </c>
      <c r="BP122" s="3">
        <v>50000</v>
      </c>
      <c r="BQ122" s="3">
        <v>100000</v>
      </c>
      <c r="BR122" s="3">
        <v>50000</v>
      </c>
      <c r="BS122">
        <v>50000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 t="s">
        <v>2940</v>
      </c>
      <c r="CA122" t="s">
        <v>2939</v>
      </c>
      <c r="CB122" t="s">
        <v>2941</v>
      </c>
    </row>
    <row r="123" spans="1:80" x14ac:dyDescent="0.25">
      <c r="A123">
        <v>121</v>
      </c>
      <c r="B123" t="s">
        <v>2140</v>
      </c>
      <c r="C123" s="1">
        <v>44791</v>
      </c>
      <c r="D123" s="2">
        <v>24</v>
      </c>
      <c r="E123" t="s">
        <v>4</v>
      </c>
      <c r="F123" t="s">
        <v>1311</v>
      </c>
      <c r="G123">
        <v>0</v>
      </c>
      <c r="H123" s="3">
        <v>750000</v>
      </c>
      <c r="I123" s="3">
        <v>50000</v>
      </c>
      <c r="J123" s="3">
        <v>0</v>
      </c>
      <c r="K123" s="3">
        <v>0</v>
      </c>
      <c r="L123" s="3" t="s">
        <v>1191</v>
      </c>
      <c r="M123">
        <v>1981609</v>
      </c>
      <c r="N123" t="s">
        <v>324</v>
      </c>
      <c r="P123" t="s">
        <v>325</v>
      </c>
      <c r="Q123" t="s">
        <v>17</v>
      </c>
      <c r="R123">
        <v>29439</v>
      </c>
      <c r="S123" t="s">
        <v>31</v>
      </c>
      <c r="T123" t="s">
        <v>969</v>
      </c>
      <c r="U123">
        <v>1</v>
      </c>
      <c r="V123" t="s">
        <v>1040</v>
      </c>
      <c r="W123" t="s">
        <v>1194</v>
      </c>
      <c r="X123" t="s">
        <v>1309</v>
      </c>
      <c r="Y123">
        <v>10000</v>
      </c>
      <c r="Z123" s="2">
        <v>10</v>
      </c>
      <c r="AA123" s="2" t="s">
        <v>1238</v>
      </c>
      <c r="AB123" t="s">
        <v>1238</v>
      </c>
      <c r="AC123">
        <v>795</v>
      </c>
      <c r="AD123" t="s">
        <v>1279</v>
      </c>
      <c r="AE123">
        <v>5</v>
      </c>
      <c r="AF123" t="s">
        <v>1291</v>
      </c>
      <c r="AG123">
        <v>0</v>
      </c>
      <c r="AH123">
        <v>0</v>
      </c>
      <c r="AI123">
        <v>0</v>
      </c>
      <c r="AJ123">
        <v>2022</v>
      </c>
      <c r="AK123" t="s">
        <v>1194</v>
      </c>
      <c r="AL123" t="s">
        <v>1194</v>
      </c>
      <c r="AM123" s="4" t="s">
        <v>1238</v>
      </c>
      <c r="AN123">
        <v>0</v>
      </c>
      <c r="AO123" t="s">
        <v>1317</v>
      </c>
      <c r="AP123">
        <f t="shared" si="2"/>
        <v>0</v>
      </c>
      <c r="AQ123">
        <v>1</v>
      </c>
      <c r="AR123" t="s">
        <v>1992</v>
      </c>
      <c r="AS123" t="s">
        <v>1995</v>
      </c>
      <c r="AT123" t="s">
        <v>1995</v>
      </c>
      <c r="AU123" t="s">
        <v>1996</v>
      </c>
      <c r="AV123" t="s">
        <v>1995</v>
      </c>
      <c r="AW123" t="s">
        <v>1996</v>
      </c>
      <c r="AX123" t="s">
        <v>2006</v>
      </c>
      <c r="AY123" t="s">
        <v>1996</v>
      </c>
      <c r="AZ123">
        <v>2000</v>
      </c>
      <c r="BA123" t="s">
        <v>1194</v>
      </c>
      <c r="BB123" t="s">
        <v>1194</v>
      </c>
      <c r="BC123" s="3">
        <v>1663.7563</v>
      </c>
      <c r="BD123" s="3">
        <v>3997.37</v>
      </c>
      <c r="BE123" s="3">
        <v>0</v>
      </c>
      <c r="BF123" s="3">
        <v>0</v>
      </c>
      <c r="BG123" s="3">
        <v>150</v>
      </c>
      <c r="BH123" s="3">
        <v>0</v>
      </c>
      <c r="BI123" s="3">
        <v>1551</v>
      </c>
      <c r="BJ123" s="3">
        <v>7362</v>
      </c>
      <c r="BK123" s="3">
        <v>0</v>
      </c>
      <c r="BL123" s="3">
        <v>7362</v>
      </c>
      <c r="BM123" s="2">
        <f t="shared" ca="1" si="3"/>
        <v>3</v>
      </c>
      <c r="BN123" s="3">
        <v>100000</v>
      </c>
      <c r="BO123" s="3">
        <v>500000</v>
      </c>
      <c r="BP123" s="3">
        <v>50000</v>
      </c>
      <c r="BQ123" s="3">
        <v>1000000</v>
      </c>
      <c r="BR123" s="3">
        <v>500000</v>
      </c>
      <c r="BS123">
        <v>1000000</v>
      </c>
      <c r="BT123">
        <v>0</v>
      </c>
      <c r="BU123">
        <v>0</v>
      </c>
      <c r="BV123">
        <v>0</v>
      </c>
      <c r="BW123">
        <v>1</v>
      </c>
      <c r="BX123">
        <v>0</v>
      </c>
      <c r="BY123">
        <v>0</v>
      </c>
      <c r="BZ123" t="s">
        <v>2006</v>
      </c>
      <c r="CA123" t="s">
        <v>2006</v>
      </c>
      <c r="CB123" t="s">
        <v>2006</v>
      </c>
    </row>
    <row r="124" spans="1:80" x14ac:dyDescent="0.25">
      <c r="A124">
        <v>122</v>
      </c>
      <c r="B124" t="s">
        <v>2141</v>
      </c>
      <c r="C124" s="1">
        <v>44908</v>
      </c>
      <c r="D124" s="2">
        <v>36</v>
      </c>
      <c r="E124" t="s">
        <v>4</v>
      </c>
      <c r="F124" t="s">
        <v>1311</v>
      </c>
      <c r="G124">
        <v>1</v>
      </c>
      <c r="H124" s="3">
        <v>3534000</v>
      </c>
      <c r="I124" s="3">
        <v>1800000</v>
      </c>
      <c r="J124" s="3">
        <v>0</v>
      </c>
      <c r="K124" s="3">
        <v>0</v>
      </c>
      <c r="L124" s="3" t="s">
        <v>1191</v>
      </c>
      <c r="M124">
        <v>1116193</v>
      </c>
      <c r="N124" t="s">
        <v>326</v>
      </c>
      <c r="P124" t="s">
        <v>327</v>
      </c>
      <c r="Q124" t="s">
        <v>19</v>
      </c>
      <c r="R124">
        <v>92651</v>
      </c>
      <c r="S124" t="s">
        <v>37</v>
      </c>
      <c r="T124" t="s">
        <v>976</v>
      </c>
      <c r="U124">
        <v>1</v>
      </c>
      <c r="V124">
        <v>7</v>
      </c>
      <c r="W124" t="s">
        <v>327</v>
      </c>
      <c r="X124" t="s">
        <v>1309</v>
      </c>
      <c r="Y124">
        <v>10000</v>
      </c>
      <c r="Z124" s="2" t="s">
        <v>1194</v>
      </c>
      <c r="AA124" s="2" t="s">
        <v>1238</v>
      </c>
      <c r="AB124" t="s">
        <v>1238</v>
      </c>
      <c r="AC124" t="s">
        <v>1194</v>
      </c>
      <c r="AD124" t="s">
        <v>1279</v>
      </c>
      <c r="AE124">
        <v>3</v>
      </c>
      <c r="AF124" t="s">
        <v>1290</v>
      </c>
      <c r="AG124">
        <v>0</v>
      </c>
      <c r="AH124">
        <v>0</v>
      </c>
      <c r="AI124">
        <v>0</v>
      </c>
      <c r="AJ124">
        <v>1929</v>
      </c>
      <c r="AK124">
        <v>2021</v>
      </c>
      <c r="AL124" t="s">
        <v>1194</v>
      </c>
      <c r="AM124" s="4" t="s">
        <v>1238</v>
      </c>
      <c r="AN124">
        <v>1</v>
      </c>
      <c r="AO124" t="s">
        <v>1315</v>
      </c>
      <c r="AP124">
        <f t="shared" si="2"/>
        <v>0</v>
      </c>
      <c r="AQ124">
        <v>1</v>
      </c>
      <c r="AR124" t="s">
        <v>1992</v>
      </c>
      <c r="AS124" t="s">
        <v>1996</v>
      </c>
      <c r="AT124" t="s">
        <v>1995</v>
      </c>
      <c r="AU124" t="s">
        <v>1995</v>
      </c>
      <c r="AV124" t="s">
        <v>1995</v>
      </c>
      <c r="AW124" t="s">
        <v>1995</v>
      </c>
      <c r="AX124" t="s">
        <v>1194</v>
      </c>
      <c r="AY124" t="s">
        <v>1996</v>
      </c>
      <c r="AZ124">
        <v>2945</v>
      </c>
      <c r="BA124">
        <v>4</v>
      </c>
      <c r="BB124" t="s">
        <v>2016</v>
      </c>
      <c r="BC124" s="3">
        <v>0</v>
      </c>
      <c r="BD124" s="3">
        <v>0</v>
      </c>
      <c r="BE124" s="3">
        <v>24615.7</v>
      </c>
      <c r="BF124" s="3">
        <v>12505.31</v>
      </c>
      <c r="BG124" s="3">
        <v>0</v>
      </c>
      <c r="BH124" s="3">
        <v>0</v>
      </c>
      <c r="BI124" s="3">
        <v>0</v>
      </c>
      <c r="BJ124" s="3">
        <v>37121.01</v>
      </c>
      <c r="BK124" s="3">
        <v>0</v>
      </c>
      <c r="BL124" s="3">
        <v>37121.01</v>
      </c>
      <c r="BM124" s="2">
        <f t="shared" ca="1" si="3"/>
        <v>3</v>
      </c>
      <c r="BN124" s="3">
        <v>250000</v>
      </c>
      <c r="BO124" s="3">
        <v>500000</v>
      </c>
      <c r="BP124" s="3">
        <v>50000</v>
      </c>
      <c r="BQ124" s="3">
        <v>500000</v>
      </c>
      <c r="BR124" s="3">
        <v>500000</v>
      </c>
      <c r="BS124">
        <v>50000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 t="s">
        <v>2955</v>
      </c>
      <c r="CA124" t="s">
        <v>1194</v>
      </c>
      <c r="CB124" t="s">
        <v>2949</v>
      </c>
    </row>
    <row r="125" spans="1:80" x14ac:dyDescent="0.25">
      <c r="A125">
        <v>123</v>
      </c>
      <c r="B125" t="s">
        <v>2142</v>
      </c>
      <c r="C125" s="1">
        <v>44883</v>
      </c>
      <c r="D125" s="2">
        <v>33</v>
      </c>
      <c r="E125" t="s">
        <v>4</v>
      </c>
      <c r="F125" t="s">
        <v>1311</v>
      </c>
      <c r="G125">
        <v>1</v>
      </c>
      <c r="H125" s="3">
        <v>1500000</v>
      </c>
      <c r="I125" s="3">
        <v>15000</v>
      </c>
      <c r="J125" s="3">
        <v>0</v>
      </c>
      <c r="K125" s="3">
        <v>0</v>
      </c>
      <c r="L125" s="3" t="s">
        <v>1191</v>
      </c>
      <c r="M125">
        <v>702620</v>
      </c>
      <c r="N125" t="s">
        <v>328</v>
      </c>
      <c r="P125" t="s">
        <v>329</v>
      </c>
      <c r="Q125" t="s">
        <v>14</v>
      </c>
      <c r="R125">
        <v>12946</v>
      </c>
      <c r="S125" t="s">
        <v>75</v>
      </c>
      <c r="T125" t="s">
        <v>973</v>
      </c>
      <c r="U125">
        <v>0</v>
      </c>
      <c r="V125" t="s">
        <v>1059</v>
      </c>
      <c r="W125" t="s">
        <v>1194</v>
      </c>
      <c r="X125" t="s">
        <v>973</v>
      </c>
      <c r="Y125">
        <v>10000</v>
      </c>
      <c r="Z125" s="2" t="s">
        <v>1194</v>
      </c>
      <c r="AA125" s="2" t="s">
        <v>1238</v>
      </c>
      <c r="AB125" t="s">
        <v>1238</v>
      </c>
      <c r="AC125">
        <v>812</v>
      </c>
      <c r="AD125" t="s">
        <v>1279</v>
      </c>
      <c r="AE125">
        <v>5</v>
      </c>
      <c r="AF125" t="s">
        <v>1290</v>
      </c>
      <c r="AG125">
        <v>0</v>
      </c>
      <c r="AH125">
        <v>0</v>
      </c>
      <c r="AI125">
        <v>0</v>
      </c>
      <c r="AJ125">
        <v>2022</v>
      </c>
      <c r="AK125" t="s">
        <v>1194</v>
      </c>
      <c r="AL125" t="s">
        <v>1194</v>
      </c>
      <c r="AM125" s="4" t="s">
        <v>1238</v>
      </c>
      <c r="AN125">
        <v>0</v>
      </c>
      <c r="AO125" t="s">
        <v>1315</v>
      </c>
      <c r="AP125">
        <f t="shared" si="2"/>
        <v>0</v>
      </c>
      <c r="AQ125">
        <v>0</v>
      </c>
      <c r="AR125" t="s">
        <v>1993</v>
      </c>
      <c r="AS125" t="s">
        <v>1996</v>
      </c>
      <c r="AT125" t="s">
        <v>1995</v>
      </c>
      <c r="AU125" t="s">
        <v>1995</v>
      </c>
      <c r="AV125" t="s">
        <v>1996</v>
      </c>
      <c r="AW125" t="s">
        <v>1996</v>
      </c>
      <c r="AX125" t="s">
        <v>2006</v>
      </c>
      <c r="AY125" t="s">
        <v>1996</v>
      </c>
      <c r="AZ125">
        <v>3200</v>
      </c>
      <c r="BA125" t="s">
        <v>1194</v>
      </c>
      <c r="BB125" t="s">
        <v>1194</v>
      </c>
      <c r="BC125" s="3">
        <v>3360.1466999999998</v>
      </c>
      <c r="BD125" s="3">
        <v>173.7</v>
      </c>
      <c r="BE125" s="3">
        <v>0</v>
      </c>
      <c r="BF125" s="3">
        <v>0</v>
      </c>
      <c r="BG125" s="3">
        <v>150</v>
      </c>
      <c r="BH125" s="3">
        <v>0</v>
      </c>
      <c r="BI125" s="3">
        <v>3134</v>
      </c>
      <c r="BJ125" s="3">
        <v>6818</v>
      </c>
      <c r="BK125" s="3">
        <v>150</v>
      </c>
      <c r="BL125" s="3">
        <v>6968</v>
      </c>
      <c r="BM125" s="2">
        <f t="shared" ca="1" si="3"/>
        <v>1</v>
      </c>
      <c r="BN125" s="3">
        <v>500000</v>
      </c>
      <c r="BO125" s="3">
        <v>250000</v>
      </c>
      <c r="BP125" s="3">
        <v>100000</v>
      </c>
      <c r="BQ125" s="3">
        <v>2000000</v>
      </c>
      <c r="BR125" s="3">
        <v>50000</v>
      </c>
      <c r="BS125">
        <v>250000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 t="s">
        <v>2942</v>
      </c>
      <c r="CA125" t="s">
        <v>2006</v>
      </c>
      <c r="CB125" t="s">
        <v>2006</v>
      </c>
    </row>
    <row r="126" spans="1:80" x14ac:dyDescent="0.25">
      <c r="A126">
        <v>124</v>
      </c>
      <c r="B126" t="s">
        <v>2143</v>
      </c>
      <c r="C126" s="1">
        <v>44905</v>
      </c>
      <c r="D126" s="2">
        <v>36</v>
      </c>
      <c r="E126" t="s">
        <v>4</v>
      </c>
      <c r="F126" t="s">
        <v>1311</v>
      </c>
      <c r="G126">
        <v>1</v>
      </c>
      <c r="H126" s="3">
        <v>2200000</v>
      </c>
      <c r="I126" s="3">
        <v>375000</v>
      </c>
      <c r="J126" s="3">
        <v>0</v>
      </c>
      <c r="K126" s="3">
        <v>0</v>
      </c>
      <c r="L126" s="3" t="s">
        <v>1191</v>
      </c>
      <c r="M126">
        <v>1785163</v>
      </c>
      <c r="N126" t="s">
        <v>330</v>
      </c>
      <c r="P126" t="s">
        <v>163</v>
      </c>
      <c r="Q126" t="s">
        <v>18</v>
      </c>
      <c r="R126">
        <v>78734</v>
      </c>
      <c r="S126" t="s">
        <v>39</v>
      </c>
      <c r="T126" t="s">
        <v>973</v>
      </c>
      <c r="U126">
        <v>0</v>
      </c>
      <c r="V126">
        <v>1000</v>
      </c>
      <c r="W126" t="s">
        <v>1195</v>
      </c>
      <c r="X126" t="s">
        <v>973</v>
      </c>
      <c r="Y126">
        <v>10000</v>
      </c>
      <c r="Z126" s="2" t="s">
        <v>1194</v>
      </c>
      <c r="AA126" s="2">
        <v>0</v>
      </c>
      <c r="AB126" t="s">
        <v>1238</v>
      </c>
      <c r="AC126">
        <v>806</v>
      </c>
      <c r="AD126" t="s">
        <v>1284</v>
      </c>
      <c r="AE126">
        <v>3</v>
      </c>
      <c r="AF126" t="s">
        <v>1290</v>
      </c>
      <c r="AG126">
        <v>0</v>
      </c>
      <c r="AH126">
        <v>0</v>
      </c>
      <c r="AI126">
        <v>0</v>
      </c>
      <c r="AJ126">
        <v>1997</v>
      </c>
      <c r="AK126" t="s">
        <v>1194</v>
      </c>
      <c r="AL126">
        <v>2016</v>
      </c>
      <c r="AM126" s="4" t="s">
        <v>1238</v>
      </c>
      <c r="AN126">
        <v>1</v>
      </c>
      <c r="AO126" t="s">
        <v>1315</v>
      </c>
      <c r="AP126">
        <f t="shared" si="2"/>
        <v>0</v>
      </c>
      <c r="AQ126">
        <v>0</v>
      </c>
      <c r="AR126" t="s">
        <v>1993</v>
      </c>
      <c r="AS126" t="s">
        <v>1995</v>
      </c>
      <c r="AT126" t="s">
        <v>1995</v>
      </c>
      <c r="AU126" t="s">
        <v>1996</v>
      </c>
      <c r="AV126" t="s">
        <v>1995</v>
      </c>
      <c r="AW126" t="s">
        <v>1995</v>
      </c>
      <c r="AX126" t="s">
        <v>2003</v>
      </c>
      <c r="AY126" t="s">
        <v>1996</v>
      </c>
      <c r="AZ126">
        <v>7427</v>
      </c>
      <c r="BA126" t="s">
        <v>1194</v>
      </c>
      <c r="BB126" t="s">
        <v>1194</v>
      </c>
      <c r="BC126" s="3">
        <v>8603.0542000000005</v>
      </c>
      <c r="BD126" s="3">
        <v>2790.49</v>
      </c>
      <c r="BE126" s="3">
        <v>0</v>
      </c>
      <c r="BF126" s="3">
        <v>0</v>
      </c>
      <c r="BG126" s="3">
        <v>0</v>
      </c>
      <c r="BH126" s="3">
        <v>0</v>
      </c>
      <c r="BI126" s="3">
        <v>2254</v>
      </c>
      <c r="BJ126" s="3">
        <v>13648</v>
      </c>
      <c r="BK126" s="3">
        <v>0</v>
      </c>
      <c r="BL126" s="3">
        <v>13648</v>
      </c>
      <c r="BM126" s="2">
        <f t="shared" ca="1" si="3"/>
        <v>4</v>
      </c>
      <c r="BN126" s="3">
        <v>2000000</v>
      </c>
      <c r="BO126" s="3">
        <v>250000</v>
      </c>
      <c r="BP126" s="3">
        <v>50000</v>
      </c>
      <c r="BQ126" s="3">
        <v>250000</v>
      </c>
      <c r="BR126" s="3">
        <v>500000</v>
      </c>
      <c r="BS126">
        <v>500000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 t="s">
        <v>2942</v>
      </c>
      <c r="CA126" t="s">
        <v>2006</v>
      </c>
      <c r="CB126" t="s">
        <v>2941</v>
      </c>
    </row>
    <row r="127" spans="1:80" x14ac:dyDescent="0.25">
      <c r="A127">
        <v>125</v>
      </c>
      <c r="B127" t="s">
        <v>2144</v>
      </c>
      <c r="C127" s="1">
        <v>44799</v>
      </c>
      <c r="D127" s="2">
        <v>24</v>
      </c>
      <c r="E127" t="s">
        <v>4</v>
      </c>
      <c r="F127" t="s">
        <v>1311</v>
      </c>
      <c r="G127">
        <v>0</v>
      </c>
      <c r="H127" s="3">
        <v>2605000</v>
      </c>
      <c r="I127" s="3">
        <v>364000</v>
      </c>
      <c r="J127" s="3">
        <v>0</v>
      </c>
      <c r="K127" s="3">
        <v>0</v>
      </c>
      <c r="L127" s="3" t="s">
        <v>1191</v>
      </c>
      <c r="M127">
        <v>1976349</v>
      </c>
      <c r="N127" t="s">
        <v>331</v>
      </c>
      <c r="P127" t="s">
        <v>332</v>
      </c>
      <c r="Q127" t="s">
        <v>17</v>
      </c>
      <c r="R127">
        <v>29910</v>
      </c>
      <c r="S127" t="s">
        <v>42</v>
      </c>
      <c r="T127" t="s">
        <v>968</v>
      </c>
      <c r="U127">
        <v>0</v>
      </c>
      <c r="V127" t="s">
        <v>1060</v>
      </c>
      <c r="W127" t="s">
        <v>1194</v>
      </c>
      <c r="X127" t="s">
        <v>973</v>
      </c>
      <c r="Y127">
        <v>10000</v>
      </c>
      <c r="Z127" s="2">
        <v>5</v>
      </c>
      <c r="AA127" s="2" t="s">
        <v>1238</v>
      </c>
      <c r="AB127" t="s">
        <v>1238</v>
      </c>
      <c r="AC127">
        <v>806</v>
      </c>
      <c r="AD127" t="s">
        <v>1284</v>
      </c>
      <c r="AE127">
        <v>2</v>
      </c>
      <c r="AF127" t="s">
        <v>1290</v>
      </c>
      <c r="AG127">
        <v>0</v>
      </c>
      <c r="AH127">
        <v>0</v>
      </c>
      <c r="AI127">
        <v>0</v>
      </c>
      <c r="AJ127">
        <v>2022</v>
      </c>
      <c r="AK127" t="s">
        <v>1194</v>
      </c>
      <c r="AL127" t="s">
        <v>1194</v>
      </c>
      <c r="AM127" s="4" t="s">
        <v>1238</v>
      </c>
      <c r="AN127">
        <v>0</v>
      </c>
      <c r="AO127" t="s">
        <v>1316</v>
      </c>
      <c r="AP127">
        <f t="shared" si="2"/>
        <v>0</v>
      </c>
      <c r="AQ127">
        <v>1</v>
      </c>
      <c r="AR127" t="s">
        <v>1992</v>
      </c>
      <c r="AS127" t="s">
        <v>1995</v>
      </c>
      <c r="AT127" t="s">
        <v>1995</v>
      </c>
      <c r="AU127" t="s">
        <v>1996</v>
      </c>
      <c r="AV127" t="s">
        <v>1996</v>
      </c>
      <c r="AW127" t="s">
        <v>1995</v>
      </c>
      <c r="AX127" t="s">
        <v>2006</v>
      </c>
      <c r="AY127" t="s">
        <v>1996</v>
      </c>
      <c r="AZ127">
        <v>7375</v>
      </c>
      <c r="BA127" t="s">
        <v>1194</v>
      </c>
      <c r="BB127" t="s">
        <v>1194</v>
      </c>
      <c r="BC127" s="3">
        <v>4246.6448</v>
      </c>
      <c r="BD127" s="3">
        <v>3545.8</v>
      </c>
      <c r="BE127" s="3">
        <v>0</v>
      </c>
      <c r="BF127" s="3">
        <v>0</v>
      </c>
      <c r="BG127" s="3">
        <v>0</v>
      </c>
      <c r="BH127" s="3">
        <v>0</v>
      </c>
      <c r="BI127" s="3">
        <v>9961</v>
      </c>
      <c r="BJ127" s="3">
        <v>17753</v>
      </c>
      <c r="BK127" s="3">
        <v>1916.42</v>
      </c>
      <c r="BL127" s="3">
        <v>19669.419999999998</v>
      </c>
      <c r="BM127" s="2">
        <f t="shared" ca="1" si="3"/>
        <v>3</v>
      </c>
      <c r="BN127" s="3" t="s">
        <v>2916</v>
      </c>
      <c r="BO127" s="3">
        <v>20000</v>
      </c>
      <c r="BP127" s="3">
        <v>50000</v>
      </c>
      <c r="BQ127" s="3">
        <v>100000</v>
      </c>
      <c r="BR127" s="3">
        <v>50000</v>
      </c>
      <c r="BS127">
        <v>1000000</v>
      </c>
      <c r="BT127">
        <v>0</v>
      </c>
      <c r="BU127">
        <v>1</v>
      </c>
      <c r="BV127">
        <v>0</v>
      </c>
      <c r="BW127">
        <v>0</v>
      </c>
      <c r="BX127">
        <v>1</v>
      </c>
      <c r="BY127">
        <v>0</v>
      </c>
      <c r="BZ127" t="s">
        <v>2940</v>
      </c>
      <c r="CA127" t="s">
        <v>2006</v>
      </c>
      <c r="CB127" t="s">
        <v>2945</v>
      </c>
    </row>
    <row r="128" spans="1:80" x14ac:dyDescent="0.25">
      <c r="A128">
        <v>126</v>
      </c>
      <c r="B128" t="s">
        <v>2145</v>
      </c>
      <c r="C128" s="1">
        <v>44813</v>
      </c>
      <c r="D128" s="2">
        <v>27</v>
      </c>
      <c r="E128" t="s">
        <v>4</v>
      </c>
      <c r="F128" t="s">
        <v>1311</v>
      </c>
      <c r="G128">
        <v>0</v>
      </c>
      <c r="H128" s="3">
        <v>0</v>
      </c>
      <c r="I128" s="3">
        <v>0</v>
      </c>
      <c r="J128" s="3">
        <v>2600000</v>
      </c>
      <c r="K128" s="3">
        <v>0</v>
      </c>
      <c r="L128" s="3" t="s">
        <v>1192</v>
      </c>
      <c r="M128">
        <v>1879619</v>
      </c>
      <c r="N128" t="s">
        <v>333</v>
      </c>
      <c r="O128" t="s">
        <v>334</v>
      </c>
      <c r="P128" t="s">
        <v>335</v>
      </c>
      <c r="Q128" t="s">
        <v>15</v>
      </c>
      <c r="R128">
        <v>33487</v>
      </c>
      <c r="S128" t="s">
        <v>27</v>
      </c>
      <c r="T128" t="s">
        <v>967</v>
      </c>
      <c r="U128">
        <v>1</v>
      </c>
      <c r="V128" t="s">
        <v>989</v>
      </c>
      <c r="W128" t="s">
        <v>1194</v>
      </c>
      <c r="X128" t="s">
        <v>1309</v>
      </c>
      <c r="Y128">
        <v>10000</v>
      </c>
      <c r="Z128" s="2">
        <v>5</v>
      </c>
      <c r="AA128" s="2" t="s">
        <v>1238</v>
      </c>
      <c r="AB128" t="s">
        <v>1238</v>
      </c>
      <c r="AC128">
        <v>812</v>
      </c>
      <c r="AD128" t="s">
        <v>1280</v>
      </c>
      <c r="AE128">
        <v>1</v>
      </c>
      <c r="AF128" t="s">
        <v>1292</v>
      </c>
      <c r="AG128">
        <v>0</v>
      </c>
      <c r="AH128">
        <v>0</v>
      </c>
      <c r="AI128">
        <v>0</v>
      </c>
      <c r="AJ128">
        <v>2009</v>
      </c>
      <c r="AK128" t="s">
        <v>1194</v>
      </c>
      <c r="AL128" t="s">
        <v>1194</v>
      </c>
      <c r="AM128" s="4" t="s">
        <v>1238</v>
      </c>
      <c r="AN128">
        <v>0</v>
      </c>
      <c r="AO128" t="s">
        <v>1316</v>
      </c>
      <c r="AP128">
        <f t="shared" si="2"/>
        <v>0</v>
      </c>
      <c r="AQ128">
        <v>1</v>
      </c>
      <c r="AR128" t="s">
        <v>1992</v>
      </c>
      <c r="AS128" t="s">
        <v>1996</v>
      </c>
      <c r="AT128" t="s">
        <v>1995</v>
      </c>
      <c r="AU128" t="s">
        <v>1995</v>
      </c>
      <c r="AV128" t="s">
        <v>1996</v>
      </c>
      <c r="AW128" t="s">
        <v>1996</v>
      </c>
      <c r="AX128" t="s">
        <v>2007</v>
      </c>
      <c r="AY128" t="s">
        <v>1995</v>
      </c>
      <c r="AZ128">
        <v>5480</v>
      </c>
      <c r="BA128" t="s">
        <v>1194</v>
      </c>
      <c r="BB128" t="s">
        <v>1194</v>
      </c>
      <c r="BC128" s="3">
        <v>6038.4362000000001</v>
      </c>
      <c r="BD128" s="3">
        <v>17709.41</v>
      </c>
      <c r="BE128" s="3">
        <v>0</v>
      </c>
      <c r="BF128" s="3">
        <v>0</v>
      </c>
      <c r="BG128" s="3">
        <v>0</v>
      </c>
      <c r="BH128" s="3">
        <v>0</v>
      </c>
      <c r="BI128" s="3">
        <v>39952</v>
      </c>
      <c r="BJ128" s="3">
        <v>63700</v>
      </c>
      <c r="BK128" s="3">
        <v>200</v>
      </c>
      <c r="BL128" s="3">
        <v>63900</v>
      </c>
      <c r="BM128" s="2">
        <f t="shared" ca="1" si="3"/>
        <v>3</v>
      </c>
      <c r="BN128" s="3" t="s">
        <v>2916</v>
      </c>
      <c r="BO128" s="3">
        <v>250000</v>
      </c>
      <c r="BP128" s="3">
        <v>50000</v>
      </c>
      <c r="BQ128" s="3">
        <v>500000</v>
      </c>
      <c r="BR128" s="3">
        <v>50000</v>
      </c>
      <c r="BS128">
        <v>50000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 t="s">
        <v>2940</v>
      </c>
      <c r="CA128" t="s">
        <v>2939</v>
      </c>
      <c r="CB128" t="s">
        <v>2946</v>
      </c>
    </row>
    <row r="129" spans="1:80" x14ac:dyDescent="0.25">
      <c r="A129">
        <v>127</v>
      </c>
      <c r="B129" t="s">
        <v>2146</v>
      </c>
      <c r="C129" s="1">
        <v>44697</v>
      </c>
      <c r="D129" s="2">
        <v>15</v>
      </c>
      <c r="E129" t="s">
        <v>4</v>
      </c>
      <c r="F129" t="s">
        <v>1311</v>
      </c>
      <c r="G129">
        <v>1</v>
      </c>
      <c r="H129" s="3">
        <v>0</v>
      </c>
      <c r="I129" s="3">
        <v>0</v>
      </c>
      <c r="J129" s="3">
        <v>2000000</v>
      </c>
      <c r="K129" s="3">
        <v>0</v>
      </c>
      <c r="L129" s="3" t="s">
        <v>1192</v>
      </c>
      <c r="M129">
        <v>2067410</v>
      </c>
      <c r="N129" t="s">
        <v>336</v>
      </c>
      <c r="O129" t="s">
        <v>337</v>
      </c>
      <c r="P129" t="s">
        <v>62</v>
      </c>
      <c r="Q129" t="s">
        <v>19</v>
      </c>
      <c r="R129">
        <v>94105</v>
      </c>
      <c r="S129" t="s">
        <v>62</v>
      </c>
      <c r="T129" t="s">
        <v>976</v>
      </c>
      <c r="U129">
        <v>1</v>
      </c>
      <c r="V129">
        <v>10</v>
      </c>
      <c r="W129" t="s">
        <v>1204</v>
      </c>
      <c r="X129" t="s">
        <v>1309</v>
      </c>
      <c r="Y129">
        <v>10000</v>
      </c>
      <c r="Z129" s="2" t="s">
        <v>1194</v>
      </c>
      <c r="AA129" s="2" t="s">
        <v>1238</v>
      </c>
      <c r="AB129" t="s">
        <v>1238</v>
      </c>
      <c r="AC129" t="s">
        <v>1194</v>
      </c>
      <c r="AD129" t="s">
        <v>1279</v>
      </c>
      <c r="AE129">
        <v>1</v>
      </c>
      <c r="AF129" t="s">
        <v>1290</v>
      </c>
      <c r="AG129">
        <v>0</v>
      </c>
      <c r="AH129">
        <v>0</v>
      </c>
      <c r="AI129">
        <v>0</v>
      </c>
      <c r="AJ129">
        <v>2021</v>
      </c>
      <c r="AK129" t="s">
        <v>1194</v>
      </c>
      <c r="AL129" t="s">
        <v>1194</v>
      </c>
      <c r="AM129" s="4" t="s">
        <v>1238</v>
      </c>
      <c r="AN129">
        <v>0</v>
      </c>
      <c r="AO129" t="s">
        <v>1317</v>
      </c>
      <c r="AP129">
        <f t="shared" si="2"/>
        <v>0</v>
      </c>
      <c r="AQ129">
        <v>0</v>
      </c>
      <c r="AR129" t="s">
        <v>1993</v>
      </c>
      <c r="AS129" t="s">
        <v>1995</v>
      </c>
      <c r="AT129" t="s">
        <v>1995</v>
      </c>
      <c r="AU129" t="s">
        <v>1996</v>
      </c>
      <c r="AV129" t="s">
        <v>1996</v>
      </c>
      <c r="AW129" t="s">
        <v>1996</v>
      </c>
      <c r="AX129" t="s">
        <v>1194</v>
      </c>
      <c r="AY129" t="s">
        <v>1996</v>
      </c>
      <c r="AZ129">
        <v>3000</v>
      </c>
      <c r="BA129" t="s">
        <v>1194</v>
      </c>
      <c r="BB129" t="s">
        <v>2014</v>
      </c>
      <c r="BC129" s="3">
        <v>0</v>
      </c>
      <c r="BD129" s="3">
        <v>0</v>
      </c>
      <c r="BE129" s="3">
        <v>11214.99</v>
      </c>
      <c r="BF129" s="3">
        <v>1946.88</v>
      </c>
      <c r="BG129" s="3">
        <v>150</v>
      </c>
      <c r="BH129" s="3">
        <v>0</v>
      </c>
      <c r="BI129" s="3">
        <v>599</v>
      </c>
      <c r="BJ129" s="3">
        <v>13910.87</v>
      </c>
      <c r="BK129" s="3">
        <v>0</v>
      </c>
      <c r="BL129" s="3">
        <v>13910.87</v>
      </c>
      <c r="BM129" s="2">
        <f t="shared" ca="1" si="3"/>
        <v>2</v>
      </c>
      <c r="BN129" s="3">
        <v>1000000</v>
      </c>
      <c r="BO129" s="3">
        <v>500000</v>
      </c>
      <c r="BP129" s="3">
        <v>50000</v>
      </c>
      <c r="BQ129" s="3">
        <v>50000</v>
      </c>
      <c r="BR129" s="3">
        <v>100000</v>
      </c>
      <c r="BS129">
        <v>500000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 t="s">
        <v>2950</v>
      </c>
      <c r="CA129" t="s">
        <v>1194</v>
      </c>
      <c r="CB129" t="s">
        <v>2949</v>
      </c>
    </row>
    <row r="130" spans="1:80" x14ac:dyDescent="0.25">
      <c r="A130">
        <v>128</v>
      </c>
      <c r="B130" t="s">
        <v>2147</v>
      </c>
      <c r="C130" s="1">
        <v>44952</v>
      </c>
      <c r="D130" s="2">
        <v>3</v>
      </c>
      <c r="E130" t="s">
        <v>4</v>
      </c>
      <c r="F130" t="s">
        <v>1310</v>
      </c>
      <c r="G130">
        <v>0</v>
      </c>
      <c r="H130" s="3">
        <v>1922000</v>
      </c>
      <c r="I130" s="3">
        <v>132000</v>
      </c>
      <c r="J130" s="3">
        <v>0</v>
      </c>
      <c r="K130" s="3">
        <v>0</v>
      </c>
      <c r="L130" s="3" t="s">
        <v>1191</v>
      </c>
      <c r="M130">
        <v>1581561</v>
      </c>
      <c r="N130" t="s">
        <v>338</v>
      </c>
      <c r="P130" t="s">
        <v>339</v>
      </c>
      <c r="Q130" t="s">
        <v>14</v>
      </c>
      <c r="R130">
        <v>10583</v>
      </c>
      <c r="S130" t="s">
        <v>36</v>
      </c>
      <c r="T130" t="s">
        <v>962</v>
      </c>
      <c r="U130">
        <v>0</v>
      </c>
      <c r="V130" t="s">
        <v>1061</v>
      </c>
      <c r="W130" t="s">
        <v>1194</v>
      </c>
      <c r="X130" t="s">
        <v>973</v>
      </c>
      <c r="Y130">
        <v>10000</v>
      </c>
      <c r="Z130" s="2">
        <v>2</v>
      </c>
      <c r="AA130" s="2" t="s">
        <v>1238</v>
      </c>
      <c r="AB130" t="s">
        <v>1238</v>
      </c>
      <c r="AC130">
        <v>738</v>
      </c>
      <c r="AD130" t="s">
        <v>1279</v>
      </c>
      <c r="AE130">
        <v>2</v>
      </c>
      <c r="AF130" t="s">
        <v>1290</v>
      </c>
      <c r="AG130">
        <v>0</v>
      </c>
      <c r="AH130">
        <v>0</v>
      </c>
      <c r="AI130">
        <v>0</v>
      </c>
      <c r="AJ130">
        <v>1960</v>
      </c>
      <c r="AK130" t="s">
        <v>1194</v>
      </c>
      <c r="AL130">
        <v>2022</v>
      </c>
      <c r="AM130" s="4" t="s">
        <v>1307</v>
      </c>
      <c r="AN130">
        <v>1</v>
      </c>
      <c r="AO130" t="s">
        <v>1316</v>
      </c>
      <c r="AP130">
        <f t="shared" si="2"/>
        <v>0</v>
      </c>
      <c r="AQ130">
        <v>1</v>
      </c>
      <c r="AR130" t="s">
        <v>1992</v>
      </c>
      <c r="AS130" t="s">
        <v>1995</v>
      </c>
      <c r="AT130" t="s">
        <v>1995</v>
      </c>
      <c r="AU130" t="s">
        <v>1995</v>
      </c>
      <c r="AV130" t="s">
        <v>1996</v>
      </c>
      <c r="AW130" t="s">
        <v>1996</v>
      </c>
      <c r="AX130" t="s">
        <v>2006</v>
      </c>
      <c r="AY130" t="s">
        <v>1996</v>
      </c>
      <c r="AZ130">
        <v>4055</v>
      </c>
      <c r="BA130" t="s">
        <v>1194</v>
      </c>
      <c r="BB130" t="s">
        <v>1194</v>
      </c>
      <c r="BC130" s="3">
        <v>7185.6122999999998</v>
      </c>
      <c r="BD130" s="3">
        <v>1684.3</v>
      </c>
      <c r="BE130" s="3">
        <v>0</v>
      </c>
      <c r="BF130" s="3">
        <v>0</v>
      </c>
      <c r="BG130" s="3">
        <v>0</v>
      </c>
      <c r="BH130" s="3">
        <v>0</v>
      </c>
      <c r="BI130" s="3">
        <v>578</v>
      </c>
      <c r="BJ130" s="3">
        <v>9448</v>
      </c>
      <c r="BK130" s="3">
        <v>0</v>
      </c>
      <c r="BL130" s="3">
        <v>9448</v>
      </c>
      <c r="BM130" s="2">
        <f t="shared" ca="1" si="3"/>
        <v>4</v>
      </c>
      <c r="BN130" s="3">
        <v>1000000</v>
      </c>
      <c r="BO130" s="3">
        <v>25000</v>
      </c>
      <c r="BP130" s="3">
        <v>100000</v>
      </c>
      <c r="BQ130" s="3">
        <v>100000</v>
      </c>
      <c r="BR130" s="3">
        <v>50000</v>
      </c>
      <c r="BS130">
        <v>1000000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 t="s">
        <v>2942</v>
      </c>
      <c r="CA130" t="s">
        <v>2006</v>
      </c>
      <c r="CB130" t="s">
        <v>2006</v>
      </c>
    </row>
    <row r="131" spans="1:80" x14ac:dyDescent="0.25">
      <c r="A131">
        <v>129</v>
      </c>
      <c r="B131" t="s">
        <v>2148</v>
      </c>
      <c r="C131" s="1">
        <v>44655</v>
      </c>
      <c r="D131" s="2">
        <v>12</v>
      </c>
      <c r="E131" t="s">
        <v>4</v>
      </c>
      <c r="F131" t="s">
        <v>1311</v>
      </c>
      <c r="G131">
        <v>0</v>
      </c>
      <c r="H131" s="3">
        <v>2500000</v>
      </c>
      <c r="I131" s="3">
        <v>0</v>
      </c>
      <c r="J131" s="3">
        <v>0</v>
      </c>
      <c r="K131" s="3">
        <v>0</v>
      </c>
      <c r="L131" s="3" t="s">
        <v>1191</v>
      </c>
      <c r="M131">
        <v>1881864</v>
      </c>
      <c r="N131" t="s">
        <v>340</v>
      </c>
      <c r="P131" t="s">
        <v>341</v>
      </c>
      <c r="Q131" t="s">
        <v>14</v>
      </c>
      <c r="R131">
        <v>11935</v>
      </c>
      <c r="S131" t="s">
        <v>26</v>
      </c>
      <c r="T131" t="s">
        <v>970</v>
      </c>
      <c r="U131">
        <v>1</v>
      </c>
      <c r="V131" t="s">
        <v>1062</v>
      </c>
      <c r="W131" t="s">
        <v>1194</v>
      </c>
      <c r="X131" t="s">
        <v>1309</v>
      </c>
      <c r="Y131">
        <v>10000</v>
      </c>
      <c r="Z131" s="2">
        <v>5</v>
      </c>
      <c r="AA131" s="2" t="s">
        <v>1238</v>
      </c>
      <c r="AB131" t="s">
        <v>1238</v>
      </c>
      <c r="AC131">
        <v>815</v>
      </c>
      <c r="AD131" t="s">
        <v>1279</v>
      </c>
      <c r="AE131">
        <v>3</v>
      </c>
      <c r="AF131" t="s">
        <v>1290</v>
      </c>
      <c r="AG131">
        <v>0</v>
      </c>
      <c r="AH131">
        <v>0</v>
      </c>
      <c r="AI131">
        <v>0</v>
      </c>
      <c r="AJ131">
        <v>1965</v>
      </c>
      <c r="AK131">
        <v>2022</v>
      </c>
      <c r="AL131">
        <v>2022</v>
      </c>
      <c r="AM131" s="4" t="s">
        <v>1238</v>
      </c>
      <c r="AN131">
        <v>1</v>
      </c>
      <c r="AO131" t="s">
        <v>1316</v>
      </c>
      <c r="AP131">
        <f t="shared" si="2"/>
        <v>0</v>
      </c>
      <c r="AQ131">
        <v>1</v>
      </c>
      <c r="AR131" t="s">
        <v>1992</v>
      </c>
      <c r="AS131" t="s">
        <v>1996</v>
      </c>
      <c r="AT131" t="s">
        <v>1996</v>
      </c>
      <c r="AU131" t="s">
        <v>1995</v>
      </c>
      <c r="AV131" t="s">
        <v>1996</v>
      </c>
      <c r="AW131" t="s">
        <v>1995</v>
      </c>
      <c r="AX131" t="s">
        <v>2006</v>
      </c>
      <c r="AY131" t="s">
        <v>1996</v>
      </c>
      <c r="AZ131">
        <v>3700</v>
      </c>
      <c r="BA131" t="s">
        <v>1194</v>
      </c>
      <c r="BB131" t="s">
        <v>1194</v>
      </c>
      <c r="BC131" s="3">
        <v>6436.5406000000003</v>
      </c>
      <c r="BD131" s="3">
        <v>13540.7</v>
      </c>
      <c r="BE131" s="3">
        <v>0</v>
      </c>
      <c r="BF131" s="3">
        <v>0</v>
      </c>
      <c r="BG131" s="3">
        <v>120</v>
      </c>
      <c r="BH131" s="3">
        <v>0</v>
      </c>
      <c r="BI131" s="3">
        <v>-627.24</v>
      </c>
      <c r="BJ131" s="3">
        <v>19470</v>
      </c>
      <c r="BK131" s="3">
        <v>0</v>
      </c>
      <c r="BL131" s="3">
        <v>19470</v>
      </c>
      <c r="BM131" s="2">
        <f t="shared" ca="1" si="3"/>
        <v>1</v>
      </c>
      <c r="BN131" s="3">
        <v>50000</v>
      </c>
      <c r="BO131" s="3">
        <v>50000</v>
      </c>
      <c r="BP131" s="3">
        <v>50000</v>
      </c>
      <c r="BQ131" s="3">
        <v>500000</v>
      </c>
      <c r="BR131" s="3">
        <v>500000</v>
      </c>
      <c r="BS131">
        <v>100000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 t="s">
        <v>2942</v>
      </c>
      <c r="CA131" t="s">
        <v>2006</v>
      </c>
      <c r="CB131" t="s">
        <v>2945</v>
      </c>
    </row>
    <row r="132" spans="1:80" x14ac:dyDescent="0.25">
      <c r="A132">
        <v>130</v>
      </c>
      <c r="B132" t="s">
        <v>2149</v>
      </c>
      <c r="C132" s="1">
        <v>44905</v>
      </c>
      <c r="D132" s="2">
        <v>36</v>
      </c>
      <c r="E132" t="s">
        <v>4</v>
      </c>
      <c r="F132" t="s">
        <v>1311</v>
      </c>
      <c r="G132">
        <v>1</v>
      </c>
      <c r="H132" s="3">
        <v>2600000</v>
      </c>
      <c r="I132" s="3">
        <v>375000</v>
      </c>
      <c r="J132" s="3">
        <v>0</v>
      </c>
      <c r="K132" s="3">
        <v>0</v>
      </c>
      <c r="L132" s="3" t="s">
        <v>1191</v>
      </c>
      <c r="M132">
        <v>1595621</v>
      </c>
      <c r="N132" t="s">
        <v>342</v>
      </c>
      <c r="P132" t="s">
        <v>343</v>
      </c>
      <c r="Q132" t="s">
        <v>15</v>
      </c>
      <c r="R132">
        <v>32413</v>
      </c>
      <c r="S132" t="s">
        <v>78</v>
      </c>
      <c r="T132" t="s">
        <v>964</v>
      </c>
      <c r="U132">
        <v>1</v>
      </c>
      <c r="V132" t="s">
        <v>1063</v>
      </c>
      <c r="W132" t="s">
        <v>1194</v>
      </c>
      <c r="X132" t="s">
        <v>1309</v>
      </c>
      <c r="Y132">
        <v>10000</v>
      </c>
      <c r="Z132" s="2">
        <v>5</v>
      </c>
      <c r="AA132" s="2" t="s">
        <v>1238</v>
      </c>
      <c r="AB132" t="s">
        <v>1238</v>
      </c>
      <c r="AC132">
        <v>766</v>
      </c>
      <c r="AD132" t="s">
        <v>1279</v>
      </c>
      <c r="AE132">
        <v>3</v>
      </c>
      <c r="AF132" t="s">
        <v>1291</v>
      </c>
      <c r="AG132">
        <v>0</v>
      </c>
      <c r="AH132">
        <v>0</v>
      </c>
      <c r="AI132">
        <v>0</v>
      </c>
      <c r="AJ132">
        <v>2020</v>
      </c>
      <c r="AK132" t="s">
        <v>1194</v>
      </c>
      <c r="AL132" t="s">
        <v>1194</v>
      </c>
      <c r="AM132" s="4" t="s">
        <v>1238</v>
      </c>
      <c r="AN132">
        <v>0</v>
      </c>
      <c r="AO132" t="s">
        <v>1315</v>
      </c>
      <c r="AP132">
        <f t="shared" ref="AP132:AP195" si="4">AI132</f>
        <v>0</v>
      </c>
      <c r="AQ132">
        <v>1</v>
      </c>
      <c r="AR132" t="s">
        <v>1992</v>
      </c>
      <c r="AS132" t="s">
        <v>1996</v>
      </c>
      <c r="AT132" t="s">
        <v>1995</v>
      </c>
      <c r="AU132" t="s">
        <v>1996</v>
      </c>
      <c r="AV132" t="s">
        <v>1995</v>
      </c>
      <c r="AW132" t="s">
        <v>1996</v>
      </c>
      <c r="AX132" t="s">
        <v>2007</v>
      </c>
      <c r="AY132" t="s">
        <v>1995</v>
      </c>
      <c r="AZ132">
        <v>4500</v>
      </c>
      <c r="BA132" t="s">
        <v>1194</v>
      </c>
      <c r="BB132" t="s">
        <v>1194</v>
      </c>
      <c r="BC132" s="3">
        <v>4758.6941999999999</v>
      </c>
      <c r="BD132" s="3">
        <v>6460.74</v>
      </c>
      <c r="BE132" s="3">
        <v>0</v>
      </c>
      <c r="BF132" s="3">
        <v>0</v>
      </c>
      <c r="BG132" s="3">
        <v>0</v>
      </c>
      <c r="BH132" s="3">
        <v>0</v>
      </c>
      <c r="BI132" s="3">
        <v>5739</v>
      </c>
      <c r="BJ132" s="3">
        <v>16958</v>
      </c>
      <c r="BK132" s="3">
        <v>0</v>
      </c>
      <c r="BL132" s="3">
        <v>16958</v>
      </c>
      <c r="BM132" s="2">
        <f t="shared" ref="BM132:BM195" ca="1" si="5">IF(ROUND((6*RAND()),0)=0,1,(ROUND((6*RAND()),0)))</f>
        <v>1</v>
      </c>
      <c r="BN132" s="3">
        <v>50000</v>
      </c>
      <c r="BO132" s="3">
        <v>1000000</v>
      </c>
      <c r="BP132" s="3">
        <v>100000</v>
      </c>
      <c r="BQ132" s="3">
        <v>250000</v>
      </c>
      <c r="BR132" s="3">
        <v>50000</v>
      </c>
      <c r="BS132">
        <v>2000000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 t="s">
        <v>2940</v>
      </c>
      <c r="CA132" t="s">
        <v>2944</v>
      </c>
      <c r="CB132" t="s">
        <v>2941</v>
      </c>
    </row>
    <row r="133" spans="1:80" x14ac:dyDescent="0.25">
      <c r="A133">
        <v>131</v>
      </c>
      <c r="B133" t="s">
        <v>2150</v>
      </c>
      <c r="C133" s="1">
        <v>44677</v>
      </c>
      <c r="D133" s="2">
        <v>12</v>
      </c>
      <c r="E133" t="s">
        <v>4</v>
      </c>
      <c r="F133" t="s">
        <v>1311</v>
      </c>
      <c r="G133">
        <v>1</v>
      </c>
      <c r="H133" s="3">
        <v>0</v>
      </c>
      <c r="I133" s="3">
        <v>0</v>
      </c>
      <c r="J133" s="3">
        <v>1681500</v>
      </c>
      <c r="K133" s="3">
        <v>0</v>
      </c>
      <c r="L133" s="3" t="s">
        <v>1192</v>
      </c>
      <c r="M133">
        <v>1217656</v>
      </c>
      <c r="N133" t="s">
        <v>344</v>
      </c>
      <c r="O133" t="s">
        <v>345</v>
      </c>
      <c r="P133" t="s">
        <v>29</v>
      </c>
      <c r="Q133" t="s">
        <v>14</v>
      </c>
      <c r="R133">
        <v>10023</v>
      </c>
      <c r="S133" t="s">
        <v>29</v>
      </c>
      <c r="T133" t="s">
        <v>962</v>
      </c>
      <c r="U133">
        <v>0</v>
      </c>
      <c r="V133" t="s">
        <v>1064</v>
      </c>
      <c r="W133" t="s">
        <v>1194</v>
      </c>
      <c r="X133" t="s">
        <v>973</v>
      </c>
      <c r="Y133">
        <v>50000</v>
      </c>
      <c r="Z133" s="2">
        <v>5</v>
      </c>
      <c r="AA133" s="2" t="s">
        <v>1238</v>
      </c>
      <c r="AB133" t="s">
        <v>1238</v>
      </c>
      <c r="AC133">
        <v>808</v>
      </c>
      <c r="AD133" t="s">
        <v>1280</v>
      </c>
      <c r="AE133">
        <v>1</v>
      </c>
      <c r="AF133" t="s">
        <v>1290</v>
      </c>
      <c r="AG133">
        <v>0</v>
      </c>
      <c r="AH133">
        <v>0</v>
      </c>
      <c r="AI133">
        <v>0</v>
      </c>
      <c r="AJ133">
        <v>2007</v>
      </c>
      <c r="AK133" t="s">
        <v>1194</v>
      </c>
      <c r="AL133" t="s">
        <v>1194</v>
      </c>
      <c r="AM133" s="4" t="s">
        <v>1238</v>
      </c>
      <c r="AN133">
        <v>0</v>
      </c>
      <c r="AO133" t="s">
        <v>1316</v>
      </c>
      <c r="AP133">
        <f t="shared" si="4"/>
        <v>0</v>
      </c>
      <c r="AQ133">
        <v>1</v>
      </c>
      <c r="AR133" t="s">
        <v>1992</v>
      </c>
      <c r="AS133" t="s">
        <v>1995</v>
      </c>
      <c r="AT133" t="s">
        <v>1996</v>
      </c>
      <c r="AU133" t="s">
        <v>1995</v>
      </c>
      <c r="AV133" t="s">
        <v>1995</v>
      </c>
      <c r="AW133" t="s">
        <v>1996</v>
      </c>
      <c r="AX133" t="s">
        <v>2006</v>
      </c>
      <c r="AY133" t="s">
        <v>1996</v>
      </c>
      <c r="AZ133">
        <v>2242</v>
      </c>
      <c r="BA133" t="s">
        <v>1194</v>
      </c>
      <c r="BB133" t="s">
        <v>1194</v>
      </c>
      <c r="BC133" s="3">
        <v>5640.8834999999999</v>
      </c>
      <c r="BD133" s="3">
        <v>622.05999999999995</v>
      </c>
      <c r="BE133" s="3">
        <v>0</v>
      </c>
      <c r="BF133" s="3">
        <v>0</v>
      </c>
      <c r="BG133" s="3">
        <v>150</v>
      </c>
      <c r="BH133" s="3">
        <v>0</v>
      </c>
      <c r="BI133" s="3">
        <v>2667.16</v>
      </c>
      <c r="BJ133" s="3">
        <v>9080</v>
      </c>
      <c r="BK133" s="3">
        <v>179.4</v>
      </c>
      <c r="BL133" s="3">
        <v>9259.4</v>
      </c>
      <c r="BM133" s="2">
        <f t="shared" ca="1" si="5"/>
        <v>3</v>
      </c>
      <c r="BN133" s="3">
        <v>500000</v>
      </c>
      <c r="BO133" s="3">
        <v>2000000</v>
      </c>
      <c r="BP133" s="3">
        <v>50000</v>
      </c>
      <c r="BQ133" s="3">
        <v>250000</v>
      </c>
      <c r="BR133" s="3">
        <v>250000</v>
      </c>
      <c r="BS133">
        <v>50000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 t="s">
        <v>2942</v>
      </c>
      <c r="CA133" t="s">
        <v>2006</v>
      </c>
      <c r="CB133" t="s">
        <v>2946</v>
      </c>
    </row>
    <row r="134" spans="1:80" x14ac:dyDescent="0.25">
      <c r="A134">
        <v>132</v>
      </c>
      <c r="B134" t="s">
        <v>2151</v>
      </c>
      <c r="C134" s="1">
        <v>44708</v>
      </c>
      <c r="D134" s="2">
        <v>15</v>
      </c>
      <c r="E134" t="s">
        <v>4</v>
      </c>
      <c r="F134" t="s">
        <v>1311</v>
      </c>
      <c r="G134">
        <v>1</v>
      </c>
      <c r="H134" s="3">
        <v>600000</v>
      </c>
      <c r="I134" s="3">
        <v>3000000</v>
      </c>
      <c r="J134" s="3">
        <v>0</v>
      </c>
      <c r="K134" s="3">
        <v>0</v>
      </c>
      <c r="L134" s="3" t="s">
        <v>1191</v>
      </c>
      <c r="M134">
        <v>1654352</v>
      </c>
      <c r="N134" t="s">
        <v>346</v>
      </c>
      <c r="P134" t="s">
        <v>163</v>
      </c>
      <c r="Q134" t="s">
        <v>18</v>
      </c>
      <c r="R134">
        <v>78737</v>
      </c>
      <c r="S134" t="s">
        <v>74</v>
      </c>
      <c r="T134" t="s">
        <v>973</v>
      </c>
      <c r="U134">
        <v>0</v>
      </c>
      <c r="V134">
        <v>1300</v>
      </c>
      <c r="W134" t="s">
        <v>1195</v>
      </c>
      <c r="X134" t="s">
        <v>973</v>
      </c>
      <c r="Y134">
        <v>10000</v>
      </c>
      <c r="Z134" s="2" t="s">
        <v>1194</v>
      </c>
      <c r="AA134" s="2">
        <v>0</v>
      </c>
      <c r="AB134" t="s">
        <v>1238</v>
      </c>
      <c r="AC134">
        <v>896</v>
      </c>
      <c r="AD134" t="s">
        <v>1279</v>
      </c>
      <c r="AE134">
        <v>3</v>
      </c>
      <c r="AF134" t="s">
        <v>1291</v>
      </c>
      <c r="AG134">
        <v>0</v>
      </c>
      <c r="AH134">
        <v>0</v>
      </c>
      <c r="AI134">
        <v>0</v>
      </c>
      <c r="AJ134">
        <v>2022</v>
      </c>
      <c r="AK134" t="s">
        <v>1194</v>
      </c>
      <c r="AL134" t="s">
        <v>1194</v>
      </c>
      <c r="AM134" s="4" t="s">
        <v>1238</v>
      </c>
      <c r="AN134">
        <v>0</v>
      </c>
      <c r="AO134" t="s">
        <v>1315</v>
      </c>
      <c r="AP134">
        <f t="shared" si="4"/>
        <v>0</v>
      </c>
      <c r="AQ134">
        <v>1</v>
      </c>
      <c r="AR134" t="s">
        <v>1992</v>
      </c>
      <c r="AS134" t="s">
        <v>1996</v>
      </c>
      <c r="AT134" t="s">
        <v>1995</v>
      </c>
      <c r="AU134" t="s">
        <v>1996</v>
      </c>
      <c r="AV134" t="s">
        <v>1996</v>
      </c>
      <c r="AW134" t="s">
        <v>1995</v>
      </c>
      <c r="AX134" t="s">
        <v>2006</v>
      </c>
      <c r="AY134" t="s">
        <v>1996</v>
      </c>
      <c r="AZ134">
        <v>2000</v>
      </c>
      <c r="BA134" t="s">
        <v>1194</v>
      </c>
      <c r="BB134" t="s">
        <v>1194</v>
      </c>
      <c r="BC134" s="3">
        <v>11966.4</v>
      </c>
      <c r="BD134" s="3">
        <v>5179.6099999999997</v>
      </c>
      <c r="BE134" s="3">
        <v>0</v>
      </c>
      <c r="BF134" s="3">
        <v>0</v>
      </c>
      <c r="BG134" s="3">
        <v>150</v>
      </c>
      <c r="BH134" s="3">
        <v>0</v>
      </c>
      <c r="BI134" s="3">
        <v>0</v>
      </c>
      <c r="BJ134" s="3">
        <v>17296</v>
      </c>
      <c r="BK134" s="3">
        <v>0</v>
      </c>
      <c r="BL134" s="3">
        <v>17296</v>
      </c>
      <c r="BM134" s="2">
        <f t="shared" ca="1" si="5"/>
        <v>5</v>
      </c>
      <c r="BN134" s="3">
        <v>250000</v>
      </c>
      <c r="BO134" s="3">
        <v>25000</v>
      </c>
      <c r="BP134" s="3">
        <v>100000</v>
      </c>
      <c r="BQ134" s="3">
        <v>250000</v>
      </c>
      <c r="BR134" s="3">
        <v>100000</v>
      </c>
      <c r="BS134">
        <v>2000000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 t="s">
        <v>2943</v>
      </c>
      <c r="CA134" t="s">
        <v>2006</v>
      </c>
      <c r="CB134" t="s">
        <v>2945</v>
      </c>
    </row>
    <row r="135" spans="1:80" x14ac:dyDescent="0.25">
      <c r="A135">
        <v>133</v>
      </c>
      <c r="B135" t="s">
        <v>2152</v>
      </c>
      <c r="C135" s="1">
        <v>44915</v>
      </c>
      <c r="D135" s="2">
        <v>36</v>
      </c>
      <c r="E135" t="s">
        <v>4</v>
      </c>
      <c r="F135" t="s">
        <v>1311</v>
      </c>
      <c r="G135">
        <v>0</v>
      </c>
      <c r="H135" s="3">
        <v>4300000</v>
      </c>
      <c r="I135" s="3">
        <v>400000</v>
      </c>
      <c r="J135" s="3">
        <v>0</v>
      </c>
      <c r="K135" s="3">
        <v>0</v>
      </c>
      <c r="L135" s="3" t="s">
        <v>1191</v>
      </c>
      <c r="M135">
        <v>659364</v>
      </c>
      <c r="N135" t="s">
        <v>347</v>
      </c>
      <c r="P135" t="s">
        <v>241</v>
      </c>
      <c r="Q135" t="s">
        <v>13</v>
      </c>
      <c r="R135">
        <v>2647</v>
      </c>
      <c r="S135" t="s">
        <v>51</v>
      </c>
      <c r="T135" t="s">
        <v>963</v>
      </c>
      <c r="U135">
        <v>0</v>
      </c>
      <c r="V135" t="s">
        <v>1034</v>
      </c>
      <c r="W135" t="s">
        <v>1194</v>
      </c>
      <c r="X135" t="s">
        <v>973</v>
      </c>
      <c r="Y135">
        <v>100000</v>
      </c>
      <c r="Z135" s="2">
        <v>5</v>
      </c>
      <c r="AA135" s="2" t="s">
        <v>1238</v>
      </c>
      <c r="AB135" t="s">
        <v>1238</v>
      </c>
      <c r="AC135">
        <v>889</v>
      </c>
      <c r="AD135" t="s">
        <v>1279</v>
      </c>
      <c r="AE135">
        <v>2</v>
      </c>
      <c r="AF135" t="s">
        <v>1290</v>
      </c>
      <c r="AG135">
        <v>0</v>
      </c>
      <c r="AH135">
        <v>0</v>
      </c>
      <c r="AI135">
        <v>0</v>
      </c>
      <c r="AJ135">
        <v>2022</v>
      </c>
      <c r="AK135" t="s">
        <v>1194</v>
      </c>
      <c r="AL135" t="s">
        <v>1194</v>
      </c>
      <c r="AM135" s="4" t="s">
        <v>1238</v>
      </c>
      <c r="AN135">
        <v>0</v>
      </c>
      <c r="AO135" t="s">
        <v>1316</v>
      </c>
      <c r="AP135">
        <f t="shared" si="4"/>
        <v>0</v>
      </c>
      <c r="AQ135">
        <v>1</v>
      </c>
      <c r="AR135" t="s">
        <v>1992</v>
      </c>
      <c r="AS135" t="s">
        <v>1995</v>
      </c>
      <c r="AT135" t="s">
        <v>1996</v>
      </c>
      <c r="AU135" t="s">
        <v>1996</v>
      </c>
      <c r="AV135" t="s">
        <v>1995</v>
      </c>
      <c r="AW135" t="s">
        <v>1995</v>
      </c>
      <c r="AX135" t="s">
        <v>2006</v>
      </c>
      <c r="AY135" t="s">
        <v>1996</v>
      </c>
      <c r="AZ135">
        <v>7000</v>
      </c>
      <c r="BA135" t="s">
        <v>1194</v>
      </c>
      <c r="BB135" t="s">
        <v>1194</v>
      </c>
      <c r="BC135" s="3">
        <v>6004.8733000000002</v>
      </c>
      <c r="BD135" s="3">
        <v>3994.07</v>
      </c>
      <c r="BE135" s="3">
        <v>0</v>
      </c>
      <c r="BF135" s="3">
        <v>0</v>
      </c>
      <c r="BG135" s="3">
        <v>150</v>
      </c>
      <c r="BH135" s="3">
        <v>0</v>
      </c>
      <c r="BI135" s="3">
        <v>11471</v>
      </c>
      <c r="BJ135" s="3">
        <v>21620</v>
      </c>
      <c r="BK135" s="3">
        <v>400</v>
      </c>
      <c r="BL135" s="3">
        <v>22020</v>
      </c>
      <c r="BM135" s="2">
        <f t="shared" ca="1" si="5"/>
        <v>3</v>
      </c>
      <c r="BN135" s="3">
        <v>500000</v>
      </c>
      <c r="BO135" s="3">
        <v>250000</v>
      </c>
      <c r="BP135" s="3">
        <v>50000</v>
      </c>
      <c r="BQ135" s="3">
        <v>25000</v>
      </c>
      <c r="BR135" s="3">
        <v>100000</v>
      </c>
      <c r="BS135" t="s">
        <v>2916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 t="s">
        <v>2942</v>
      </c>
      <c r="CA135" t="s">
        <v>2006</v>
      </c>
      <c r="CB135" t="s">
        <v>2006</v>
      </c>
    </row>
    <row r="136" spans="1:80" x14ac:dyDescent="0.25">
      <c r="A136">
        <v>134</v>
      </c>
      <c r="B136" t="s">
        <v>2153</v>
      </c>
      <c r="C136" s="1">
        <v>44769</v>
      </c>
      <c r="D136" s="2">
        <v>21</v>
      </c>
      <c r="E136" t="s">
        <v>4</v>
      </c>
      <c r="F136" t="s">
        <v>1311</v>
      </c>
      <c r="G136">
        <v>0</v>
      </c>
      <c r="H136" s="3">
        <v>1500000</v>
      </c>
      <c r="I136" s="3">
        <v>100000</v>
      </c>
      <c r="J136" s="3">
        <v>0</v>
      </c>
      <c r="K136" s="3">
        <v>0</v>
      </c>
      <c r="L136" s="3" t="s">
        <v>1191</v>
      </c>
      <c r="M136">
        <v>1943134</v>
      </c>
      <c r="N136" t="s">
        <v>348</v>
      </c>
      <c r="P136" t="s">
        <v>119</v>
      </c>
      <c r="Q136" t="s">
        <v>15</v>
      </c>
      <c r="R136">
        <v>33433</v>
      </c>
      <c r="S136" t="s">
        <v>27</v>
      </c>
      <c r="T136" t="s">
        <v>965</v>
      </c>
      <c r="U136">
        <v>0</v>
      </c>
      <c r="V136" t="s">
        <v>987</v>
      </c>
      <c r="W136" t="s">
        <v>1194</v>
      </c>
      <c r="X136" t="s">
        <v>973</v>
      </c>
      <c r="Y136">
        <v>100000</v>
      </c>
      <c r="Z136" s="2">
        <v>15</v>
      </c>
      <c r="AA136" s="2" t="s">
        <v>1238</v>
      </c>
      <c r="AB136" t="s">
        <v>1238</v>
      </c>
      <c r="AC136">
        <v>770</v>
      </c>
      <c r="AD136" t="s">
        <v>1280</v>
      </c>
      <c r="AE136">
        <v>2</v>
      </c>
      <c r="AF136" t="s">
        <v>1290</v>
      </c>
      <c r="AG136">
        <v>0</v>
      </c>
      <c r="AH136">
        <v>0</v>
      </c>
      <c r="AI136">
        <v>0</v>
      </c>
      <c r="AJ136">
        <v>1983</v>
      </c>
      <c r="AK136" t="s">
        <v>1194</v>
      </c>
      <c r="AL136" t="s">
        <v>1194</v>
      </c>
      <c r="AM136" s="4" t="s">
        <v>1238</v>
      </c>
      <c r="AN136">
        <v>1</v>
      </c>
      <c r="AO136" t="s">
        <v>1315</v>
      </c>
      <c r="AP136">
        <f t="shared" si="4"/>
        <v>0</v>
      </c>
      <c r="AQ136">
        <v>1</v>
      </c>
      <c r="AR136" t="s">
        <v>1992</v>
      </c>
      <c r="AS136" t="s">
        <v>1996</v>
      </c>
      <c r="AT136" t="s">
        <v>1995</v>
      </c>
      <c r="AU136" t="s">
        <v>1995</v>
      </c>
      <c r="AV136" t="s">
        <v>1995</v>
      </c>
      <c r="AW136" t="s">
        <v>1996</v>
      </c>
      <c r="AX136" t="s">
        <v>2006</v>
      </c>
      <c r="AY136" t="s">
        <v>1996</v>
      </c>
      <c r="AZ136">
        <v>3766</v>
      </c>
      <c r="BA136" t="s">
        <v>1194</v>
      </c>
      <c r="BB136" t="s">
        <v>1194</v>
      </c>
      <c r="BC136" s="3">
        <v>3552.4933000000001</v>
      </c>
      <c r="BD136" s="3">
        <v>11937.1</v>
      </c>
      <c r="BE136" s="3">
        <v>0</v>
      </c>
      <c r="BF136" s="3">
        <v>0</v>
      </c>
      <c r="BG136" s="3">
        <v>300</v>
      </c>
      <c r="BH136" s="3">
        <v>0</v>
      </c>
      <c r="BI136" s="3">
        <v>14610</v>
      </c>
      <c r="BJ136" s="3">
        <v>30400</v>
      </c>
      <c r="BK136" s="3">
        <v>0</v>
      </c>
      <c r="BL136" s="3">
        <v>30400</v>
      </c>
      <c r="BM136" s="2">
        <f t="shared" ca="1" si="5"/>
        <v>4</v>
      </c>
      <c r="BN136" s="3" t="s">
        <v>2916</v>
      </c>
      <c r="BO136" s="3">
        <v>100000</v>
      </c>
      <c r="BP136" s="3" t="s">
        <v>2922</v>
      </c>
      <c r="BQ136" s="3">
        <v>500000</v>
      </c>
      <c r="BR136" s="3">
        <v>50000</v>
      </c>
      <c r="BS136">
        <v>2000000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 t="s">
        <v>2943</v>
      </c>
      <c r="CA136" t="s">
        <v>2006</v>
      </c>
      <c r="CB136" t="s">
        <v>2941</v>
      </c>
    </row>
    <row r="137" spans="1:80" x14ac:dyDescent="0.25">
      <c r="A137">
        <v>135</v>
      </c>
      <c r="B137" t="s">
        <v>2154</v>
      </c>
      <c r="C137" s="1">
        <v>44853</v>
      </c>
      <c r="D137" s="2">
        <v>30</v>
      </c>
      <c r="E137" t="s">
        <v>4</v>
      </c>
      <c r="F137" t="s">
        <v>1311</v>
      </c>
      <c r="G137">
        <v>1</v>
      </c>
      <c r="H137" s="3">
        <v>2000000</v>
      </c>
      <c r="I137" s="3">
        <v>0</v>
      </c>
      <c r="J137" s="3">
        <v>0</v>
      </c>
      <c r="K137" s="3">
        <v>0</v>
      </c>
      <c r="L137" s="3" t="s">
        <v>1191</v>
      </c>
      <c r="M137">
        <v>2003550</v>
      </c>
      <c r="N137" t="s">
        <v>349</v>
      </c>
      <c r="P137" t="s">
        <v>350</v>
      </c>
      <c r="Q137" t="s">
        <v>14</v>
      </c>
      <c r="R137">
        <v>11577</v>
      </c>
      <c r="S137" t="s">
        <v>38</v>
      </c>
      <c r="T137" t="s">
        <v>962</v>
      </c>
      <c r="U137">
        <v>0</v>
      </c>
      <c r="V137" t="s">
        <v>1065</v>
      </c>
      <c r="W137" t="s">
        <v>1194</v>
      </c>
      <c r="X137" t="s">
        <v>973</v>
      </c>
      <c r="Y137">
        <v>10000</v>
      </c>
      <c r="Z137" s="2">
        <v>2</v>
      </c>
      <c r="AA137" s="2" t="s">
        <v>1238</v>
      </c>
      <c r="AB137" t="s">
        <v>1238</v>
      </c>
      <c r="AC137">
        <v>764</v>
      </c>
      <c r="AD137" t="s">
        <v>1279</v>
      </c>
      <c r="AE137">
        <v>3</v>
      </c>
      <c r="AF137" t="s">
        <v>1290</v>
      </c>
      <c r="AG137">
        <v>0</v>
      </c>
      <c r="AH137">
        <v>0</v>
      </c>
      <c r="AI137">
        <v>0</v>
      </c>
      <c r="AJ137">
        <v>1938</v>
      </c>
      <c r="AK137">
        <v>2010</v>
      </c>
      <c r="AL137" t="s">
        <v>1194</v>
      </c>
      <c r="AM137" s="4" t="s">
        <v>1238</v>
      </c>
      <c r="AN137">
        <v>0</v>
      </c>
      <c r="AO137" t="s">
        <v>1315</v>
      </c>
      <c r="AP137">
        <f t="shared" si="4"/>
        <v>0</v>
      </c>
      <c r="AQ137">
        <v>0</v>
      </c>
      <c r="AR137" t="s">
        <v>1993</v>
      </c>
      <c r="AS137" t="s">
        <v>1996</v>
      </c>
      <c r="AT137" t="s">
        <v>1995</v>
      </c>
      <c r="AU137" t="s">
        <v>1995</v>
      </c>
      <c r="AV137" t="s">
        <v>1995</v>
      </c>
      <c r="AW137" t="s">
        <v>1995</v>
      </c>
      <c r="AX137" t="s">
        <v>2006</v>
      </c>
      <c r="AY137" t="s">
        <v>1996</v>
      </c>
      <c r="AZ137">
        <v>3548</v>
      </c>
      <c r="BA137" t="s">
        <v>1194</v>
      </c>
      <c r="BB137" t="s">
        <v>1194</v>
      </c>
      <c r="BC137" s="3">
        <v>7409.5153</v>
      </c>
      <c r="BD137" s="3">
        <v>2335.9</v>
      </c>
      <c r="BE137" s="3">
        <v>0</v>
      </c>
      <c r="BF137" s="3">
        <v>0</v>
      </c>
      <c r="BG137" s="3">
        <v>150</v>
      </c>
      <c r="BH137" s="3">
        <v>0</v>
      </c>
      <c r="BI137" s="3">
        <v>1078</v>
      </c>
      <c r="BJ137" s="3">
        <v>10973</v>
      </c>
      <c r="BK137" s="3">
        <v>0</v>
      </c>
      <c r="BL137" s="3">
        <v>10973</v>
      </c>
      <c r="BM137" s="2">
        <f t="shared" ca="1" si="5"/>
        <v>1</v>
      </c>
      <c r="BN137" s="3" t="s">
        <v>2916</v>
      </c>
      <c r="BO137" s="3">
        <v>1000000</v>
      </c>
      <c r="BP137" s="3">
        <v>50000</v>
      </c>
      <c r="BQ137" s="3">
        <v>50000</v>
      </c>
      <c r="BR137" s="3">
        <v>50000</v>
      </c>
      <c r="BS137">
        <v>50000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 t="s">
        <v>2942</v>
      </c>
      <c r="CA137" t="s">
        <v>2006</v>
      </c>
      <c r="CB137" t="s">
        <v>2006</v>
      </c>
    </row>
    <row r="138" spans="1:80" x14ac:dyDescent="0.25">
      <c r="A138">
        <v>136</v>
      </c>
      <c r="B138" t="s">
        <v>2155</v>
      </c>
      <c r="C138" s="1">
        <v>44965</v>
      </c>
      <c r="D138" s="2">
        <v>6</v>
      </c>
      <c r="E138" t="s">
        <v>4</v>
      </c>
      <c r="F138" t="s">
        <v>1310</v>
      </c>
      <c r="G138">
        <v>0</v>
      </c>
      <c r="H138" s="3">
        <v>0</v>
      </c>
      <c r="I138" s="3">
        <v>0</v>
      </c>
      <c r="J138" s="3">
        <v>2000000</v>
      </c>
      <c r="K138" s="3">
        <v>0</v>
      </c>
      <c r="L138" s="3" t="s">
        <v>1192</v>
      </c>
      <c r="M138">
        <v>707720</v>
      </c>
      <c r="N138" t="s">
        <v>351</v>
      </c>
      <c r="O138" t="s">
        <v>352</v>
      </c>
      <c r="P138" t="s">
        <v>62</v>
      </c>
      <c r="Q138" t="s">
        <v>19</v>
      </c>
      <c r="R138">
        <v>94109</v>
      </c>
      <c r="S138" t="s">
        <v>62</v>
      </c>
      <c r="T138" t="s">
        <v>975</v>
      </c>
      <c r="U138">
        <v>0</v>
      </c>
      <c r="V138">
        <v>10</v>
      </c>
      <c r="W138" t="s">
        <v>1204</v>
      </c>
      <c r="X138" t="s">
        <v>973</v>
      </c>
      <c r="Y138">
        <v>10000</v>
      </c>
      <c r="Z138" s="2" t="s">
        <v>1194</v>
      </c>
      <c r="AA138" s="2" t="s">
        <v>1238</v>
      </c>
      <c r="AB138" t="s">
        <v>1238</v>
      </c>
      <c r="AC138" t="s">
        <v>1194</v>
      </c>
      <c r="AD138" t="s">
        <v>1285</v>
      </c>
      <c r="AE138">
        <v>1</v>
      </c>
      <c r="AF138" t="s">
        <v>1290</v>
      </c>
      <c r="AG138">
        <v>0</v>
      </c>
      <c r="AH138">
        <v>0</v>
      </c>
      <c r="AI138">
        <v>0</v>
      </c>
      <c r="AJ138">
        <v>1971</v>
      </c>
      <c r="AK138">
        <v>2000</v>
      </c>
      <c r="AL138">
        <v>2000</v>
      </c>
      <c r="AM138" s="4" t="s">
        <v>1305</v>
      </c>
      <c r="AN138">
        <v>1</v>
      </c>
      <c r="AO138" t="s">
        <v>1316</v>
      </c>
      <c r="AP138">
        <f t="shared" si="4"/>
        <v>0</v>
      </c>
      <c r="AQ138">
        <v>0</v>
      </c>
      <c r="AR138" t="s">
        <v>1993</v>
      </c>
      <c r="AS138" t="s">
        <v>1996</v>
      </c>
      <c r="AT138" t="s">
        <v>1995</v>
      </c>
      <c r="AU138" t="s">
        <v>1995</v>
      </c>
      <c r="AV138" t="s">
        <v>1995</v>
      </c>
      <c r="AW138" t="s">
        <v>1995</v>
      </c>
      <c r="AX138" t="s">
        <v>1194</v>
      </c>
      <c r="AY138" t="s">
        <v>1996</v>
      </c>
      <c r="AZ138">
        <v>1250</v>
      </c>
      <c r="BA138" t="s">
        <v>1194</v>
      </c>
      <c r="BB138" t="s">
        <v>2014</v>
      </c>
      <c r="BC138" s="3">
        <v>0</v>
      </c>
      <c r="BD138" s="3">
        <v>0</v>
      </c>
      <c r="BE138" s="3">
        <v>4819.16</v>
      </c>
      <c r="BF138" s="3">
        <v>1946.88</v>
      </c>
      <c r="BG138" s="3">
        <v>150</v>
      </c>
      <c r="BH138" s="3">
        <v>0</v>
      </c>
      <c r="BI138" s="3">
        <v>25000</v>
      </c>
      <c r="BJ138" s="3">
        <v>31916.04</v>
      </c>
      <c r="BK138" s="3">
        <v>0</v>
      </c>
      <c r="BL138" s="3">
        <v>31916.04</v>
      </c>
      <c r="BM138" s="2">
        <f t="shared" ca="1" si="5"/>
        <v>0</v>
      </c>
      <c r="BN138" s="3">
        <v>50000</v>
      </c>
      <c r="BO138" s="3">
        <v>500000</v>
      </c>
      <c r="BP138" s="3">
        <v>100000</v>
      </c>
      <c r="BQ138" s="3">
        <v>2000000</v>
      </c>
      <c r="BR138" s="3" t="s">
        <v>2916</v>
      </c>
      <c r="BS138">
        <v>2000000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 t="s">
        <v>2949</v>
      </c>
      <c r="CA138" t="s">
        <v>1194</v>
      </c>
      <c r="CB138" t="s">
        <v>2952</v>
      </c>
    </row>
    <row r="139" spans="1:80" x14ac:dyDescent="0.25">
      <c r="A139">
        <v>137</v>
      </c>
      <c r="B139" t="s">
        <v>2156</v>
      </c>
      <c r="C139" s="1">
        <v>44791</v>
      </c>
      <c r="D139" s="2">
        <v>24</v>
      </c>
      <c r="E139" t="s">
        <v>4</v>
      </c>
      <c r="F139" t="s">
        <v>1311</v>
      </c>
      <c r="G139">
        <v>0</v>
      </c>
      <c r="H139" s="3">
        <v>1721360</v>
      </c>
      <c r="I139" s="3">
        <v>480000</v>
      </c>
      <c r="J139" s="3">
        <v>0</v>
      </c>
      <c r="K139" s="3">
        <v>0</v>
      </c>
      <c r="L139" s="3" t="s">
        <v>1191</v>
      </c>
      <c r="M139">
        <v>1751911</v>
      </c>
      <c r="N139" t="s">
        <v>353</v>
      </c>
      <c r="P139" t="s">
        <v>354</v>
      </c>
      <c r="Q139" t="s">
        <v>18</v>
      </c>
      <c r="R139">
        <v>77974</v>
      </c>
      <c r="S139" t="s">
        <v>79</v>
      </c>
      <c r="T139" t="s">
        <v>973</v>
      </c>
      <c r="U139">
        <v>0</v>
      </c>
      <c r="V139">
        <v>1300</v>
      </c>
      <c r="W139" t="s">
        <v>1195</v>
      </c>
      <c r="X139" t="s">
        <v>973</v>
      </c>
      <c r="Y139">
        <v>10000</v>
      </c>
      <c r="Z139" s="2" t="s">
        <v>1194</v>
      </c>
      <c r="AA139" s="2">
        <v>0</v>
      </c>
      <c r="AB139" t="s">
        <v>1238</v>
      </c>
      <c r="AC139">
        <v>674</v>
      </c>
      <c r="AD139" t="s">
        <v>1284</v>
      </c>
      <c r="AE139" t="s">
        <v>1288</v>
      </c>
      <c r="AF139" t="s">
        <v>1290</v>
      </c>
      <c r="AG139">
        <v>0</v>
      </c>
      <c r="AH139">
        <v>0</v>
      </c>
      <c r="AI139">
        <v>0</v>
      </c>
      <c r="AJ139">
        <v>2009</v>
      </c>
      <c r="AK139" t="s">
        <v>1194</v>
      </c>
      <c r="AL139">
        <v>2009</v>
      </c>
      <c r="AM139" s="4" t="s">
        <v>1238</v>
      </c>
      <c r="AN139">
        <v>0</v>
      </c>
      <c r="AO139" t="s">
        <v>1315</v>
      </c>
      <c r="AP139">
        <f t="shared" si="4"/>
        <v>0</v>
      </c>
      <c r="AQ139">
        <v>1</v>
      </c>
      <c r="AR139" t="s">
        <v>1992</v>
      </c>
      <c r="AS139" t="s">
        <v>1996</v>
      </c>
      <c r="AT139" t="s">
        <v>1996</v>
      </c>
      <c r="AU139" t="s">
        <v>1995</v>
      </c>
      <c r="AV139" t="s">
        <v>1996</v>
      </c>
      <c r="AW139" t="s">
        <v>1995</v>
      </c>
      <c r="AX139" t="s">
        <v>2006</v>
      </c>
      <c r="AY139" t="s">
        <v>1996</v>
      </c>
      <c r="AZ139">
        <v>4000</v>
      </c>
      <c r="BA139" t="s">
        <v>1194</v>
      </c>
      <c r="BB139" t="s">
        <v>1194</v>
      </c>
      <c r="BC139" s="3">
        <v>22665.791499999999</v>
      </c>
      <c r="BD139" s="3">
        <v>3555.82</v>
      </c>
      <c r="BE139" s="3">
        <v>0</v>
      </c>
      <c r="BF139" s="3">
        <v>0</v>
      </c>
      <c r="BG139" s="3">
        <v>150</v>
      </c>
      <c r="BH139" s="3">
        <v>0</v>
      </c>
      <c r="BI139" s="3">
        <v>2715.33</v>
      </c>
      <c r="BJ139" s="3">
        <v>29087</v>
      </c>
      <c r="BK139" s="3">
        <v>0</v>
      </c>
      <c r="BL139" s="3">
        <v>29087</v>
      </c>
      <c r="BM139" s="2">
        <f t="shared" ca="1" si="5"/>
        <v>4</v>
      </c>
      <c r="BN139" s="3" t="s">
        <v>2916</v>
      </c>
      <c r="BO139" s="3">
        <v>1000000</v>
      </c>
      <c r="BP139" s="3" t="s">
        <v>2922</v>
      </c>
      <c r="BQ139" s="3">
        <v>25000</v>
      </c>
      <c r="BR139" s="3">
        <v>500000</v>
      </c>
      <c r="BS139">
        <v>100000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0</v>
      </c>
      <c r="BZ139" t="s">
        <v>2943</v>
      </c>
      <c r="CA139" t="s">
        <v>2006</v>
      </c>
      <c r="CB139" t="s">
        <v>2945</v>
      </c>
    </row>
    <row r="140" spans="1:80" x14ac:dyDescent="0.25">
      <c r="A140">
        <v>138</v>
      </c>
      <c r="B140" t="s">
        <v>2157</v>
      </c>
      <c r="C140" s="1">
        <v>44720</v>
      </c>
      <c r="D140" s="2">
        <v>18</v>
      </c>
      <c r="E140" t="s">
        <v>4</v>
      </c>
      <c r="F140" t="s">
        <v>1311</v>
      </c>
      <c r="G140">
        <v>0</v>
      </c>
      <c r="H140" s="3">
        <v>6875000</v>
      </c>
      <c r="I140" s="3">
        <v>100000</v>
      </c>
      <c r="J140" s="3">
        <v>0</v>
      </c>
      <c r="K140" s="3">
        <v>0</v>
      </c>
      <c r="L140" s="3" t="s">
        <v>1191</v>
      </c>
      <c r="M140">
        <v>1390927</v>
      </c>
      <c r="N140" t="s">
        <v>355</v>
      </c>
      <c r="P140" t="s">
        <v>29</v>
      </c>
      <c r="Q140" t="s">
        <v>14</v>
      </c>
      <c r="R140">
        <v>10014</v>
      </c>
      <c r="S140" t="s">
        <v>29</v>
      </c>
      <c r="T140" t="s">
        <v>962</v>
      </c>
      <c r="U140">
        <v>0</v>
      </c>
      <c r="V140" t="s">
        <v>997</v>
      </c>
      <c r="W140" t="s">
        <v>1194</v>
      </c>
      <c r="X140" t="s">
        <v>973</v>
      </c>
      <c r="Y140">
        <v>25000</v>
      </c>
      <c r="Z140" s="2">
        <v>2</v>
      </c>
      <c r="AA140" s="2" t="s">
        <v>1238</v>
      </c>
      <c r="AB140" t="s">
        <v>1238</v>
      </c>
      <c r="AC140">
        <v>771</v>
      </c>
      <c r="AD140" t="s">
        <v>1280</v>
      </c>
      <c r="AE140">
        <v>1</v>
      </c>
      <c r="AF140" t="s">
        <v>1290</v>
      </c>
      <c r="AG140">
        <v>0</v>
      </c>
      <c r="AH140">
        <v>0</v>
      </c>
      <c r="AI140">
        <v>0</v>
      </c>
      <c r="AJ140">
        <v>1915</v>
      </c>
      <c r="AK140" t="s">
        <v>1194</v>
      </c>
      <c r="AL140">
        <v>2020</v>
      </c>
      <c r="AM140" s="4" t="s">
        <v>1238</v>
      </c>
      <c r="AN140">
        <v>1</v>
      </c>
      <c r="AO140" t="s">
        <v>1315</v>
      </c>
      <c r="AP140">
        <f t="shared" si="4"/>
        <v>0</v>
      </c>
      <c r="AQ140">
        <v>1</v>
      </c>
      <c r="AR140" t="s">
        <v>1992</v>
      </c>
      <c r="AS140" t="s">
        <v>1995</v>
      </c>
      <c r="AT140" t="s">
        <v>1996</v>
      </c>
      <c r="AU140" t="s">
        <v>1996</v>
      </c>
      <c r="AV140" t="s">
        <v>1995</v>
      </c>
      <c r="AW140" t="s">
        <v>1995</v>
      </c>
      <c r="AX140" t="s">
        <v>2006</v>
      </c>
      <c r="AY140" t="s">
        <v>1996</v>
      </c>
      <c r="AZ140">
        <v>3580</v>
      </c>
      <c r="BA140" t="s">
        <v>1194</v>
      </c>
      <c r="BB140" t="s">
        <v>1194</v>
      </c>
      <c r="BC140" s="3">
        <v>25402.667099999999</v>
      </c>
      <c r="BD140" s="3">
        <v>5195.91</v>
      </c>
      <c r="BE140" s="3">
        <v>0</v>
      </c>
      <c r="BF140" s="3">
        <v>0</v>
      </c>
      <c r="BG140" s="3">
        <v>150</v>
      </c>
      <c r="BH140" s="3">
        <v>0</v>
      </c>
      <c r="BI140" s="3">
        <v>9855</v>
      </c>
      <c r="BJ140" s="3">
        <v>40604</v>
      </c>
      <c r="BK140" s="3">
        <v>625</v>
      </c>
      <c r="BL140" s="3">
        <v>41229</v>
      </c>
      <c r="BM140" s="2">
        <f t="shared" ca="1" si="5"/>
        <v>1</v>
      </c>
      <c r="BN140" s="3" t="s">
        <v>2916</v>
      </c>
      <c r="BO140" s="3">
        <v>20000</v>
      </c>
      <c r="BP140" s="3">
        <v>200000</v>
      </c>
      <c r="BQ140" s="3">
        <v>500000</v>
      </c>
      <c r="BR140" s="3">
        <v>500000</v>
      </c>
      <c r="BS140">
        <v>250000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 t="s">
        <v>2006</v>
      </c>
      <c r="CA140" t="s">
        <v>2006</v>
      </c>
      <c r="CB140" t="s">
        <v>2946</v>
      </c>
    </row>
    <row r="141" spans="1:80" x14ac:dyDescent="0.25">
      <c r="A141">
        <v>139</v>
      </c>
      <c r="B141" t="s">
        <v>2158</v>
      </c>
      <c r="C141" s="1">
        <v>44827</v>
      </c>
      <c r="D141" s="2">
        <v>27</v>
      </c>
      <c r="E141" t="s">
        <v>4</v>
      </c>
      <c r="F141" t="s">
        <v>1311</v>
      </c>
      <c r="G141">
        <v>0</v>
      </c>
      <c r="H141" s="3">
        <v>2260001</v>
      </c>
      <c r="I141" s="3">
        <v>100000</v>
      </c>
      <c r="J141" s="3">
        <v>0</v>
      </c>
      <c r="K141" s="3">
        <v>0</v>
      </c>
      <c r="L141" s="3" t="s">
        <v>1191</v>
      </c>
      <c r="M141">
        <v>720349</v>
      </c>
      <c r="N141" t="s">
        <v>356</v>
      </c>
      <c r="P141" t="s">
        <v>262</v>
      </c>
      <c r="Q141" t="s">
        <v>21</v>
      </c>
      <c r="R141">
        <v>28411</v>
      </c>
      <c r="S141" t="s">
        <v>64</v>
      </c>
      <c r="T141" t="s">
        <v>970</v>
      </c>
      <c r="U141">
        <v>0</v>
      </c>
      <c r="V141" t="s">
        <v>1066</v>
      </c>
      <c r="W141" t="s">
        <v>1194</v>
      </c>
      <c r="X141" t="s">
        <v>973</v>
      </c>
      <c r="Y141">
        <v>5000</v>
      </c>
      <c r="Z141" s="2">
        <v>4.9999977879999999</v>
      </c>
      <c r="AA141" s="2" t="s">
        <v>1238</v>
      </c>
      <c r="AB141" t="s">
        <v>1238</v>
      </c>
      <c r="AC141">
        <v>789</v>
      </c>
      <c r="AD141" t="s">
        <v>1279</v>
      </c>
      <c r="AE141">
        <v>2</v>
      </c>
      <c r="AF141" t="s">
        <v>1291</v>
      </c>
      <c r="AG141">
        <v>0</v>
      </c>
      <c r="AH141">
        <v>0</v>
      </c>
      <c r="AI141">
        <v>0</v>
      </c>
      <c r="AJ141">
        <v>2021</v>
      </c>
      <c r="AK141" t="s">
        <v>1194</v>
      </c>
      <c r="AL141" t="s">
        <v>1194</v>
      </c>
      <c r="AM141" s="4" t="s">
        <v>1238</v>
      </c>
      <c r="AN141">
        <v>1</v>
      </c>
      <c r="AO141" t="s">
        <v>1315</v>
      </c>
      <c r="AP141">
        <f t="shared" si="4"/>
        <v>0</v>
      </c>
      <c r="AQ141">
        <v>0</v>
      </c>
      <c r="AR141" t="s">
        <v>1993</v>
      </c>
      <c r="AS141" t="s">
        <v>1995</v>
      </c>
      <c r="AT141" t="s">
        <v>1995</v>
      </c>
      <c r="AU141" t="s">
        <v>1995</v>
      </c>
      <c r="AV141" t="s">
        <v>1996</v>
      </c>
      <c r="AW141" t="s">
        <v>1996</v>
      </c>
      <c r="AX141" t="s">
        <v>2007</v>
      </c>
      <c r="AY141" t="s">
        <v>1995</v>
      </c>
      <c r="AZ141">
        <v>3293</v>
      </c>
      <c r="BA141" t="s">
        <v>1194</v>
      </c>
      <c r="BB141" t="s">
        <v>1194</v>
      </c>
      <c r="BC141" s="3">
        <v>3438.2456999999999</v>
      </c>
      <c r="BD141" s="3">
        <v>10639.95</v>
      </c>
      <c r="BE141" s="3">
        <v>0</v>
      </c>
      <c r="BF141" s="3">
        <v>0</v>
      </c>
      <c r="BG141" s="3">
        <v>150</v>
      </c>
      <c r="BH141" s="3">
        <v>0</v>
      </c>
      <c r="BI141" s="3">
        <v>7011.81</v>
      </c>
      <c r="BJ141" s="3">
        <v>21240</v>
      </c>
      <c r="BK141" s="3">
        <v>250</v>
      </c>
      <c r="BL141" s="3">
        <v>21490</v>
      </c>
      <c r="BM141" s="2">
        <f t="shared" ca="1" si="5"/>
        <v>5</v>
      </c>
      <c r="BN141" s="3">
        <v>250000</v>
      </c>
      <c r="BO141" s="3">
        <v>25000</v>
      </c>
      <c r="BP141" s="3">
        <v>100000</v>
      </c>
      <c r="BQ141" s="3">
        <v>100000</v>
      </c>
      <c r="BR141" s="3">
        <v>1000000</v>
      </c>
      <c r="BS141">
        <v>1000000</v>
      </c>
      <c r="BT141">
        <v>0</v>
      </c>
      <c r="BU141">
        <v>0</v>
      </c>
      <c r="BV141">
        <v>0</v>
      </c>
      <c r="BW141">
        <v>0</v>
      </c>
      <c r="BX141">
        <v>1</v>
      </c>
      <c r="BY141">
        <v>0</v>
      </c>
      <c r="BZ141" t="s">
        <v>2943</v>
      </c>
      <c r="CA141" t="s">
        <v>2939</v>
      </c>
      <c r="CB141" t="s">
        <v>2941</v>
      </c>
    </row>
    <row r="142" spans="1:80" x14ac:dyDescent="0.25">
      <c r="A142">
        <v>140</v>
      </c>
      <c r="B142" t="s">
        <v>2159</v>
      </c>
      <c r="C142" s="1">
        <v>44896</v>
      </c>
      <c r="D142" s="2">
        <v>36</v>
      </c>
      <c r="E142" t="s">
        <v>4</v>
      </c>
      <c r="F142" t="s">
        <v>1311</v>
      </c>
      <c r="G142">
        <v>1</v>
      </c>
      <c r="H142" s="3">
        <v>6000000</v>
      </c>
      <c r="I142" s="3">
        <v>0</v>
      </c>
      <c r="J142" s="3">
        <v>0</v>
      </c>
      <c r="K142" s="3">
        <v>0</v>
      </c>
      <c r="L142" s="3" t="s">
        <v>1191</v>
      </c>
      <c r="M142">
        <v>2018761</v>
      </c>
      <c r="N142" t="s">
        <v>357</v>
      </c>
      <c r="P142" t="s">
        <v>358</v>
      </c>
      <c r="Q142" t="s">
        <v>19</v>
      </c>
      <c r="R142">
        <v>91011</v>
      </c>
      <c r="S142" t="s">
        <v>46</v>
      </c>
      <c r="T142" t="s">
        <v>965</v>
      </c>
      <c r="U142">
        <v>0</v>
      </c>
      <c r="V142">
        <v>37</v>
      </c>
      <c r="W142" t="s">
        <v>1205</v>
      </c>
      <c r="X142" t="s">
        <v>973</v>
      </c>
      <c r="Y142">
        <v>25000</v>
      </c>
      <c r="Z142" s="2" t="s">
        <v>1194</v>
      </c>
      <c r="AA142" s="2" t="s">
        <v>1238</v>
      </c>
      <c r="AB142" t="s">
        <v>1238</v>
      </c>
      <c r="AC142" t="s">
        <v>1194</v>
      </c>
      <c r="AD142" t="s">
        <v>1279</v>
      </c>
      <c r="AE142">
        <v>1</v>
      </c>
      <c r="AF142" t="s">
        <v>1290</v>
      </c>
      <c r="AG142">
        <v>0</v>
      </c>
      <c r="AH142">
        <v>0</v>
      </c>
      <c r="AI142">
        <v>0</v>
      </c>
      <c r="AJ142">
        <v>2022</v>
      </c>
      <c r="AK142" t="s">
        <v>1194</v>
      </c>
      <c r="AL142" t="s">
        <v>1194</v>
      </c>
      <c r="AM142" s="4" t="s">
        <v>1238</v>
      </c>
      <c r="AN142">
        <v>0</v>
      </c>
      <c r="AO142" t="s">
        <v>1316</v>
      </c>
      <c r="AP142">
        <f t="shared" si="4"/>
        <v>0</v>
      </c>
      <c r="AQ142">
        <v>1</v>
      </c>
      <c r="AR142" t="s">
        <v>1992</v>
      </c>
      <c r="AS142" t="s">
        <v>1996</v>
      </c>
      <c r="AT142" t="s">
        <v>1995</v>
      </c>
      <c r="AU142" t="s">
        <v>1996</v>
      </c>
      <c r="AV142" t="s">
        <v>1996</v>
      </c>
      <c r="AW142" t="s">
        <v>1996</v>
      </c>
      <c r="AX142" t="s">
        <v>1194</v>
      </c>
      <c r="AY142" t="s">
        <v>1996</v>
      </c>
      <c r="AZ142">
        <v>11136</v>
      </c>
      <c r="BA142">
        <v>3</v>
      </c>
      <c r="BB142" t="s">
        <v>2016</v>
      </c>
      <c r="BC142" s="3">
        <v>0</v>
      </c>
      <c r="BD142" s="3">
        <v>0</v>
      </c>
      <c r="BE142" s="3">
        <v>7026.27</v>
      </c>
      <c r="BF142" s="3">
        <v>12859.64</v>
      </c>
      <c r="BG142" s="3">
        <v>150</v>
      </c>
      <c r="BH142" s="3">
        <v>0</v>
      </c>
      <c r="BI142" s="3">
        <v>21500</v>
      </c>
      <c r="BJ142" s="3">
        <v>41535.910000000003</v>
      </c>
      <c r="BK142" s="3">
        <v>0</v>
      </c>
      <c r="BL142" s="3">
        <v>41535.910000000003</v>
      </c>
      <c r="BM142" s="2">
        <f t="shared" ca="1" si="5"/>
        <v>4</v>
      </c>
      <c r="BN142" s="3">
        <v>50000</v>
      </c>
      <c r="BO142" s="3">
        <v>50000</v>
      </c>
      <c r="BP142" s="3">
        <v>100000</v>
      </c>
      <c r="BQ142" s="3">
        <v>500000</v>
      </c>
      <c r="BR142" s="3">
        <v>500000</v>
      </c>
      <c r="BS142">
        <v>1000000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 t="s">
        <v>2953</v>
      </c>
      <c r="CA142" t="s">
        <v>1194</v>
      </c>
      <c r="CB142" t="s">
        <v>2949</v>
      </c>
    </row>
    <row r="143" spans="1:80" x14ac:dyDescent="0.25">
      <c r="A143">
        <v>141</v>
      </c>
      <c r="B143" t="s">
        <v>2160</v>
      </c>
      <c r="C143" s="1">
        <v>44771</v>
      </c>
      <c r="D143" s="2">
        <v>21</v>
      </c>
      <c r="E143" t="s">
        <v>4</v>
      </c>
      <c r="F143" t="s">
        <v>1311</v>
      </c>
      <c r="G143">
        <v>0</v>
      </c>
      <c r="H143" s="3">
        <v>1800000</v>
      </c>
      <c r="I143" s="3">
        <v>0</v>
      </c>
      <c r="J143" s="3">
        <v>0</v>
      </c>
      <c r="K143" s="3">
        <v>0</v>
      </c>
      <c r="L143" s="3" t="s">
        <v>1191</v>
      </c>
      <c r="M143">
        <v>1961445</v>
      </c>
      <c r="N143" t="s">
        <v>359</v>
      </c>
      <c r="P143" t="s">
        <v>360</v>
      </c>
      <c r="Q143" t="s">
        <v>13</v>
      </c>
      <c r="R143">
        <v>1230</v>
      </c>
      <c r="S143" t="s">
        <v>80</v>
      </c>
      <c r="T143" t="s">
        <v>973</v>
      </c>
      <c r="U143">
        <v>0</v>
      </c>
      <c r="V143" t="s">
        <v>1067</v>
      </c>
      <c r="W143" t="s">
        <v>1194</v>
      </c>
      <c r="X143" t="s">
        <v>973</v>
      </c>
      <c r="Y143">
        <v>10000</v>
      </c>
      <c r="Z143" s="2" t="s">
        <v>1194</v>
      </c>
      <c r="AA143" s="2" t="s">
        <v>1238</v>
      </c>
      <c r="AB143" t="s">
        <v>1238</v>
      </c>
      <c r="AC143">
        <v>766</v>
      </c>
      <c r="AD143" t="s">
        <v>1279</v>
      </c>
      <c r="AE143">
        <v>4</v>
      </c>
      <c r="AF143" t="s">
        <v>1290</v>
      </c>
      <c r="AG143">
        <v>0</v>
      </c>
      <c r="AH143">
        <v>0</v>
      </c>
      <c r="AI143">
        <v>0</v>
      </c>
      <c r="AJ143">
        <v>2022</v>
      </c>
      <c r="AK143" t="s">
        <v>1194</v>
      </c>
      <c r="AL143" t="s">
        <v>1194</v>
      </c>
      <c r="AM143" s="4" t="s">
        <v>1238</v>
      </c>
      <c r="AN143">
        <v>1</v>
      </c>
      <c r="AO143" t="s">
        <v>1315</v>
      </c>
      <c r="AP143">
        <f t="shared" si="4"/>
        <v>0</v>
      </c>
      <c r="AQ143">
        <v>0</v>
      </c>
      <c r="AR143" t="s">
        <v>1993</v>
      </c>
      <c r="AS143" t="s">
        <v>1995</v>
      </c>
      <c r="AT143" t="s">
        <v>1995</v>
      </c>
      <c r="AU143" t="s">
        <v>1996</v>
      </c>
      <c r="AV143" t="s">
        <v>1996</v>
      </c>
      <c r="AW143" t="s">
        <v>1995</v>
      </c>
      <c r="AX143" t="s">
        <v>2006</v>
      </c>
      <c r="AY143" t="s">
        <v>1996</v>
      </c>
      <c r="AZ143">
        <v>4000</v>
      </c>
      <c r="BA143" t="s">
        <v>1194</v>
      </c>
      <c r="BB143" t="s">
        <v>1194</v>
      </c>
      <c r="BC143" s="3">
        <v>3449.3951000000002</v>
      </c>
      <c r="BD143" s="3">
        <v>351.5</v>
      </c>
      <c r="BE143" s="3">
        <v>0</v>
      </c>
      <c r="BF143" s="3">
        <v>0</v>
      </c>
      <c r="BG143" s="3">
        <v>150</v>
      </c>
      <c r="BH143" s="3">
        <v>0</v>
      </c>
      <c r="BI143" s="3">
        <v>2709</v>
      </c>
      <c r="BJ143" s="3">
        <v>6660</v>
      </c>
      <c r="BK143" s="3">
        <v>0</v>
      </c>
      <c r="BL143" s="3">
        <v>6660</v>
      </c>
      <c r="BM143" s="2">
        <f t="shared" ca="1" si="5"/>
        <v>6</v>
      </c>
      <c r="BN143" s="3">
        <v>50000</v>
      </c>
      <c r="BO143" s="3">
        <v>20000</v>
      </c>
      <c r="BP143" s="3">
        <v>50000</v>
      </c>
      <c r="BQ143" s="3">
        <v>250000</v>
      </c>
      <c r="BR143" s="3">
        <v>1000000</v>
      </c>
      <c r="BS143">
        <v>50000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 t="s">
        <v>2942</v>
      </c>
      <c r="CA143" t="s">
        <v>2006</v>
      </c>
      <c r="CB143" t="s">
        <v>2006</v>
      </c>
    </row>
    <row r="144" spans="1:80" x14ac:dyDescent="0.25">
      <c r="A144">
        <v>142</v>
      </c>
      <c r="B144" t="s">
        <v>2161</v>
      </c>
      <c r="C144" s="1">
        <v>44906</v>
      </c>
      <c r="D144" s="2">
        <v>36</v>
      </c>
      <c r="E144" t="s">
        <v>4</v>
      </c>
      <c r="F144" t="s">
        <v>1311</v>
      </c>
      <c r="G144">
        <v>0</v>
      </c>
      <c r="H144" s="3">
        <v>6000000</v>
      </c>
      <c r="I144" s="3">
        <v>800000</v>
      </c>
      <c r="J144" s="3">
        <v>0</v>
      </c>
      <c r="K144" s="3">
        <v>0</v>
      </c>
      <c r="L144" s="3" t="s">
        <v>1191</v>
      </c>
      <c r="M144">
        <v>1598132</v>
      </c>
      <c r="N144" t="s">
        <v>361</v>
      </c>
      <c r="P144" t="s">
        <v>362</v>
      </c>
      <c r="Q144" t="s">
        <v>14</v>
      </c>
      <c r="R144">
        <v>11978</v>
      </c>
      <c r="S144" t="s">
        <v>26</v>
      </c>
      <c r="T144" t="s">
        <v>970</v>
      </c>
      <c r="U144">
        <v>1</v>
      </c>
      <c r="V144" t="s">
        <v>1068</v>
      </c>
      <c r="W144" t="s">
        <v>1194</v>
      </c>
      <c r="X144" t="s">
        <v>1309</v>
      </c>
      <c r="Y144">
        <v>25000</v>
      </c>
      <c r="Z144" s="2">
        <v>3</v>
      </c>
      <c r="AA144" s="2" t="s">
        <v>1238</v>
      </c>
      <c r="AB144" t="s">
        <v>1238</v>
      </c>
      <c r="AC144">
        <v>748</v>
      </c>
      <c r="AD144" t="s">
        <v>1279</v>
      </c>
      <c r="AE144">
        <v>3</v>
      </c>
      <c r="AF144" t="s">
        <v>1292</v>
      </c>
      <c r="AG144">
        <v>0</v>
      </c>
      <c r="AH144">
        <v>0</v>
      </c>
      <c r="AI144">
        <v>0</v>
      </c>
      <c r="AJ144">
        <v>1909</v>
      </c>
      <c r="AK144">
        <v>1998</v>
      </c>
      <c r="AL144">
        <v>2010</v>
      </c>
      <c r="AM144" s="4" t="s">
        <v>1238</v>
      </c>
      <c r="AN144">
        <v>1</v>
      </c>
      <c r="AO144" t="s">
        <v>1315</v>
      </c>
      <c r="AP144">
        <f t="shared" si="4"/>
        <v>0</v>
      </c>
      <c r="AQ144">
        <v>1</v>
      </c>
      <c r="AR144" t="s">
        <v>1992</v>
      </c>
      <c r="AS144" t="s">
        <v>1996</v>
      </c>
      <c r="AT144" t="s">
        <v>1995</v>
      </c>
      <c r="AU144" t="s">
        <v>1996</v>
      </c>
      <c r="AV144" t="s">
        <v>1995</v>
      </c>
      <c r="AW144" t="s">
        <v>1996</v>
      </c>
      <c r="AX144" t="s">
        <v>2006</v>
      </c>
      <c r="AY144" t="s">
        <v>1996</v>
      </c>
      <c r="AZ144">
        <v>6500</v>
      </c>
      <c r="BA144" t="s">
        <v>1194</v>
      </c>
      <c r="BB144" t="s">
        <v>1194</v>
      </c>
      <c r="BC144" s="3">
        <v>18501.763800000001</v>
      </c>
      <c r="BD144" s="3">
        <v>32756.53</v>
      </c>
      <c r="BE144" s="3">
        <v>0</v>
      </c>
      <c r="BF144" s="3">
        <v>0</v>
      </c>
      <c r="BG144" s="3">
        <v>200</v>
      </c>
      <c r="BH144" s="3">
        <v>0</v>
      </c>
      <c r="BI144" s="3">
        <v>-4538</v>
      </c>
      <c r="BJ144" s="3">
        <v>46920</v>
      </c>
      <c r="BK144" s="3">
        <v>0</v>
      </c>
      <c r="BL144" s="3">
        <v>46920</v>
      </c>
      <c r="BM144" s="2">
        <f t="shared" ca="1" si="5"/>
        <v>4</v>
      </c>
      <c r="BN144" s="3">
        <v>250000</v>
      </c>
      <c r="BO144" s="3">
        <v>20000</v>
      </c>
      <c r="BP144" s="3">
        <v>100000</v>
      </c>
      <c r="BQ144" s="3">
        <v>50000</v>
      </c>
      <c r="BR144" s="3">
        <v>2000000</v>
      </c>
      <c r="BS144">
        <v>100000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 t="s">
        <v>2947</v>
      </c>
      <c r="CA144" t="s">
        <v>2939</v>
      </c>
      <c r="CB144" t="s">
        <v>2941</v>
      </c>
    </row>
    <row r="145" spans="1:80" x14ac:dyDescent="0.25">
      <c r="A145">
        <v>143</v>
      </c>
      <c r="B145" t="s">
        <v>2162</v>
      </c>
      <c r="C145" s="1">
        <v>44938</v>
      </c>
      <c r="D145" s="2">
        <v>3</v>
      </c>
      <c r="E145" t="s">
        <v>4</v>
      </c>
      <c r="F145" t="s">
        <v>1310</v>
      </c>
      <c r="G145">
        <v>0</v>
      </c>
      <c r="H145" s="3">
        <v>0</v>
      </c>
      <c r="I145" s="3">
        <v>0</v>
      </c>
      <c r="J145" s="3">
        <v>13000000</v>
      </c>
      <c r="K145" s="3">
        <v>0</v>
      </c>
      <c r="L145" s="3" t="s">
        <v>1192</v>
      </c>
      <c r="M145">
        <v>2018577</v>
      </c>
      <c r="N145" t="s">
        <v>363</v>
      </c>
      <c r="P145" t="s">
        <v>29</v>
      </c>
      <c r="Q145" t="s">
        <v>14</v>
      </c>
      <c r="R145">
        <v>10075</v>
      </c>
      <c r="S145" t="s">
        <v>29</v>
      </c>
      <c r="T145" t="s">
        <v>968</v>
      </c>
      <c r="U145">
        <v>0</v>
      </c>
      <c r="V145" t="s">
        <v>999</v>
      </c>
      <c r="W145" t="s">
        <v>1194</v>
      </c>
      <c r="X145" t="s">
        <v>973</v>
      </c>
      <c r="Y145">
        <v>25000</v>
      </c>
      <c r="Z145" s="2">
        <v>1</v>
      </c>
      <c r="AA145" s="2" t="s">
        <v>1238</v>
      </c>
      <c r="AB145" t="s">
        <v>1238</v>
      </c>
      <c r="AC145">
        <v>720</v>
      </c>
      <c r="AD145" t="s">
        <v>1281</v>
      </c>
      <c r="AE145">
        <v>1</v>
      </c>
      <c r="AF145" t="s">
        <v>1290</v>
      </c>
      <c r="AG145">
        <v>0</v>
      </c>
      <c r="AH145">
        <v>0</v>
      </c>
      <c r="AI145">
        <v>0</v>
      </c>
      <c r="AJ145">
        <v>2021</v>
      </c>
      <c r="AK145" t="s">
        <v>1194</v>
      </c>
      <c r="AL145" t="s">
        <v>1194</v>
      </c>
      <c r="AM145" s="4" t="s">
        <v>1304</v>
      </c>
      <c r="AN145">
        <v>0</v>
      </c>
      <c r="AO145" t="s">
        <v>1315</v>
      </c>
      <c r="AP145">
        <f t="shared" si="4"/>
        <v>0</v>
      </c>
      <c r="AQ145">
        <v>0</v>
      </c>
      <c r="AR145" t="s">
        <v>1993</v>
      </c>
      <c r="AS145" t="s">
        <v>1996</v>
      </c>
      <c r="AT145" t="s">
        <v>1996</v>
      </c>
      <c r="AU145" t="s">
        <v>1996</v>
      </c>
      <c r="AV145" t="s">
        <v>1995</v>
      </c>
      <c r="AW145" t="s">
        <v>1995</v>
      </c>
      <c r="AX145" t="s">
        <v>2003</v>
      </c>
      <c r="AY145" t="s">
        <v>1996</v>
      </c>
      <c r="AZ145">
        <v>6500</v>
      </c>
      <c r="BA145" t="s">
        <v>1194</v>
      </c>
      <c r="BB145" t="s">
        <v>1194</v>
      </c>
      <c r="BC145" s="3">
        <v>36559.684699999998</v>
      </c>
      <c r="BD145" s="3">
        <v>4147.42</v>
      </c>
      <c r="BE145" s="3">
        <v>0</v>
      </c>
      <c r="BF145" s="3">
        <v>0</v>
      </c>
      <c r="BG145" s="3">
        <v>150</v>
      </c>
      <c r="BH145" s="3">
        <v>0</v>
      </c>
      <c r="BI145" s="3">
        <v>37993</v>
      </c>
      <c r="BJ145" s="3">
        <v>78850</v>
      </c>
      <c r="BK145" s="3">
        <v>450</v>
      </c>
      <c r="BL145" s="3">
        <v>79300</v>
      </c>
      <c r="BM145" s="2">
        <f t="shared" ca="1" si="5"/>
        <v>1</v>
      </c>
      <c r="BN145" s="3" t="s">
        <v>2916</v>
      </c>
      <c r="BO145" s="3">
        <v>100000</v>
      </c>
      <c r="BP145" s="3">
        <v>50000</v>
      </c>
      <c r="BQ145" s="3">
        <v>50000</v>
      </c>
      <c r="BR145" s="3">
        <v>2000000</v>
      </c>
      <c r="BS145">
        <v>50000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 t="s">
        <v>2942</v>
      </c>
      <c r="CA145" t="s">
        <v>2006</v>
      </c>
      <c r="CB145" t="s">
        <v>2946</v>
      </c>
    </row>
    <row r="146" spans="1:80" x14ac:dyDescent="0.25">
      <c r="A146">
        <v>144</v>
      </c>
      <c r="B146" t="s">
        <v>2163</v>
      </c>
      <c r="C146" s="1">
        <v>44947</v>
      </c>
      <c r="D146" s="2">
        <v>3</v>
      </c>
      <c r="E146" t="s">
        <v>4</v>
      </c>
      <c r="F146" t="s">
        <v>1310</v>
      </c>
      <c r="G146">
        <v>0</v>
      </c>
      <c r="H146" s="3">
        <v>8000000</v>
      </c>
      <c r="I146" s="3">
        <v>600000</v>
      </c>
      <c r="J146" s="3">
        <v>0</v>
      </c>
      <c r="K146" s="3">
        <v>0</v>
      </c>
      <c r="L146" s="3" t="s">
        <v>1191</v>
      </c>
      <c r="M146">
        <v>1601542</v>
      </c>
      <c r="N146" t="s">
        <v>364</v>
      </c>
      <c r="P146" t="s">
        <v>56</v>
      </c>
      <c r="Q146" t="s">
        <v>17</v>
      </c>
      <c r="R146">
        <v>29605</v>
      </c>
      <c r="S146" t="s">
        <v>56</v>
      </c>
      <c r="T146" t="s">
        <v>973</v>
      </c>
      <c r="U146">
        <v>0</v>
      </c>
      <c r="V146" t="s">
        <v>1012</v>
      </c>
      <c r="W146" t="s">
        <v>1194</v>
      </c>
      <c r="X146" t="s">
        <v>973</v>
      </c>
      <c r="Y146">
        <v>50000</v>
      </c>
      <c r="Z146" s="2" t="s">
        <v>1194</v>
      </c>
      <c r="AA146" s="2" t="s">
        <v>1238</v>
      </c>
      <c r="AB146" t="s">
        <v>1238</v>
      </c>
      <c r="AC146">
        <v>836</v>
      </c>
      <c r="AD146" t="s">
        <v>1279</v>
      </c>
      <c r="AE146">
        <v>1</v>
      </c>
      <c r="AF146" t="s">
        <v>1290</v>
      </c>
      <c r="AG146">
        <v>0</v>
      </c>
      <c r="AH146">
        <v>0</v>
      </c>
      <c r="AI146">
        <v>0</v>
      </c>
      <c r="AJ146">
        <v>2020</v>
      </c>
      <c r="AK146" t="s">
        <v>1194</v>
      </c>
      <c r="AL146" t="s">
        <v>1194</v>
      </c>
      <c r="AM146" s="4" t="s">
        <v>1304</v>
      </c>
      <c r="AN146">
        <v>0</v>
      </c>
      <c r="AO146" t="s">
        <v>1317</v>
      </c>
      <c r="AP146">
        <f t="shared" si="4"/>
        <v>0</v>
      </c>
      <c r="AQ146">
        <v>0</v>
      </c>
      <c r="AR146" t="s">
        <v>1993</v>
      </c>
      <c r="AS146" t="s">
        <v>1996</v>
      </c>
      <c r="AT146" t="s">
        <v>1995</v>
      </c>
      <c r="AU146" t="s">
        <v>1996</v>
      </c>
      <c r="AV146" t="s">
        <v>1996</v>
      </c>
      <c r="AW146" t="s">
        <v>1996</v>
      </c>
      <c r="AX146" t="s">
        <v>2006</v>
      </c>
      <c r="AY146" t="s">
        <v>1996</v>
      </c>
      <c r="AZ146">
        <v>9339</v>
      </c>
      <c r="BA146" t="s">
        <v>1194</v>
      </c>
      <c r="BB146" t="s">
        <v>1194</v>
      </c>
      <c r="BC146" s="3">
        <v>8242.8757000000005</v>
      </c>
      <c r="BD146" s="3">
        <v>297.47000000000003</v>
      </c>
      <c r="BE146" s="3">
        <v>0</v>
      </c>
      <c r="BF146" s="3">
        <v>0</v>
      </c>
      <c r="BG146" s="3">
        <v>0</v>
      </c>
      <c r="BH146" s="3">
        <v>0</v>
      </c>
      <c r="BI146" s="3">
        <v>74683</v>
      </c>
      <c r="BJ146" s="3">
        <v>83223</v>
      </c>
      <c r="BK146" s="3">
        <v>0</v>
      </c>
      <c r="BL146" s="3">
        <v>83223</v>
      </c>
      <c r="BM146" s="2">
        <f t="shared" ca="1" si="5"/>
        <v>6</v>
      </c>
      <c r="BN146" s="3" t="s">
        <v>2916</v>
      </c>
      <c r="BO146" s="3">
        <v>500000</v>
      </c>
      <c r="BP146" s="3">
        <v>200000</v>
      </c>
      <c r="BQ146" s="3">
        <v>1000000</v>
      </c>
      <c r="BR146" s="3">
        <v>1000000</v>
      </c>
      <c r="BS146">
        <v>250000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 t="s">
        <v>2942</v>
      </c>
      <c r="CA146" t="s">
        <v>2006</v>
      </c>
      <c r="CB146" t="s">
        <v>2941</v>
      </c>
    </row>
    <row r="147" spans="1:80" x14ac:dyDescent="0.25">
      <c r="A147">
        <v>145</v>
      </c>
      <c r="B147" t="s">
        <v>2164</v>
      </c>
      <c r="C147" s="1">
        <v>44645</v>
      </c>
      <c r="D147" s="2">
        <v>9</v>
      </c>
      <c r="E147" t="s">
        <v>4</v>
      </c>
      <c r="F147" t="s">
        <v>1310</v>
      </c>
      <c r="G147">
        <v>0</v>
      </c>
      <c r="H147" s="3">
        <v>3000000</v>
      </c>
      <c r="I147" s="3">
        <v>250000</v>
      </c>
      <c r="J147" s="3">
        <v>0</v>
      </c>
      <c r="K147" s="3">
        <v>0</v>
      </c>
      <c r="L147" s="3" t="s">
        <v>1191</v>
      </c>
      <c r="M147">
        <v>1865089</v>
      </c>
      <c r="N147" t="s">
        <v>365</v>
      </c>
      <c r="P147" t="s">
        <v>366</v>
      </c>
      <c r="Q147" t="s">
        <v>19</v>
      </c>
      <c r="R147">
        <v>92037</v>
      </c>
      <c r="S147" t="s">
        <v>77</v>
      </c>
      <c r="T147" t="s">
        <v>974</v>
      </c>
      <c r="U147">
        <v>0</v>
      </c>
      <c r="V147">
        <v>3</v>
      </c>
      <c r="W147" t="s">
        <v>1206</v>
      </c>
      <c r="X147" t="s">
        <v>973</v>
      </c>
      <c r="Y147">
        <v>10000</v>
      </c>
      <c r="Z147" s="2" t="s">
        <v>1194</v>
      </c>
      <c r="AA147" s="2" t="s">
        <v>1238</v>
      </c>
      <c r="AB147" t="s">
        <v>1238</v>
      </c>
      <c r="AC147" t="s">
        <v>1194</v>
      </c>
      <c r="AD147" t="s">
        <v>1279</v>
      </c>
      <c r="AE147">
        <v>2</v>
      </c>
      <c r="AF147" t="s">
        <v>1290</v>
      </c>
      <c r="AG147">
        <v>0</v>
      </c>
      <c r="AH147">
        <v>0</v>
      </c>
      <c r="AI147">
        <v>0</v>
      </c>
      <c r="AJ147">
        <v>1988</v>
      </c>
      <c r="AK147" t="s">
        <v>1194</v>
      </c>
      <c r="AL147" t="s">
        <v>1194</v>
      </c>
      <c r="AM147" s="4" t="s">
        <v>1306</v>
      </c>
      <c r="AN147">
        <v>1</v>
      </c>
      <c r="AO147" t="s">
        <v>1316</v>
      </c>
      <c r="AP147">
        <f t="shared" si="4"/>
        <v>0</v>
      </c>
      <c r="AQ147">
        <v>1</v>
      </c>
      <c r="AR147" t="s">
        <v>1992</v>
      </c>
      <c r="AS147" t="s">
        <v>1995</v>
      </c>
      <c r="AT147" t="s">
        <v>1996</v>
      </c>
      <c r="AU147" t="s">
        <v>1996</v>
      </c>
      <c r="AV147" t="s">
        <v>1996</v>
      </c>
      <c r="AW147" t="s">
        <v>1995</v>
      </c>
      <c r="AX147" t="s">
        <v>1194</v>
      </c>
      <c r="AY147" t="s">
        <v>1996</v>
      </c>
      <c r="AZ147">
        <v>4298</v>
      </c>
      <c r="BA147" t="s">
        <v>1194</v>
      </c>
      <c r="BB147" t="s">
        <v>2014</v>
      </c>
      <c r="BC147" s="3">
        <v>0</v>
      </c>
      <c r="BD147" s="3">
        <v>0</v>
      </c>
      <c r="BE147" s="3">
        <v>13330.8</v>
      </c>
      <c r="BF147" s="3">
        <v>5557.76</v>
      </c>
      <c r="BG147" s="3">
        <v>150</v>
      </c>
      <c r="BH147" s="3">
        <v>0</v>
      </c>
      <c r="BI147" s="3">
        <v>-1228.56</v>
      </c>
      <c r="BJ147" s="3">
        <v>17810</v>
      </c>
      <c r="BK147" s="3">
        <v>0</v>
      </c>
      <c r="BL147" s="3">
        <v>17810</v>
      </c>
      <c r="BM147" s="2">
        <f t="shared" ca="1" si="5"/>
        <v>2</v>
      </c>
      <c r="BN147" s="3">
        <v>2000000</v>
      </c>
      <c r="BO147" s="3">
        <v>500000</v>
      </c>
      <c r="BP147" s="3">
        <v>50000</v>
      </c>
      <c r="BQ147" s="3">
        <v>250000</v>
      </c>
      <c r="BR147" s="3">
        <v>100000</v>
      </c>
      <c r="BS147">
        <v>50000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 t="s">
        <v>2948</v>
      </c>
      <c r="CA147" t="s">
        <v>1194</v>
      </c>
      <c r="CB147" t="s">
        <v>2949</v>
      </c>
    </row>
    <row r="148" spans="1:80" x14ac:dyDescent="0.25">
      <c r="A148">
        <v>146</v>
      </c>
      <c r="B148" t="s">
        <v>2165</v>
      </c>
      <c r="C148" s="1">
        <v>44899</v>
      </c>
      <c r="D148" s="2">
        <v>36</v>
      </c>
      <c r="E148" t="s">
        <v>4</v>
      </c>
      <c r="F148" t="s">
        <v>1311</v>
      </c>
      <c r="G148">
        <v>0</v>
      </c>
      <c r="H148" s="3">
        <v>8944319</v>
      </c>
      <c r="I148" s="3">
        <v>441337</v>
      </c>
      <c r="J148" s="3">
        <v>0</v>
      </c>
      <c r="K148" s="3">
        <v>0</v>
      </c>
      <c r="L148" s="3" t="s">
        <v>1191</v>
      </c>
      <c r="M148">
        <v>762380</v>
      </c>
      <c r="N148" t="s">
        <v>367</v>
      </c>
      <c r="P148" t="s">
        <v>46</v>
      </c>
      <c r="Q148" t="s">
        <v>19</v>
      </c>
      <c r="R148">
        <v>90027</v>
      </c>
      <c r="S148" t="s">
        <v>46</v>
      </c>
      <c r="T148" t="s">
        <v>965</v>
      </c>
      <c r="U148">
        <v>0</v>
      </c>
      <c r="V148">
        <v>41</v>
      </c>
      <c r="W148" t="s">
        <v>1207</v>
      </c>
      <c r="X148" t="s">
        <v>973</v>
      </c>
      <c r="Y148">
        <v>50000</v>
      </c>
      <c r="Z148" s="2" t="s">
        <v>1194</v>
      </c>
      <c r="AA148" s="2" t="s">
        <v>1238</v>
      </c>
      <c r="AB148" t="s">
        <v>1238</v>
      </c>
      <c r="AC148" t="s">
        <v>1194</v>
      </c>
      <c r="AD148" t="s">
        <v>1279</v>
      </c>
      <c r="AE148">
        <v>1</v>
      </c>
      <c r="AF148" t="s">
        <v>1290</v>
      </c>
      <c r="AG148">
        <v>0</v>
      </c>
      <c r="AH148">
        <v>0</v>
      </c>
      <c r="AI148">
        <v>0</v>
      </c>
      <c r="AJ148">
        <v>1921</v>
      </c>
      <c r="AK148">
        <v>2019</v>
      </c>
      <c r="AL148">
        <v>2019</v>
      </c>
      <c r="AM148" s="4" t="s">
        <v>1238</v>
      </c>
      <c r="AN148">
        <v>1</v>
      </c>
      <c r="AO148" t="s">
        <v>1315</v>
      </c>
      <c r="AP148">
        <f t="shared" si="4"/>
        <v>0</v>
      </c>
      <c r="AQ148">
        <v>0</v>
      </c>
      <c r="AR148" t="s">
        <v>1993</v>
      </c>
      <c r="AS148" t="s">
        <v>1995</v>
      </c>
      <c r="AT148" t="s">
        <v>1996</v>
      </c>
      <c r="AU148" t="s">
        <v>1996</v>
      </c>
      <c r="AV148" t="s">
        <v>1996</v>
      </c>
      <c r="AW148" t="s">
        <v>1996</v>
      </c>
      <c r="AX148" t="s">
        <v>1194</v>
      </c>
      <c r="AY148" t="s">
        <v>1996</v>
      </c>
      <c r="AZ148">
        <v>6062</v>
      </c>
      <c r="BA148">
        <v>1</v>
      </c>
      <c r="BB148" t="s">
        <v>2016</v>
      </c>
      <c r="BC148" s="3">
        <v>0</v>
      </c>
      <c r="BD148" s="3">
        <v>0</v>
      </c>
      <c r="BE148" s="3">
        <v>21444.61</v>
      </c>
      <c r="BF148" s="3">
        <v>30282.39</v>
      </c>
      <c r="BG148" s="3">
        <v>150</v>
      </c>
      <c r="BH148" s="3">
        <v>0</v>
      </c>
      <c r="BI148" s="3">
        <v>0</v>
      </c>
      <c r="BJ148" s="3">
        <v>51877</v>
      </c>
      <c r="BK148" s="3">
        <v>0</v>
      </c>
      <c r="BL148" s="3">
        <v>51877</v>
      </c>
      <c r="BM148" s="2">
        <f t="shared" ca="1" si="5"/>
        <v>1</v>
      </c>
      <c r="BN148" s="3">
        <v>250000</v>
      </c>
      <c r="BO148" s="3">
        <v>100000</v>
      </c>
      <c r="BP148" s="3">
        <v>100000</v>
      </c>
      <c r="BQ148" s="3">
        <v>500000</v>
      </c>
      <c r="BR148" s="3">
        <v>500000</v>
      </c>
      <c r="BS148">
        <v>250000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 t="s">
        <v>2948</v>
      </c>
      <c r="CA148" t="s">
        <v>1194</v>
      </c>
      <c r="CB148" t="s">
        <v>2941</v>
      </c>
    </row>
    <row r="149" spans="1:80" x14ac:dyDescent="0.25">
      <c r="A149">
        <v>147</v>
      </c>
      <c r="B149" t="s">
        <v>2166</v>
      </c>
      <c r="C149" s="1">
        <v>44729</v>
      </c>
      <c r="D149" s="2">
        <v>18</v>
      </c>
      <c r="E149" t="s">
        <v>4</v>
      </c>
      <c r="F149" t="s">
        <v>1311</v>
      </c>
      <c r="G149">
        <v>0</v>
      </c>
      <c r="H149" s="3">
        <v>8305500</v>
      </c>
      <c r="I149" s="3">
        <v>0</v>
      </c>
      <c r="J149" s="3">
        <v>0</v>
      </c>
      <c r="K149" s="3">
        <v>0</v>
      </c>
      <c r="L149" s="3" t="s">
        <v>1191</v>
      </c>
      <c r="M149">
        <v>762051</v>
      </c>
      <c r="N149" t="s">
        <v>368</v>
      </c>
      <c r="P149" t="s">
        <v>369</v>
      </c>
      <c r="Q149" t="s">
        <v>19</v>
      </c>
      <c r="R149">
        <v>90272</v>
      </c>
      <c r="S149" t="s">
        <v>46</v>
      </c>
      <c r="T149" t="s">
        <v>974</v>
      </c>
      <c r="U149">
        <v>0</v>
      </c>
      <c r="V149">
        <v>43</v>
      </c>
      <c r="W149" t="s">
        <v>1200</v>
      </c>
      <c r="X149" t="s">
        <v>973</v>
      </c>
      <c r="Y149">
        <v>25000</v>
      </c>
      <c r="Z149" s="2" t="s">
        <v>1194</v>
      </c>
      <c r="AA149" s="2" t="s">
        <v>1238</v>
      </c>
      <c r="AB149" t="s">
        <v>1238</v>
      </c>
      <c r="AC149" t="s">
        <v>1194</v>
      </c>
      <c r="AD149" t="s">
        <v>1279</v>
      </c>
      <c r="AE149">
        <v>1</v>
      </c>
      <c r="AF149" t="s">
        <v>1290</v>
      </c>
      <c r="AG149">
        <v>0</v>
      </c>
      <c r="AH149">
        <v>0</v>
      </c>
      <c r="AI149">
        <v>0</v>
      </c>
      <c r="AJ149">
        <v>2022</v>
      </c>
      <c r="AK149" t="s">
        <v>1194</v>
      </c>
      <c r="AL149" t="s">
        <v>1194</v>
      </c>
      <c r="AM149" s="4" t="s">
        <v>1238</v>
      </c>
      <c r="AN149">
        <v>0</v>
      </c>
      <c r="AO149" t="s">
        <v>1315</v>
      </c>
      <c r="AP149">
        <f t="shared" si="4"/>
        <v>0</v>
      </c>
      <c r="AQ149">
        <v>1</v>
      </c>
      <c r="AR149" t="s">
        <v>1992</v>
      </c>
      <c r="AS149" t="s">
        <v>1996</v>
      </c>
      <c r="AT149" t="s">
        <v>1995</v>
      </c>
      <c r="AU149" t="s">
        <v>1996</v>
      </c>
      <c r="AV149" t="s">
        <v>1996</v>
      </c>
      <c r="AW149" t="s">
        <v>1995</v>
      </c>
      <c r="AX149" t="s">
        <v>1194</v>
      </c>
      <c r="AY149" t="s">
        <v>1996</v>
      </c>
      <c r="AZ149">
        <v>8000</v>
      </c>
      <c r="BA149">
        <v>3</v>
      </c>
      <c r="BB149" t="s">
        <v>2016</v>
      </c>
      <c r="BC149" s="3">
        <v>0</v>
      </c>
      <c r="BD149" s="3">
        <v>0</v>
      </c>
      <c r="BE149" s="3">
        <v>9424.69</v>
      </c>
      <c r="BF149" s="3">
        <v>13617.86</v>
      </c>
      <c r="BG149" s="3">
        <v>150</v>
      </c>
      <c r="BH149" s="3">
        <v>0</v>
      </c>
      <c r="BI149" s="3">
        <v>11700</v>
      </c>
      <c r="BJ149" s="3">
        <v>34892.550000000003</v>
      </c>
      <c r="BK149" s="3">
        <v>0</v>
      </c>
      <c r="BL149" s="3">
        <v>34892.550000000003</v>
      </c>
      <c r="BM149" s="2">
        <f t="shared" ca="1" si="5"/>
        <v>5</v>
      </c>
      <c r="BN149" s="3">
        <v>50000</v>
      </c>
      <c r="BO149" s="3">
        <v>100000</v>
      </c>
      <c r="BP149" s="3">
        <v>100000</v>
      </c>
      <c r="BQ149" s="3">
        <v>50000</v>
      </c>
      <c r="BR149" s="3">
        <v>100000</v>
      </c>
      <c r="BS149">
        <v>100000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 t="s">
        <v>2950</v>
      </c>
      <c r="CA149" t="s">
        <v>1194</v>
      </c>
      <c r="CB149" t="s">
        <v>2949</v>
      </c>
    </row>
    <row r="150" spans="1:80" x14ac:dyDescent="0.25">
      <c r="A150">
        <v>148</v>
      </c>
      <c r="B150" t="s">
        <v>2167</v>
      </c>
      <c r="C150" s="1">
        <v>44866</v>
      </c>
      <c r="D150" s="2">
        <v>33</v>
      </c>
      <c r="E150" t="s">
        <v>4</v>
      </c>
      <c r="F150" t="s">
        <v>1311</v>
      </c>
      <c r="G150">
        <v>1</v>
      </c>
      <c r="H150" s="3">
        <v>2100000</v>
      </c>
      <c r="I150" s="3">
        <v>380000</v>
      </c>
      <c r="J150" s="3">
        <v>0</v>
      </c>
      <c r="K150" s="3">
        <v>0</v>
      </c>
      <c r="L150" s="3" t="s">
        <v>1191</v>
      </c>
      <c r="M150">
        <v>437381</v>
      </c>
      <c r="N150" t="s">
        <v>370</v>
      </c>
      <c r="P150" t="s">
        <v>248</v>
      </c>
      <c r="Q150" t="s">
        <v>20</v>
      </c>
      <c r="R150">
        <v>30305</v>
      </c>
      <c r="S150" t="s">
        <v>57</v>
      </c>
      <c r="T150" t="s">
        <v>973</v>
      </c>
      <c r="U150">
        <v>0</v>
      </c>
      <c r="V150">
        <v>17</v>
      </c>
      <c r="W150" t="s">
        <v>1195</v>
      </c>
      <c r="X150" t="s">
        <v>973</v>
      </c>
      <c r="Y150">
        <v>50000</v>
      </c>
      <c r="Z150" s="2" t="s">
        <v>1194</v>
      </c>
      <c r="AA150" s="2">
        <v>0</v>
      </c>
      <c r="AB150" t="s">
        <v>1238</v>
      </c>
      <c r="AC150">
        <v>704</v>
      </c>
      <c r="AD150" t="s">
        <v>1284</v>
      </c>
      <c r="AE150">
        <v>1</v>
      </c>
      <c r="AF150" t="s">
        <v>1290</v>
      </c>
      <c r="AG150">
        <v>0</v>
      </c>
      <c r="AH150">
        <v>0</v>
      </c>
      <c r="AI150">
        <v>0</v>
      </c>
      <c r="AJ150">
        <v>1980</v>
      </c>
      <c r="AK150" t="s">
        <v>1194</v>
      </c>
      <c r="AL150">
        <v>2005</v>
      </c>
      <c r="AM150" s="4" t="s">
        <v>1238</v>
      </c>
      <c r="AN150">
        <v>0</v>
      </c>
      <c r="AO150" t="s">
        <v>1315</v>
      </c>
      <c r="AP150">
        <f t="shared" si="4"/>
        <v>0</v>
      </c>
      <c r="AQ150">
        <v>1</v>
      </c>
      <c r="AR150" t="s">
        <v>1992</v>
      </c>
      <c r="AS150" t="s">
        <v>1996</v>
      </c>
      <c r="AT150" t="s">
        <v>1995</v>
      </c>
      <c r="AU150" t="s">
        <v>1995</v>
      </c>
      <c r="AV150" t="s">
        <v>1995</v>
      </c>
      <c r="AW150" t="s">
        <v>1995</v>
      </c>
      <c r="AX150" t="s">
        <v>2003</v>
      </c>
      <c r="AY150" t="s">
        <v>1996</v>
      </c>
      <c r="AZ150">
        <v>6295</v>
      </c>
      <c r="BA150" t="s">
        <v>1194</v>
      </c>
      <c r="BB150" t="s">
        <v>1194</v>
      </c>
      <c r="BC150" s="3">
        <v>5946.6252999999997</v>
      </c>
      <c r="BD150" s="3">
        <v>8199.76</v>
      </c>
      <c r="BE150" s="3">
        <v>0</v>
      </c>
      <c r="BF150" s="3">
        <v>0</v>
      </c>
      <c r="BG150" s="3">
        <v>150</v>
      </c>
      <c r="BH150" s="3">
        <v>0</v>
      </c>
      <c r="BI150" s="3">
        <v>-1292</v>
      </c>
      <c r="BJ150" s="3">
        <v>13004</v>
      </c>
      <c r="BK150" s="3">
        <v>50</v>
      </c>
      <c r="BL150" s="3">
        <v>13054</v>
      </c>
      <c r="BM150" s="2">
        <f t="shared" ca="1" si="5"/>
        <v>1</v>
      </c>
      <c r="BN150" s="3" t="s">
        <v>2916</v>
      </c>
      <c r="BO150" s="3">
        <v>50000</v>
      </c>
      <c r="BP150" s="3">
        <v>50000</v>
      </c>
      <c r="BQ150" s="3">
        <v>250000</v>
      </c>
      <c r="BR150" s="3">
        <v>100000</v>
      </c>
      <c r="BS150">
        <v>50000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 t="s">
        <v>2942</v>
      </c>
      <c r="CA150" t="s">
        <v>2006</v>
      </c>
      <c r="CB150" t="s">
        <v>2946</v>
      </c>
    </row>
    <row r="151" spans="1:80" x14ac:dyDescent="0.25">
      <c r="A151">
        <v>149</v>
      </c>
      <c r="B151" t="s">
        <v>2168</v>
      </c>
      <c r="C151" s="1">
        <v>44957</v>
      </c>
      <c r="D151" s="2">
        <v>3</v>
      </c>
      <c r="E151" t="s">
        <v>4</v>
      </c>
      <c r="F151" t="s">
        <v>1310</v>
      </c>
      <c r="G151">
        <v>0</v>
      </c>
      <c r="H151" s="3">
        <v>6000000</v>
      </c>
      <c r="I151" s="3">
        <v>310000</v>
      </c>
      <c r="J151" s="3">
        <v>0</v>
      </c>
      <c r="K151" s="3">
        <v>0</v>
      </c>
      <c r="L151" s="3" t="s">
        <v>1191</v>
      </c>
      <c r="M151">
        <v>1823546</v>
      </c>
      <c r="N151" t="s">
        <v>371</v>
      </c>
      <c r="P151" t="s">
        <v>372</v>
      </c>
      <c r="Q151" t="s">
        <v>15</v>
      </c>
      <c r="R151">
        <v>34134</v>
      </c>
      <c r="S151" t="s">
        <v>73</v>
      </c>
      <c r="T151" t="s">
        <v>967</v>
      </c>
      <c r="U151">
        <v>1</v>
      </c>
      <c r="V151" t="s">
        <v>1053</v>
      </c>
      <c r="W151" t="s">
        <v>1194</v>
      </c>
      <c r="X151" t="s">
        <v>1309</v>
      </c>
      <c r="Y151">
        <v>50000</v>
      </c>
      <c r="Z151" s="2">
        <v>10</v>
      </c>
      <c r="AA151" s="2" t="s">
        <v>1238</v>
      </c>
      <c r="AB151" t="s">
        <v>1238</v>
      </c>
      <c r="AC151">
        <v>853</v>
      </c>
      <c r="AD151" t="s">
        <v>1279</v>
      </c>
      <c r="AE151">
        <v>3</v>
      </c>
      <c r="AF151" t="s">
        <v>1292</v>
      </c>
      <c r="AG151">
        <v>0</v>
      </c>
      <c r="AH151">
        <v>0</v>
      </c>
      <c r="AI151">
        <v>0</v>
      </c>
      <c r="AJ151">
        <v>2016</v>
      </c>
      <c r="AK151">
        <v>2021</v>
      </c>
      <c r="AL151" t="s">
        <v>1194</v>
      </c>
      <c r="AM151" s="4" t="s">
        <v>1304</v>
      </c>
      <c r="AN151">
        <v>1</v>
      </c>
      <c r="AO151" t="s">
        <v>1315</v>
      </c>
      <c r="AP151">
        <f t="shared" si="4"/>
        <v>0</v>
      </c>
      <c r="AQ151">
        <v>1</v>
      </c>
      <c r="AR151" t="s">
        <v>1992</v>
      </c>
      <c r="AS151" t="s">
        <v>1995</v>
      </c>
      <c r="AT151" t="s">
        <v>1995</v>
      </c>
      <c r="AU151" t="s">
        <v>1995</v>
      </c>
      <c r="AV151" t="s">
        <v>1995</v>
      </c>
      <c r="AW151" t="s">
        <v>1996</v>
      </c>
      <c r="AX151" t="s">
        <v>2007</v>
      </c>
      <c r="AY151" t="s">
        <v>1995</v>
      </c>
      <c r="AZ151">
        <v>9065</v>
      </c>
      <c r="BA151" t="s">
        <v>1194</v>
      </c>
      <c r="BB151" t="s">
        <v>1194</v>
      </c>
      <c r="BC151" s="3">
        <v>9807.7363000000005</v>
      </c>
      <c r="BD151" s="3">
        <v>21098.9</v>
      </c>
      <c r="BE151" s="3">
        <v>0</v>
      </c>
      <c r="BF151" s="3">
        <v>0</v>
      </c>
      <c r="BG151" s="3">
        <v>300</v>
      </c>
      <c r="BH151" s="3">
        <v>0</v>
      </c>
      <c r="BI151" s="3">
        <v>18546</v>
      </c>
      <c r="BJ151" s="3">
        <v>49753</v>
      </c>
      <c r="BK151" s="3">
        <v>0</v>
      </c>
      <c r="BL151" s="3">
        <v>49753</v>
      </c>
      <c r="BM151" s="2">
        <f t="shared" ca="1" si="5"/>
        <v>5</v>
      </c>
      <c r="BN151" s="3">
        <v>2000000</v>
      </c>
      <c r="BO151" s="3">
        <v>100000</v>
      </c>
      <c r="BP151" s="3">
        <v>50000</v>
      </c>
      <c r="BQ151" s="3">
        <v>250000</v>
      </c>
      <c r="BR151" s="3">
        <v>2000000</v>
      </c>
      <c r="BS151">
        <v>250000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 t="s">
        <v>2943</v>
      </c>
      <c r="CA151" t="s">
        <v>2939</v>
      </c>
      <c r="CB151" t="s">
        <v>2941</v>
      </c>
    </row>
    <row r="152" spans="1:80" x14ac:dyDescent="0.25">
      <c r="A152">
        <v>150</v>
      </c>
      <c r="B152" t="s">
        <v>2169</v>
      </c>
      <c r="C152" s="1">
        <v>44828</v>
      </c>
      <c r="D152" s="2">
        <v>27</v>
      </c>
      <c r="E152" t="s">
        <v>4</v>
      </c>
      <c r="F152" t="s">
        <v>1311</v>
      </c>
      <c r="G152">
        <v>0</v>
      </c>
      <c r="H152" s="3">
        <v>3500000</v>
      </c>
      <c r="I152" s="3">
        <v>800000</v>
      </c>
      <c r="J152" s="3">
        <v>0</v>
      </c>
      <c r="K152" s="3">
        <v>0</v>
      </c>
      <c r="L152" s="3" t="s">
        <v>1191</v>
      </c>
      <c r="M152">
        <v>1092132</v>
      </c>
      <c r="N152" t="s">
        <v>373</v>
      </c>
      <c r="P152" t="s">
        <v>374</v>
      </c>
      <c r="Q152" t="s">
        <v>13</v>
      </c>
      <c r="R152">
        <v>1770</v>
      </c>
      <c r="S152" t="s">
        <v>53</v>
      </c>
      <c r="T152" t="s">
        <v>968</v>
      </c>
      <c r="U152">
        <v>0</v>
      </c>
      <c r="V152" t="s">
        <v>1069</v>
      </c>
      <c r="W152" t="s">
        <v>1194</v>
      </c>
      <c r="X152" t="s">
        <v>973</v>
      </c>
      <c r="Y152">
        <v>10000</v>
      </c>
      <c r="Z152" s="2" t="s">
        <v>1194</v>
      </c>
      <c r="AA152" s="2" t="s">
        <v>1238</v>
      </c>
      <c r="AB152" t="s">
        <v>1238</v>
      </c>
      <c r="AC152">
        <v>811</v>
      </c>
      <c r="AD152" t="s">
        <v>1279</v>
      </c>
      <c r="AE152">
        <v>5</v>
      </c>
      <c r="AF152" t="s">
        <v>1290</v>
      </c>
      <c r="AG152">
        <v>0</v>
      </c>
      <c r="AH152">
        <v>0</v>
      </c>
      <c r="AI152">
        <v>0</v>
      </c>
      <c r="AJ152">
        <v>2021</v>
      </c>
      <c r="AK152" t="s">
        <v>1194</v>
      </c>
      <c r="AL152" t="s">
        <v>1194</v>
      </c>
      <c r="AM152" s="4" t="s">
        <v>1238</v>
      </c>
      <c r="AN152">
        <v>1</v>
      </c>
      <c r="AO152" t="s">
        <v>1315</v>
      </c>
      <c r="AP152">
        <f t="shared" si="4"/>
        <v>0</v>
      </c>
      <c r="AQ152">
        <v>0</v>
      </c>
      <c r="AR152" t="s">
        <v>1993</v>
      </c>
      <c r="AS152" t="s">
        <v>1996</v>
      </c>
      <c r="AT152" t="s">
        <v>1996</v>
      </c>
      <c r="AU152" t="s">
        <v>1996</v>
      </c>
      <c r="AV152" t="s">
        <v>1996</v>
      </c>
      <c r="AW152" t="s">
        <v>1996</v>
      </c>
      <c r="AX152" t="s">
        <v>2006</v>
      </c>
      <c r="AY152" t="s">
        <v>1996</v>
      </c>
      <c r="AZ152">
        <v>5000</v>
      </c>
      <c r="BA152" t="s">
        <v>1194</v>
      </c>
      <c r="BB152" t="s">
        <v>1194</v>
      </c>
      <c r="BC152" s="3">
        <v>7544.5421999999999</v>
      </c>
      <c r="BD152" s="3">
        <v>1837.62</v>
      </c>
      <c r="BE152" s="3">
        <v>0</v>
      </c>
      <c r="BF152" s="3">
        <v>0</v>
      </c>
      <c r="BG152" s="3">
        <v>0</v>
      </c>
      <c r="BH152" s="3">
        <v>0</v>
      </c>
      <c r="BI152" s="3">
        <v>9968</v>
      </c>
      <c r="BJ152" s="3">
        <v>19350</v>
      </c>
      <c r="BK152" s="3">
        <v>0</v>
      </c>
      <c r="BL152" s="3">
        <v>19350</v>
      </c>
      <c r="BM152" s="2">
        <f t="shared" ca="1" si="5"/>
        <v>1</v>
      </c>
      <c r="BN152" s="3">
        <v>2000000</v>
      </c>
      <c r="BO152" s="3">
        <v>25000</v>
      </c>
      <c r="BP152" s="3">
        <v>50000</v>
      </c>
      <c r="BQ152" s="3">
        <v>50000</v>
      </c>
      <c r="BR152" s="3">
        <v>500000</v>
      </c>
      <c r="BS152">
        <v>50000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 t="s">
        <v>2942</v>
      </c>
      <c r="CA152" t="s">
        <v>2006</v>
      </c>
      <c r="CB152" t="s">
        <v>2006</v>
      </c>
    </row>
    <row r="153" spans="1:80" x14ac:dyDescent="0.25">
      <c r="A153">
        <v>151</v>
      </c>
      <c r="B153" t="s">
        <v>2170</v>
      </c>
      <c r="C153" s="1">
        <v>44823</v>
      </c>
      <c r="D153" s="2">
        <v>27</v>
      </c>
      <c r="E153" t="s">
        <v>4</v>
      </c>
      <c r="F153" t="s">
        <v>1311</v>
      </c>
      <c r="G153">
        <v>0</v>
      </c>
      <c r="H153" s="3">
        <v>0</v>
      </c>
      <c r="I153" s="3">
        <v>0</v>
      </c>
      <c r="J153" s="3">
        <v>5677375</v>
      </c>
      <c r="K153" s="3">
        <v>0</v>
      </c>
      <c r="L153" s="3" t="s">
        <v>1192</v>
      </c>
      <c r="M153">
        <v>1794213</v>
      </c>
      <c r="N153" t="s">
        <v>375</v>
      </c>
      <c r="O153" t="s">
        <v>376</v>
      </c>
      <c r="P153" t="s">
        <v>29</v>
      </c>
      <c r="Q153" t="s">
        <v>14</v>
      </c>
      <c r="R153">
        <v>10023</v>
      </c>
      <c r="S153" t="s">
        <v>29</v>
      </c>
      <c r="T153" t="s">
        <v>962</v>
      </c>
      <c r="U153">
        <v>0</v>
      </c>
      <c r="V153" t="s">
        <v>1064</v>
      </c>
      <c r="W153" t="s">
        <v>1194</v>
      </c>
      <c r="X153" t="s">
        <v>973</v>
      </c>
      <c r="Y153">
        <v>25000</v>
      </c>
      <c r="Z153" s="2">
        <v>1.0000044029999999</v>
      </c>
      <c r="AA153" s="2" t="s">
        <v>1238</v>
      </c>
      <c r="AB153" t="s">
        <v>1238</v>
      </c>
      <c r="AC153">
        <v>868</v>
      </c>
      <c r="AD153" t="s">
        <v>1281</v>
      </c>
      <c r="AE153">
        <v>1</v>
      </c>
      <c r="AF153" t="s">
        <v>1290</v>
      </c>
      <c r="AG153">
        <v>0</v>
      </c>
      <c r="AH153">
        <v>0</v>
      </c>
      <c r="AI153">
        <v>0</v>
      </c>
      <c r="AJ153">
        <v>1884</v>
      </c>
      <c r="AK153">
        <v>1999</v>
      </c>
      <c r="AL153">
        <v>2014</v>
      </c>
      <c r="AM153" s="4" t="s">
        <v>1238</v>
      </c>
      <c r="AN153">
        <v>0</v>
      </c>
      <c r="AO153" t="s">
        <v>1315</v>
      </c>
      <c r="AP153">
        <f t="shared" si="4"/>
        <v>0</v>
      </c>
      <c r="AQ153">
        <v>1</v>
      </c>
      <c r="AR153" t="s">
        <v>1992</v>
      </c>
      <c r="AS153" t="s">
        <v>1996</v>
      </c>
      <c r="AT153" t="s">
        <v>1995</v>
      </c>
      <c r="AU153" t="s">
        <v>1996</v>
      </c>
      <c r="AV153" t="s">
        <v>1996</v>
      </c>
      <c r="AW153" t="s">
        <v>1996</v>
      </c>
      <c r="AX153" t="s">
        <v>2006</v>
      </c>
      <c r="AY153" t="s">
        <v>1996</v>
      </c>
      <c r="AZ153">
        <v>4129</v>
      </c>
      <c r="BA153" t="s">
        <v>1194</v>
      </c>
      <c r="BB153" t="s">
        <v>1194</v>
      </c>
      <c r="BC153" s="3">
        <v>16549.162400000001</v>
      </c>
      <c r="BD153" s="3">
        <v>3694.17</v>
      </c>
      <c r="BE153" s="3">
        <v>0</v>
      </c>
      <c r="BF153" s="3">
        <v>0</v>
      </c>
      <c r="BG153" s="3">
        <v>150</v>
      </c>
      <c r="BH153" s="3">
        <v>0</v>
      </c>
      <c r="BI153" s="3">
        <v>10832.23</v>
      </c>
      <c r="BJ153" s="3">
        <v>31226</v>
      </c>
      <c r="BK153" s="3">
        <v>0</v>
      </c>
      <c r="BL153" s="3">
        <v>31226</v>
      </c>
      <c r="BM153" s="2">
        <f t="shared" ca="1" si="5"/>
        <v>5</v>
      </c>
      <c r="BN153" s="3" t="s">
        <v>2916</v>
      </c>
      <c r="BO153" s="3">
        <v>50000</v>
      </c>
      <c r="BP153" s="3" t="s">
        <v>2922</v>
      </c>
      <c r="BQ153" s="3">
        <v>500000</v>
      </c>
      <c r="BR153" s="3">
        <v>1000000</v>
      </c>
      <c r="BS153">
        <v>250000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 t="s">
        <v>2942</v>
      </c>
      <c r="CA153" t="s">
        <v>2006</v>
      </c>
      <c r="CB153" t="s">
        <v>2946</v>
      </c>
    </row>
    <row r="154" spans="1:80" x14ac:dyDescent="0.25">
      <c r="A154">
        <v>152</v>
      </c>
      <c r="B154" t="s">
        <v>2171</v>
      </c>
      <c r="C154" s="1">
        <v>44827</v>
      </c>
      <c r="D154" s="2">
        <v>27</v>
      </c>
      <c r="E154" t="s">
        <v>4</v>
      </c>
      <c r="F154" t="s">
        <v>1311</v>
      </c>
      <c r="G154">
        <v>0</v>
      </c>
      <c r="H154" s="3">
        <v>11350000</v>
      </c>
      <c r="I154" s="3">
        <v>163828</v>
      </c>
      <c r="J154" s="3">
        <v>0</v>
      </c>
      <c r="K154" s="3">
        <v>0</v>
      </c>
      <c r="L154" s="3" t="s">
        <v>1191</v>
      </c>
      <c r="M154">
        <v>771368</v>
      </c>
      <c r="N154" t="s">
        <v>377</v>
      </c>
      <c r="P154" t="s">
        <v>369</v>
      </c>
      <c r="Q154" t="s">
        <v>19</v>
      </c>
      <c r="R154">
        <v>90272</v>
      </c>
      <c r="S154" t="s">
        <v>46</v>
      </c>
      <c r="T154" t="s">
        <v>977</v>
      </c>
      <c r="U154">
        <v>0</v>
      </c>
      <c r="V154">
        <v>43</v>
      </c>
      <c r="W154" t="s">
        <v>369</v>
      </c>
      <c r="X154" t="s">
        <v>973</v>
      </c>
      <c r="Y154">
        <v>25000</v>
      </c>
      <c r="Z154" s="2" t="s">
        <v>1194</v>
      </c>
      <c r="AA154" s="2" t="s">
        <v>1238</v>
      </c>
      <c r="AB154" t="s">
        <v>1238</v>
      </c>
      <c r="AC154" t="s">
        <v>1194</v>
      </c>
      <c r="AD154" t="s">
        <v>1279</v>
      </c>
      <c r="AE154">
        <v>1</v>
      </c>
      <c r="AF154" t="s">
        <v>1290</v>
      </c>
      <c r="AG154">
        <v>0</v>
      </c>
      <c r="AH154">
        <v>0</v>
      </c>
      <c r="AI154">
        <v>0</v>
      </c>
      <c r="AJ154">
        <v>2003</v>
      </c>
      <c r="AK154" t="s">
        <v>1194</v>
      </c>
      <c r="AL154" t="s">
        <v>1194</v>
      </c>
      <c r="AM154" s="4" t="s">
        <v>1238</v>
      </c>
      <c r="AN154">
        <v>0</v>
      </c>
      <c r="AO154" t="s">
        <v>1317</v>
      </c>
      <c r="AP154">
        <f t="shared" si="4"/>
        <v>0</v>
      </c>
      <c r="AQ154">
        <v>0</v>
      </c>
      <c r="AR154" t="s">
        <v>1993</v>
      </c>
      <c r="AS154" t="s">
        <v>1996</v>
      </c>
      <c r="AT154" t="s">
        <v>1995</v>
      </c>
      <c r="AU154" t="s">
        <v>1996</v>
      </c>
      <c r="AV154" t="s">
        <v>1996</v>
      </c>
      <c r="AW154" t="s">
        <v>1996</v>
      </c>
      <c r="AX154" t="s">
        <v>1194</v>
      </c>
      <c r="AY154" t="s">
        <v>1996</v>
      </c>
      <c r="AZ154">
        <v>10226</v>
      </c>
      <c r="BA154">
        <v>3</v>
      </c>
      <c r="BB154" t="s">
        <v>2016</v>
      </c>
      <c r="BC154" s="3">
        <v>0</v>
      </c>
      <c r="BD154" s="3">
        <v>0</v>
      </c>
      <c r="BE154" s="3">
        <v>13420.63</v>
      </c>
      <c r="BF154" s="3">
        <v>28807.66</v>
      </c>
      <c r="BG154" s="3">
        <v>120</v>
      </c>
      <c r="BH154" s="3">
        <v>0</v>
      </c>
      <c r="BI154" s="3">
        <v>58519</v>
      </c>
      <c r="BJ154" s="3">
        <v>100867.29</v>
      </c>
      <c r="BK154" s="3">
        <v>0</v>
      </c>
      <c r="BL154" s="3">
        <v>100867.29</v>
      </c>
      <c r="BM154" s="2">
        <f t="shared" ca="1" si="5"/>
        <v>2</v>
      </c>
      <c r="BN154" s="3">
        <v>50000</v>
      </c>
      <c r="BO154" s="3">
        <v>250000</v>
      </c>
      <c r="BP154" s="3">
        <v>50000</v>
      </c>
      <c r="BQ154" s="3">
        <v>25000</v>
      </c>
      <c r="BR154" s="3">
        <v>2000000</v>
      </c>
      <c r="BS154">
        <v>100000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 t="s">
        <v>2948</v>
      </c>
      <c r="CA154" t="s">
        <v>1194</v>
      </c>
      <c r="CB154" t="s">
        <v>2941</v>
      </c>
    </row>
    <row r="155" spans="1:80" x14ac:dyDescent="0.25">
      <c r="A155">
        <v>153</v>
      </c>
      <c r="B155" t="s">
        <v>2172</v>
      </c>
      <c r="C155" s="1">
        <v>44928</v>
      </c>
      <c r="D155" s="2">
        <v>3</v>
      </c>
      <c r="E155" t="s">
        <v>4</v>
      </c>
      <c r="F155" t="s">
        <v>1310</v>
      </c>
      <c r="G155">
        <v>0</v>
      </c>
      <c r="H155" s="3">
        <v>4619550</v>
      </c>
      <c r="I155" s="3">
        <v>111303</v>
      </c>
      <c r="J155" s="3">
        <v>0</v>
      </c>
      <c r="K155" s="3">
        <v>0</v>
      </c>
      <c r="L155" s="3" t="s">
        <v>1191</v>
      </c>
      <c r="M155">
        <v>780581</v>
      </c>
      <c r="N155" t="s">
        <v>378</v>
      </c>
      <c r="P155" t="s">
        <v>29</v>
      </c>
      <c r="Q155" t="s">
        <v>14</v>
      </c>
      <c r="R155">
        <v>10112</v>
      </c>
      <c r="S155" t="s">
        <v>29</v>
      </c>
      <c r="T155" t="s">
        <v>962</v>
      </c>
      <c r="U155">
        <v>0</v>
      </c>
      <c r="V155" t="s">
        <v>1070</v>
      </c>
      <c r="W155" t="s">
        <v>1194</v>
      </c>
      <c r="X155" t="s">
        <v>973</v>
      </c>
      <c r="Y155">
        <v>25000</v>
      </c>
      <c r="Z155" s="2">
        <v>1.0000108240000001</v>
      </c>
      <c r="AA155" s="2" t="s">
        <v>1238</v>
      </c>
      <c r="AB155" t="s">
        <v>1238</v>
      </c>
      <c r="AC155">
        <v>821</v>
      </c>
      <c r="AD155" t="s">
        <v>1280</v>
      </c>
      <c r="AE155">
        <v>1</v>
      </c>
      <c r="AF155" t="s">
        <v>1290</v>
      </c>
      <c r="AG155">
        <v>0</v>
      </c>
      <c r="AH155">
        <v>0</v>
      </c>
      <c r="AI155">
        <v>0</v>
      </c>
      <c r="AJ155">
        <v>1852</v>
      </c>
      <c r="AK155">
        <v>2019</v>
      </c>
      <c r="AL155">
        <v>2021</v>
      </c>
      <c r="AM155" s="4" t="s">
        <v>1304</v>
      </c>
      <c r="AN155">
        <v>1</v>
      </c>
      <c r="AO155" t="s">
        <v>1315</v>
      </c>
      <c r="AP155">
        <f t="shared" si="4"/>
        <v>0</v>
      </c>
      <c r="AQ155">
        <v>0</v>
      </c>
      <c r="AR155" t="s">
        <v>1993</v>
      </c>
      <c r="AS155" t="s">
        <v>1995</v>
      </c>
      <c r="AT155" t="s">
        <v>1995</v>
      </c>
      <c r="AU155" t="s">
        <v>1996</v>
      </c>
      <c r="AV155" t="s">
        <v>1995</v>
      </c>
      <c r="AW155" t="s">
        <v>1995</v>
      </c>
      <c r="AX155" t="s">
        <v>2006</v>
      </c>
      <c r="AY155" t="s">
        <v>1996</v>
      </c>
      <c r="AZ155">
        <v>4200</v>
      </c>
      <c r="BA155" t="s">
        <v>1194</v>
      </c>
      <c r="BB155" t="s">
        <v>1194</v>
      </c>
      <c r="BC155" s="3">
        <v>13851.3297</v>
      </c>
      <c r="BD155" s="3">
        <v>2627.63</v>
      </c>
      <c r="BE155" s="3">
        <v>0</v>
      </c>
      <c r="BF155" s="3">
        <v>0</v>
      </c>
      <c r="BG155" s="3">
        <v>0</v>
      </c>
      <c r="BH155" s="3">
        <v>0</v>
      </c>
      <c r="BI155" s="3">
        <v>13325</v>
      </c>
      <c r="BJ155" s="3">
        <v>29804</v>
      </c>
      <c r="BK155" s="3">
        <v>0</v>
      </c>
      <c r="BL155" s="3">
        <v>29804</v>
      </c>
      <c r="BM155" s="2">
        <f t="shared" ca="1" si="5"/>
        <v>6</v>
      </c>
      <c r="BN155" s="3">
        <v>1000000</v>
      </c>
      <c r="BO155" s="3">
        <v>25000</v>
      </c>
      <c r="BP155" s="3">
        <v>50000</v>
      </c>
      <c r="BQ155" s="3">
        <v>250000</v>
      </c>
      <c r="BR155" s="3">
        <v>50000</v>
      </c>
      <c r="BS155">
        <v>1000000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 t="s">
        <v>2006</v>
      </c>
      <c r="CA155" t="s">
        <v>2939</v>
      </c>
      <c r="CB155" t="s">
        <v>2946</v>
      </c>
    </row>
    <row r="156" spans="1:80" x14ac:dyDescent="0.25">
      <c r="A156">
        <v>154</v>
      </c>
      <c r="B156" t="s">
        <v>2173</v>
      </c>
      <c r="C156" s="1">
        <v>44912</v>
      </c>
      <c r="D156" s="2">
        <v>36</v>
      </c>
      <c r="E156" t="s">
        <v>4</v>
      </c>
      <c r="F156" t="s">
        <v>1311</v>
      </c>
      <c r="G156">
        <v>1</v>
      </c>
      <c r="H156" s="3">
        <v>4000000</v>
      </c>
      <c r="I156" s="3">
        <v>100000</v>
      </c>
      <c r="J156" s="3">
        <v>0</v>
      </c>
      <c r="K156" s="3">
        <v>0</v>
      </c>
      <c r="L156" s="3" t="s">
        <v>1191</v>
      </c>
      <c r="M156">
        <v>1814254</v>
      </c>
      <c r="N156" t="s">
        <v>379</v>
      </c>
      <c r="P156" t="s">
        <v>248</v>
      </c>
      <c r="Q156" t="s">
        <v>20</v>
      </c>
      <c r="R156">
        <v>30327</v>
      </c>
      <c r="S156" t="s">
        <v>57</v>
      </c>
      <c r="T156" t="s">
        <v>973</v>
      </c>
      <c r="U156">
        <v>0</v>
      </c>
      <c r="V156">
        <v>17</v>
      </c>
      <c r="W156" t="s">
        <v>1195</v>
      </c>
      <c r="X156" t="s">
        <v>973</v>
      </c>
      <c r="Y156">
        <v>10000</v>
      </c>
      <c r="Z156" s="2" t="s">
        <v>1194</v>
      </c>
      <c r="AA156" s="2">
        <v>0</v>
      </c>
      <c r="AB156" t="s">
        <v>1238</v>
      </c>
      <c r="AC156">
        <v>758</v>
      </c>
      <c r="AD156" t="s">
        <v>1279</v>
      </c>
      <c r="AE156">
        <v>2</v>
      </c>
      <c r="AF156" t="s">
        <v>1290</v>
      </c>
      <c r="AG156">
        <v>0</v>
      </c>
      <c r="AH156">
        <v>0</v>
      </c>
      <c r="AI156">
        <v>0</v>
      </c>
      <c r="AJ156">
        <v>2021</v>
      </c>
      <c r="AK156" t="s">
        <v>1194</v>
      </c>
      <c r="AL156" t="s">
        <v>1194</v>
      </c>
      <c r="AM156" s="4" t="s">
        <v>1238</v>
      </c>
      <c r="AN156">
        <v>1</v>
      </c>
      <c r="AO156" t="s">
        <v>1315</v>
      </c>
      <c r="AP156">
        <f t="shared" si="4"/>
        <v>0</v>
      </c>
      <c r="AQ156">
        <v>1</v>
      </c>
      <c r="AR156" t="s">
        <v>1992</v>
      </c>
      <c r="AS156" t="s">
        <v>1996</v>
      </c>
      <c r="AT156" t="s">
        <v>1995</v>
      </c>
      <c r="AU156" t="s">
        <v>1996</v>
      </c>
      <c r="AV156" t="s">
        <v>1995</v>
      </c>
      <c r="AW156" t="s">
        <v>1995</v>
      </c>
      <c r="AX156" t="s">
        <v>2003</v>
      </c>
      <c r="AY156" t="s">
        <v>1996</v>
      </c>
      <c r="AZ156">
        <v>11000</v>
      </c>
      <c r="BA156" t="s">
        <v>1194</v>
      </c>
      <c r="BB156" t="s">
        <v>1194</v>
      </c>
      <c r="BC156" s="3">
        <v>7141.1531000000004</v>
      </c>
      <c r="BD156" s="3">
        <v>4554.71</v>
      </c>
      <c r="BE156" s="3">
        <v>0</v>
      </c>
      <c r="BF156" s="3">
        <v>0</v>
      </c>
      <c r="BG156" s="3">
        <v>0</v>
      </c>
      <c r="BH156" s="3">
        <v>0</v>
      </c>
      <c r="BI156" s="3">
        <v>10034</v>
      </c>
      <c r="BJ156" s="3">
        <v>21730</v>
      </c>
      <c r="BK156" s="3">
        <v>0</v>
      </c>
      <c r="BL156" s="3">
        <v>21730</v>
      </c>
      <c r="BM156" s="2">
        <f t="shared" ca="1" si="5"/>
        <v>3</v>
      </c>
      <c r="BN156" s="3">
        <v>100000</v>
      </c>
      <c r="BO156" s="3">
        <v>1000000</v>
      </c>
      <c r="BP156" s="3">
        <v>100000</v>
      </c>
      <c r="BQ156" s="3">
        <v>1000000</v>
      </c>
      <c r="BR156" s="3">
        <v>1000000</v>
      </c>
      <c r="BS156" t="s">
        <v>2916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 t="s">
        <v>2942</v>
      </c>
      <c r="CA156" t="s">
        <v>2006</v>
      </c>
      <c r="CB156" t="s">
        <v>2945</v>
      </c>
    </row>
    <row r="157" spans="1:80" x14ac:dyDescent="0.25">
      <c r="A157">
        <v>155</v>
      </c>
      <c r="B157" t="s">
        <v>2174</v>
      </c>
      <c r="C157" s="1">
        <v>44817</v>
      </c>
      <c r="D157" s="2">
        <v>27</v>
      </c>
      <c r="E157" t="s">
        <v>4</v>
      </c>
      <c r="F157" t="s">
        <v>1311</v>
      </c>
      <c r="G157">
        <v>0</v>
      </c>
      <c r="H157" s="3">
        <v>2800000</v>
      </c>
      <c r="I157" s="3">
        <v>0</v>
      </c>
      <c r="J157" s="3">
        <v>0</v>
      </c>
      <c r="K157" s="3">
        <v>0</v>
      </c>
      <c r="L157" s="3" t="s">
        <v>1191</v>
      </c>
      <c r="M157">
        <v>1472216</v>
      </c>
      <c r="N157" t="s">
        <v>380</v>
      </c>
      <c r="P157" t="s">
        <v>381</v>
      </c>
      <c r="Q157" t="s">
        <v>14</v>
      </c>
      <c r="R157">
        <v>10580</v>
      </c>
      <c r="S157" t="s">
        <v>36</v>
      </c>
      <c r="T157" t="s">
        <v>963</v>
      </c>
      <c r="U157">
        <v>0</v>
      </c>
      <c r="V157" t="s">
        <v>1071</v>
      </c>
      <c r="W157" t="s">
        <v>1194</v>
      </c>
      <c r="X157" t="s">
        <v>973</v>
      </c>
      <c r="Y157">
        <v>10000</v>
      </c>
      <c r="Z157" s="2">
        <v>2</v>
      </c>
      <c r="AA157" s="2" t="s">
        <v>1238</v>
      </c>
      <c r="AB157" t="s">
        <v>1238</v>
      </c>
      <c r="AC157">
        <v>793</v>
      </c>
      <c r="AD157" t="s">
        <v>1279</v>
      </c>
      <c r="AE157">
        <v>4</v>
      </c>
      <c r="AF157" t="s">
        <v>1290</v>
      </c>
      <c r="AG157">
        <v>0</v>
      </c>
      <c r="AH157">
        <v>0</v>
      </c>
      <c r="AI157">
        <v>0</v>
      </c>
      <c r="AJ157">
        <v>1961</v>
      </c>
      <c r="AK157" t="s">
        <v>1194</v>
      </c>
      <c r="AL157" t="s">
        <v>1194</v>
      </c>
      <c r="AM157" s="4" t="s">
        <v>1238</v>
      </c>
      <c r="AN157">
        <v>1</v>
      </c>
      <c r="AO157" t="s">
        <v>1316</v>
      </c>
      <c r="AP157">
        <f t="shared" si="4"/>
        <v>0</v>
      </c>
      <c r="AQ157">
        <v>1</v>
      </c>
      <c r="AR157" t="s">
        <v>1992</v>
      </c>
      <c r="AS157" t="s">
        <v>1995</v>
      </c>
      <c r="AT157" t="s">
        <v>1995</v>
      </c>
      <c r="AU157" t="s">
        <v>1995</v>
      </c>
      <c r="AV157" t="s">
        <v>1996</v>
      </c>
      <c r="AW157" t="s">
        <v>1995</v>
      </c>
      <c r="AX157" t="s">
        <v>2006</v>
      </c>
      <c r="AY157" t="s">
        <v>1996</v>
      </c>
      <c r="AZ157">
        <v>4282</v>
      </c>
      <c r="BA157" t="s">
        <v>1194</v>
      </c>
      <c r="BB157" t="s">
        <v>1194</v>
      </c>
      <c r="BC157" s="3">
        <v>8413.0082000000002</v>
      </c>
      <c r="BD157" s="3">
        <v>3599.99</v>
      </c>
      <c r="BE157" s="3">
        <v>0</v>
      </c>
      <c r="BF157" s="3">
        <v>0</v>
      </c>
      <c r="BG157" s="3">
        <v>150</v>
      </c>
      <c r="BH157" s="3">
        <v>0</v>
      </c>
      <c r="BI157" s="3">
        <v>6037</v>
      </c>
      <c r="BJ157" s="3">
        <v>18200</v>
      </c>
      <c r="BK157" s="3">
        <v>0</v>
      </c>
      <c r="BL157" s="3">
        <v>18200</v>
      </c>
      <c r="BM157" s="2">
        <f t="shared" ca="1" si="5"/>
        <v>3</v>
      </c>
      <c r="BN157" s="3">
        <v>500000</v>
      </c>
      <c r="BO157" s="3">
        <v>250000</v>
      </c>
      <c r="BP157" s="3">
        <v>100000</v>
      </c>
      <c r="BQ157" s="3">
        <v>100000</v>
      </c>
      <c r="BR157" s="3">
        <v>50000</v>
      </c>
      <c r="BS157" t="s">
        <v>2916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 t="s">
        <v>2942</v>
      </c>
      <c r="CA157" t="s">
        <v>2006</v>
      </c>
      <c r="CB157" t="s">
        <v>2006</v>
      </c>
    </row>
    <row r="158" spans="1:80" x14ac:dyDescent="0.25">
      <c r="A158">
        <v>156</v>
      </c>
      <c r="B158" t="s">
        <v>2175</v>
      </c>
      <c r="C158" s="1">
        <v>44938</v>
      </c>
      <c r="D158" s="2">
        <v>3</v>
      </c>
      <c r="E158" t="s">
        <v>4</v>
      </c>
      <c r="F158" t="s">
        <v>1310</v>
      </c>
      <c r="G158">
        <v>0</v>
      </c>
      <c r="H158" s="3">
        <v>9000000</v>
      </c>
      <c r="I158" s="3">
        <v>0</v>
      </c>
      <c r="J158" s="3">
        <v>0</v>
      </c>
      <c r="K158" s="3">
        <v>0</v>
      </c>
      <c r="L158" s="3" t="s">
        <v>1191</v>
      </c>
      <c r="M158">
        <v>1899876</v>
      </c>
      <c r="N158" t="s">
        <v>382</v>
      </c>
      <c r="P158" t="s">
        <v>159</v>
      </c>
      <c r="Q158" t="s">
        <v>15</v>
      </c>
      <c r="R158">
        <v>33414</v>
      </c>
      <c r="S158" t="s">
        <v>27</v>
      </c>
      <c r="T158" t="s">
        <v>965</v>
      </c>
      <c r="U158">
        <v>0</v>
      </c>
      <c r="V158" t="s">
        <v>987</v>
      </c>
      <c r="W158" t="s">
        <v>1194</v>
      </c>
      <c r="X158" t="s">
        <v>973</v>
      </c>
      <c r="Y158">
        <v>25000</v>
      </c>
      <c r="Z158" s="2">
        <v>10</v>
      </c>
      <c r="AA158" s="2" t="s">
        <v>1238</v>
      </c>
      <c r="AB158" t="s">
        <v>1238</v>
      </c>
      <c r="AC158">
        <v>881</v>
      </c>
      <c r="AD158" t="s">
        <v>1280</v>
      </c>
      <c r="AE158">
        <v>2</v>
      </c>
      <c r="AF158" t="s">
        <v>1290</v>
      </c>
      <c r="AG158">
        <v>0</v>
      </c>
      <c r="AH158">
        <v>0</v>
      </c>
      <c r="AI158">
        <v>0</v>
      </c>
      <c r="AJ158">
        <v>2022</v>
      </c>
      <c r="AK158" t="s">
        <v>1194</v>
      </c>
      <c r="AL158" t="s">
        <v>1194</v>
      </c>
      <c r="AM158" s="4" t="s">
        <v>1304</v>
      </c>
      <c r="AN158">
        <v>1</v>
      </c>
      <c r="AO158" t="s">
        <v>1317</v>
      </c>
      <c r="AP158">
        <f t="shared" si="4"/>
        <v>0</v>
      </c>
      <c r="AQ158">
        <v>1</v>
      </c>
      <c r="AR158" t="s">
        <v>1992</v>
      </c>
      <c r="AS158" t="s">
        <v>1996</v>
      </c>
      <c r="AT158" t="s">
        <v>1995</v>
      </c>
      <c r="AU158" t="s">
        <v>1995</v>
      </c>
      <c r="AV158" t="s">
        <v>1996</v>
      </c>
      <c r="AW158" t="s">
        <v>1995</v>
      </c>
      <c r="AX158" t="s">
        <v>2007</v>
      </c>
      <c r="AY158" t="s">
        <v>1995</v>
      </c>
      <c r="AZ158">
        <v>10000</v>
      </c>
      <c r="BA158" t="s">
        <v>1194</v>
      </c>
      <c r="BB158" t="s">
        <v>1194</v>
      </c>
      <c r="BC158" s="3">
        <v>9699.2196999999996</v>
      </c>
      <c r="BD158" s="3">
        <v>14074.08</v>
      </c>
      <c r="BE158" s="3">
        <v>0</v>
      </c>
      <c r="BF158" s="3">
        <v>0</v>
      </c>
      <c r="BG158" s="3">
        <v>300</v>
      </c>
      <c r="BH158" s="3">
        <v>0</v>
      </c>
      <c r="BI158" s="3">
        <v>137927</v>
      </c>
      <c r="BJ158" s="3">
        <v>162000</v>
      </c>
      <c r="BK158" s="3">
        <v>3444.9</v>
      </c>
      <c r="BL158" s="3">
        <v>165444.9</v>
      </c>
      <c r="BM158" s="2">
        <f t="shared" ca="1" si="5"/>
        <v>3</v>
      </c>
      <c r="BN158" s="3" t="s">
        <v>2916</v>
      </c>
      <c r="BO158" s="3">
        <v>500000</v>
      </c>
      <c r="BP158" s="3">
        <v>50000</v>
      </c>
      <c r="BQ158" s="3">
        <v>100000</v>
      </c>
      <c r="BR158" s="3">
        <v>50000</v>
      </c>
      <c r="BS158">
        <v>50000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 t="s">
        <v>2940</v>
      </c>
      <c r="CA158" t="s">
        <v>2939</v>
      </c>
      <c r="CB158" t="s">
        <v>2941</v>
      </c>
    </row>
    <row r="159" spans="1:80" x14ac:dyDescent="0.25">
      <c r="A159">
        <v>157</v>
      </c>
      <c r="B159" t="s">
        <v>2176</v>
      </c>
      <c r="C159" s="1">
        <v>44672</v>
      </c>
      <c r="D159" s="2">
        <v>12</v>
      </c>
      <c r="E159" t="s">
        <v>4</v>
      </c>
      <c r="F159" t="s">
        <v>1311</v>
      </c>
      <c r="G159">
        <v>1</v>
      </c>
      <c r="H159" s="3">
        <v>8000000</v>
      </c>
      <c r="I159" s="3">
        <v>1000000</v>
      </c>
      <c r="J159" s="3">
        <v>0</v>
      </c>
      <c r="K159" s="3">
        <v>0</v>
      </c>
      <c r="L159" s="3" t="s">
        <v>1191</v>
      </c>
      <c r="M159">
        <v>1878694</v>
      </c>
      <c r="N159" t="s">
        <v>383</v>
      </c>
      <c r="P159" t="s">
        <v>384</v>
      </c>
      <c r="Q159" t="s">
        <v>19</v>
      </c>
      <c r="R159">
        <v>94025</v>
      </c>
      <c r="S159" t="s">
        <v>66</v>
      </c>
      <c r="T159" t="s">
        <v>975</v>
      </c>
      <c r="U159">
        <v>0</v>
      </c>
      <c r="V159">
        <v>48</v>
      </c>
      <c r="W159" t="s">
        <v>1201</v>
      </c>
      <c r="X159" t="s">
        <v>973</v>
      </c>
      <c r="Y159">
        <v>250000</v>
      </c>
      <c r="Z159" s="2" t="s">
        <v>1194</v>
      </c>
      <c r="AA159" s="2" t="s">
        <v>1238</v>
      </c>
      <c r="AB159" t="s">
        <v>1238</v>
      </c>
      <c r="AC159" t="s">
        <v>1194</v>
      </c>
      <c r="AD159" t="s">
        <v>1279</v>
      </c>
      <c r="AE159">
        <v>2</v>
      </c>
      <c r="AF159" t="s">
        <v>1290</v>
      </c>
      <c r="AG159">
        <v>0</v>
      </c>
      <c r="AH159">
        <v>0</v>
      </c>
      <c r="AI159">
        <v>0</v>
      </c>
      <c r="AJ159">
        <v>1999</v>
      </c>
      <c r="AK159">
        <v>2022</v>
      </c>
      <c r="AL159">
        <v>2022</v>
      </c>
      <c r="AM159" s="4" t="s">
        <v>1238</v>
      </c>
      <c r="AN159">
        <v>0</v>
      </c>
      <c r="AO159" t="s">
        <v>1315</v>
      </c>
      <c r="AP159">
        <f t="shared" si="4"/>
        <v>0</v>
      </c>
      <c r="AQ159">
        <v>0</v>
      </c>
      <c r="AR159" t="s">
        <v>1993</v>
      </c>
      <c r="AS159" t="s">
        <v>1995</v>
      </c>
      <c r="AT159" t="s">
        <v>1996</v>
      </c>
      <c r="AU159" t="s">
        <v>1995</v>
      </c>
      <c r="AV159" t="s">
        <v>1995</v>
      </c>
      <c r="AW159" t="s">
        <v>1996</v>
      </c>
      <c r="AX159" t="s">
        <v>1194</v>
      </c>
      <c r="AY159" t="s">
        <v>1996</v>
      </c>
      <c r="AZ159">
        <v>12000</v>
      </c>
      <c r="BA159" t="s">
        <v>1194</v>
      </c>
      <c r="BB159" t="s">
        <v>2014</v>
      </c>
      <c r="BC159" s="3">
        <v>0</v>
      </c>
      <c r="BD159" s="3">
        <v>0</v>
      </c>
      <c r="BE159" s="3">
        <v>27865.200000000001</v>
      </c>
      <c r="BF159" s="3">
        <v>10033.92</v>
      </c>
      <c r="BG159" s="3">
        <v>150</v>
      </c>
      <c r="BH159" s="3">
        <v>0</v>
      </c>
      <c r="BI159" s="3">
        <v>200</v>
      </c>
      <c r="BJ159" s="3">
        <v>38249.120000000003</v>
      </c>
      <c r="BK159" s="3">
        <v>0</v>
      </c>
      <c r="BL159" s="3">
        <v>38249.120000000003</v>
      </c>
      <c r="BM159" s="2">
        <f t="shared" ca="1" si="5"/>
        <v>1</v>
      </c>
      <c r="BN159" s="3">
        <v>2000000</v>
      </c>
      <c r="BO159" s="3">
        <v>50000</v>
      </c>
      <c r="BP159" s="3">
        <v>100000</v>
      </c>
      <c r="BQ159" s="3">
        <v>500000</v>
      </c>
      <c r="BR159" s="3">
        <v>1000000</v>
      </c>
      <c r="BS159">
        <v>2000000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 t="s">
        <v>2950</v>
      </c>
      <c r="CA159" t="s">
        <v>1194</v>
      </c>
      <c r="CB159" t="s">
        <v>2949</v>
      </c>
    </row>
    <row r="160" spans="1:80" x14ac:dyDescent="0.25">
      <c r="A160">
        <v>158</v>
      </c>
      <c r="B160" t="s">
        <v>2177</v>
      </c>
      <c r="C160" s="1">
        <v>44837</v>
      </c>
      <c r="D160" s="2">
        <v>30</v>
      </c>
      <c r="E160" t="s">
        <v>4</v>
      </c>
      <c r="F160" t="s">
        <v>1311</v>
      </c>
      <c r="G160">
        <v>0</v>
      </c>
      <c r="H160" s="3">
        <v>10000000</v>
      </c>
      <c r="I160" s="3">
        <v>0</v>
      </c>
      <c r="J160" s="3">
        <v>0</v>
      </c>
      <c r="K160" s="3">
        <v>0</v>
      </c>
      <c r="L160" s="3" t="s">
        <v>1191</v>
      </c>
      <c r="M160">
        <v>1992754</v>
      </c>
      <c r="N160" t="s">
        <v>385</v>
      </c>
      <c r="P160" t="s">
        <v>386</v>
      </c>
      <c r="Q160" t="s">
        <v>16</v>
      </c>
      <c r="R160">
        <v>7931</v>
      </c>
      <c r="S160" t="s">
        <v>81</v>
      </c>
      <c r="T160" t="s">
        <v>973</v>
      </c>
      <c r="U160">
        <v>0</v>
      </c>
      <c r="V160" t="s">
        <v>1072</v>
      </c>
      <c r="W160" t="s">
        <v>1194</v>
      </c>
      <c r="X160" t="s">
        <v>973</v>
      </c>
      <c r="Y160">
        <v>25000</v>
      </c>
      <c r="Z160" s="2" t="s">
        <v>1194</v>
      </c>
      <c r="AA160" s="2" t="s">
        <v>1238</v>
      </c>
      <c r="AB160" t="s">
        <v>1238</v>
      </c>
      <c r="AC160">
        <v>868</v>
      </c>
      <c r="AD160" t="s">
        <v>1279</v>
      </c>
      <c r="AE160">
        <v>8</v>
      </c>
      <c r="AF160" t="s">
        <v>1290</v>
      </c>
      <c r="AG160">
        <v>0</v>
      </c>
      <c r="AH160">
        <v>0</v>
      </c>
      <c r="AI160">
        <v>0</v>
      </c>
      <c r="AJ160">
        <v>2022</v>
      </c>
      <c r="AK160" t="s">
        <v>1194</v>
      </c>
      <c r="AL160" t="s">
        <v>1194</v>
      </c>
      <c r="AM160" s="4" t="s">
        <v>1238</v>
      </c>
      <c r="AN160">
        <v>0</v>
      </c>
      <c r="AO160" t="s">
        <v>1315</v>
      </c>
      <c r="AP160">
        <f t="shared" si="4"/>
        <v>0</v>
      </c>
      <c r="AQ160">
        <v>1</v>
      </c>
      <c r="AR160" t="s">
        <v>1992</v>
      </c>
      <c r="AS160" t="s">
        <v>1996</v>
      </c>
      <c r="AT160" t="s">
        <v>1995</v>
      </c>
      <c r="AU160" t="s">
        <v>1996</v>
      </c>
      <c r="AV160" t="s">
        <v>1996</v>
      </c>
      <c r="AW160" t="s">
        <v>1996</v>
      </c>
      <c r="AX160" t="s">
        <v>2003</v>
      </c>
      <c r="AY160" t="s">
        <v>1996</v>
      </c>
      <c r="AZ160">
        <v>17000</v>
      </c>
      <c r="BA160" t="s">
        <v>1194</v>
      </c>
      <c r="BB160" t="s">
        <v>1194</v>
      </c>
      <c r="BC160" s="3">
        <v>15641.7533</v>
      </c>
      <c r="BD160" s="3">
        <v>815.99</v>
      </c>
      <c r="BE160" s="3">
        <v>0</v>
      </c>
      <c r="BF160" s="3">
        <v>0</v>
      </c>
      <c r="BG160" s="3">
        <v>0</v>
      </c>
      <c r="BH160" s="3">
        <v>0</v>
      </c>
      <c r="BI160" s="3">
        <v>38542</v>
      </c>
      <c r="BJ160" s="3">
        <v>55000</v>
      </c>
      <c r="BK160" s="3">
        <v>500</v>
      </c>
      <c r="BL160" s="3">
        <v>55500</v>
      </c>
      <c r="BM160" s="2">
        <f t="shared" ca="1" si="5"/>
        <v>6</v>
      </c>
      <c r="BN160" s="3" t="s">
        <v>2916</v>
      </c>
      <c r="BO160" s="3">
        <v>2000000</v>
      </c>
      <c r="BP160" s="3">
        <v>50000</v>
      </c>
      <c r="BQ160" s="3">
        <v>50000</v>
      </c>
      <c r="BR160" s="3">
        <v>250000</v>
      </c>
      <c r="BS160" t="s">
        <v>2916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 t="s">
        <v>2942</v>
      </c>
      <c r="CA160" t="s">
        <v>2006</v>
      </c>
      <c r="CB160" t="s">
        <v>2006</v>
      </c>
    </row>
    <row r="161" spans="1:80" x14ac:dyDescent="0.25">
      <c r="A161">
        <v>159</v>
      </c>
      <c r="B161" t="s">
        <v>2178</v>
      </c>
      <c r="C161" s="1">
        <v>44859</v>
      </c>
      <c r="D161" s="2">
        <v>30</v>
      </c>
      <c r="E161" t="s">
        <v>4</v>
      </c>
      <c r="F161" t="s">
        <v>1311</v>
      </c>
      <c r="G161">
        <v>1</v>
      </c>
      <c r="H161" s="3">
        <v>1600000</v>
      </c>
      <c r="I161" s="3">
        <v>330000</v>
      </c>
      <c r="J161" s="3">
        <v>0</v>
      </c>
      <c r="K161" s="3">
        <v>0</v>
      </c>
      <c r="L161" s="3" t="s">
        <v>1191</v>
      </c>
      <c r="M161">
        <v>1828651</v>
      </c>
      <c r="N161" t="s">
        <v>387</v>
      </c>
      <c r="P161" t="s">
        <v>388</v>
      </c>
      <c r="Q161" t="s">
        <v>13</v>
      </c>
      <c r="R161">
        <v>1830</v>
      </c>
      <c r="S161" t="s">
        <v>75</v>
      </c>
      <c r="T161" t="s">
        <v>968</v>
      </c>
      <c r="U161">
        <v>0</v>
      </c>
      <c r="V161" t="s">
        <v>1073</v>
      </c>
      <c r="W161" t="s">
        <v>1194</v>
      </c>
      <c r="X161" t="s">
        <v>973</v>
      </c>
      <c r="Y161">
        <v>10000</v>
      </c>
      <c r="Z161" s="2">
        <v>5</v>
      </c>
      <c r="AA161" s="2" t="s">
        <v>1238</v>
      </c>
      <c r="AB161" t="s">
        <v>1238</v>
      </c>
      <c r="AC161">
        <v>871</v>
      </c>
      <c r="AD161" t="s">
        <v>1279</v>
      </c>
      <c r="AE161">
        <v>9</v>
      </c>
      <c r="AF161" t="s">
        <v>1290</v>
      </c>
      <c r="AG161">
        <v>0</v>
      </c>
      <c r="AH161">
        <v>0</v>
      </c>
      <c r="AI161">
        <v>0</v>
      </c>
      <c r="AJ161">
        <v>2021</v>
      </c>
      <c r="AK161" t="s">
        <v>1194</v>
      </c>
      <c r="AL161" t="s">
        <v>1194</v>
      </c>
      <c r="AM161" s="4" t="s">
        <v>1238</v>
      </c>
      <c r="AN161">
        <v>0</v>
      </c>
      <c r="AO161" t="s">
        <v>1317</v>
      </c>
      <c r="AP161">
        <f t="shared" si="4"/>
        <v>0</v>
      </c>
      <c r="AQ161">
        <v>1</v>
      </c>
      <c r="AR161" t="s">
        <v>1992</v>
      </c>
      <c r="AS161" t="s">
        <v>1995</v>
      </c>
      <c r="AT161" t="s">
        <v>1996</v>
      </c>
      <c r="AU161" t="s">
        <v>1995</v>
      </c>
      <c r="AV161" t="s">
        <v>1996</v>
      </c>
      <c r="AW161" t="s">
        <v>1995</v>
      </c>
      <c r="AX161" t="s">
        <v>2006</v>
      </c>
      <c r="AY161" t="s">
        <v>1996</v>
      </c>
      <c r="AZ161">
        <v>3000</v>
      </c>
      <c r="BA161" t="s">
        <v>1194</v>
      </c>
      <c r="BB161" t="s">
        <v>1194</v>
      </c>
      <c r="BC161" s="3">
        <v>4960.2461999999996</v>
      </c>
      <c r="BD161" s="3">
        <v>713.08</v>
      </c>
      <c r="BE161" s="3">
        <v>0</v>
      </c>
      <c r="BF161" s="3">
        <v>0</v>
      </c>
      <c r="BG161" s="3">
        <v>0</v>
      </c>
      <c r="BH161" s="3">
        <v>0</v>
      </c>
      <c r="BI161" s="3">
        <v>2433</v>
      </c>
      <c r="BJ161" s="3">
        <v>8106</v>
      </c>
      <c r="BK161" s="3">
        <v>0</v>
      </c>
      <c r="BL161" s="3">
        <v>8106</v>
      </c>
      <c r="BM161" s="2">
        <f t="shared" ca="1" si="5"/>
        <v>5</v>
      </c>
      <c r="BN161" s="3">
        <v>500000</v>
      </c>
      <c r="BO161" s="3">
        <v>250000</v>
      </c>
      <c r="BP161" s="3">
        <v>200000</v>
      </c>
      <c r="BQ161" s="3">
        <v>50000</v>
      </c>
      <c r="BR161" s="3">
        <v>250000</v>
      </c>
      <c r="BS161">
        <v>1000000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 t="s">
        <v>2942</v>
      </c>
      <c r="CA161" t="s">
        <v>2006</v>
      </c>
      <c r="CB161" t="s">
        <v>2006</v>
      </c>
    </row>
    <row r="162" spans="1:80" x14ac:dyDescent="0.25">
      <c r="A162">
        <v>160</v>
      </c>
      <c r="B162" t="s">
        <v>2179</v>
      </c>
      <c r="C162" s="1">
        <v>44895</v>
      </c>
      <c r="D162" s="2">
        <v>33</v>
      </c>
      <c r="E162" t="s">
        <v>4</v>
      </c>
      <c r="F162" t="s">
        <v>1311</v>
      </c>
      <c r="G162">
        <v>1</v>
      </c>
      <c r="H162" s="3">
        <v>1600000</v>
      </c>
      <c r="I162" s="3">
        <v>75000</v>
      </c>
      <c r="J162" s="3">
        <v>0</v>
      </c>
      <c r="K162" s="3">
        <v>0</v>
      </c>
      <c r="L162" s="3" t="s">
        <v>1191</v>
      </c>
      <c r="M162">
        <v>1797689</v>
      </c>
      <c r="N162" t="s">
        <v>389</v>
      </c>
      <c r="P162" t="s">
        <v>178</v>
      </c>
      <c r="Q162" t="s">
        <v>18</v>
      </c>
      <c r="R162">
        <v>77007</v>
      </c>
      <c r="S162" t="s">
        <v>44</v>
      </c>
      <c r="T162" t="s">
        <v>968</v>
      </c>
      <c r="U162">
        <v>0</v>
      </c>
      <c r="V162" t="s">
        <v>1007</v>
      </c>
      <c r="W162" t="s">
        <v>1195</v>
      </c>
      <c r="X162" t="s">
        <v>973</v>
      </c>
      <c r="Y162">
        <v>10000</v>
      </c>
      <c r="Z162" s="2">
        <v>2</v>
      </c>
      <c r="AA162" s="2">
        <v>0</v>
      </c>
      <c r="AB162" t="s">
        <v>1238</v>
      </c>
      <c r="AC162">
        <v>886</v>
      </c>
      <c r="AD162" t="s">
        <v>1284</v>
      </c>
      <c r="AE162">
        <v>1</v>
      </c>
      <c r="AF162" t="s">
        <v>1290</v>
      </c>
      <c r="AG162">
        <v>0</v>
      </c>
      <c r="AH162">
        <v>0</v>
      </c>
      <c r="AI162">
        <v>0</v>
      </c>
      <c r="AJ162">
        <v>1996</v>
      </c>
      <c r="AK162" t="s">
        <v>1194</v>
      </c>
      <c r="AL162">
        <v>2017</v>
      </c>
      <c r="AM162" s="4" t="s">
        <v>1238</v>
      </c>
      <c r="AN162">
        <v>0</v>
      </c>
      <c r="AO162" t="s">
        <v>1315</v>
      </c>
      <c r="AP162">
        <f t="shared" si="4"/>
        <v>0</v>
      </c>
      <c r="AQ162">
        <v>1</v>
      </c>
      <c r="AR162" t="s">
        <v>1992</v>
      </c>
      <c r="AS162" t="s">
        <v>1996</v>
      </c>
      <c r="AT162" t="s">
        <v>1996</v>
      </c>
      <c r="AU162" t="s">
        <v>1996</v>
      </c>
      <c r="AV162" t="s">
        <v>1995</v>
      </c>
      <c r="AW162" t="s">
        <v>1995</v>
      </c>
      <c r="AX162" t="s">
        <v>2003</v>
      </c>
      <c r="AY162" t="s">
        <v>1996</v>
      </c>
      <c r="AZ162">
        <v>3985</v>
      </c>
      <c r="BA162" t="s">
        <v>1194</v>
      </c>
      <c r="BB162" t="s">
        <v>1194</v>
      </c>
      <c r="BC162" s="3">
        <v>3976.4346999999998</v>
      </c>
      <c r="BD162" s="3">
        <v>4183.6499999999996</v>
      </c>
      <c r="BE162" s="3">
        <v>0</v>
      </c>
      <c r="BF162" s="3">
        <v>0</v>
      </c>
      <c r="BG162" s="3">
        <v>120</v>
      </c>
      <c r="BH162" s="3">
        <v>0</v>
      </c>
      <c r="BI162" s="3">
        <v>5120</v>
      </c>
      <c r="BJ162" s="3">
        <v>13400</v>
      </c>
      <c r="BK162" s="3">
        <v>150</v>
      </c>
      <c r="BL162" s="3">
        <v>13550</v>
      </c>
      <c r="BM162" s="2">
        <f t="shared" ca="1" si="5"/>
        <v>5</v>
      </c>
      <c r="BN162" s="3">
        <v>100000</v>
      </c>
      <c r="BO162" s="3">
        <v>500000</v>
      </c>
      <c r="BP162" s="3">
        <v>50000</v>
      </c>
      <c r="BQ162" s="3">
        <v>1000000</v>
      </c>
      <c r="BR162" s="3">
        <v>50000</v>
      </c>
      <c r="BS162">
        <v>250000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 t="s">
        <v>2942</v>
      </c>
      <c r="CA162" t="s">
        <v>2006</v>
      </c>
      <c r="CB162" t="s">
        <v>2941</v>
      </c>
    </row>
    <row r="163" spans="1:80" x14ac:dyDescent="0.25">
      <c r="A163">
        <v>161</v>
      </c>
      <c r="B163" t="s">
        <v>2180</v>
      </c>
      <c r="C163" s="1">
        <v>44949</v>
      </c>
      <c r="D163" s="2">
        <v>3</v>
      </c>
      <c r="E163" t="s">
        <v>4</v>
      </c>
      <c r="F163" t="s">
        <v>1310</v>
      </c>
      <c r="G163">
        <v>0</v>
      </c>
      <c r="H163" s="3">
        <v>20000000</v>
      </c>
      <c r="I163" s="3">
        <v>0</v>
      </c>
      <c r="J163" s="3">
        <v>0</v>
      </c>
      <c r="K163" s="3">
        <v>0</v>
      </c>
      <c r="L163" s="3" t="s">
        <v>1191</v>
      </c>
      <c r="M163">
        <v>2043241</v>
      </c>
      <c r="N163" t="s">
        <v>390</v>
      </c>
      <c r="P163" t="s">
        <v>391</v>
      </c>
      <c r="Q163" t="s">
        <v>15</v>
      </c>
      <c r="R163">
        <v>33606</v>
      </c>
      <c r="S163" t="s">
        <v>82</v>
      </c>
      <c r="T163" t="s">
        <v>964</v>
      </c>
      <c r="U163">
        <v>1</v>
      </c>
      <c r="V163" t="s">
        <v>1074</v>
      </c>
      <c r="W163" t="s">
        <v>1194</v>
      </c>
      <c r="X163" t="s">
        <v>1309</v>
      </c>
      <c r="Y163">
        <v>1000000</v>
      </c>
      <c r="Z163" s="2">
        <v>25</v>
      </c>
      <c r="AA163" s="2" t="s">
        <v>1238</v>
      </c>
      <c r="AB163" t="s">
        <v>1238</v>
      </c>
      <c r="AC163">
        <v>867</v>
      </c>
      <c r="AD163" t="s">
        <v>1280</v>
      </c>
      <c r="AE163">
        <v>2</v>
      </c>
      <c r="AF163" t="s">
        <v>1291</v>
      </c>
      <c r="AG163">
        <v>0</v>
      </c>
      <c r="AH163">
        <v>0</v>
      </c>
      <c r="AI163">
        <v>0</v>
      </c>
      <c r="AJ163">
        <v>2022</v>
      </c>
      <c r="AK163" t="s">
        <v>1194</v>
      </c>
      <c r="AL163" t="s">
        <v>1194</v>
      </c>
      <c r="AM163" s="4" t="s">
        <v>1304</v>
      </c>
      <c r="AN163">
        <v>0</v>
      </c>
      <c r="AO163" t="s">
        <v>1315</v>
      </c>
      <c r="AP163">
        <f t="shared" si="4"/>
        <v>0</v>
      </c>
      <c r="AQ163">
        <v>1</v>
      </c>
      <c r="AR163" t="s">
        <v>1992</v>
      </c>
      <c r="AS163" t="s">
        <v>1995</v>
      </c>
      <c r="AT163" t="s">
        <v>1995</v>
      </c>
      <c r="AU163" t="s">
        <v>1996</v>
      </c>
      <c r="AV163" t="s">
        <v>1996</v>
      </c>
      <c r="AW163" t="s">
        <v>1996</v>
      </c>
      <c r="AX163" t="s">
        <v>2007</v>
      </c>
      <c r="AY163" t="s">
        <v>1995</v>
      </c>
      <c r="AZ163">
        <v>13022</v>
      </c>
      <c r="BA163" t="s">
        <v>1194</v>
      </c>
      <c r="BB163" t="s">
        <v>1194</v>
      </c>
      <c r="BC163" s="3">
        <v>13716.648800000001</v>
      </c>
      <c r="BD163" s="3">
        <v>17117.73</v>
      </c>
      <c r="BE163" s="3">
        <v>0</v>
      </c>
      <c r="BF163" s="3">
        <v>0</v>
      </c>
      <c r="BG163" s="3">
        <v>300</v>
      </c>
      <c r="BH163" s="3">
        <v>0</v>
      </c>
      <c r="BI163" s="3">
        <v>211595</v>
      </c>
      <c r="BJ163" s="3">
        <v>242729</v>
      </c>
      <c r="BK163" s="3">
        <v>750</v>
      </c>
      <c r="BL163" s="3">
        <v>243479</v>
      </c>
      <c r="BM163" s="2">
        <f t="shared" ca="1" si="5"/>
        <v>4</v>
      </c>
      <c r="BN163" s="3">
        <v>500000</v>
      </c>
      <c r="BO163" s="3">
        <v>1000000</v>
      </c>
      <c r="BP163" s="3">
        <v>50000</v>
      </c>
      <c r="BQ163" s="3">
        <v>250000</v>
      </c>
      <c r="BR163" s="3">
        <v>50000</v>
      </c>
      <c r="BS163">
        <v>100000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 t="s">
        <v>2940</v>
      </c>
      <c r="CA163" t="s">
        <v>2939</v>
      </c>
      <c r="CB163" t="s">
        <v>2946</v>
      </c>
    </row>
    <row r="164" spans="1:80" x14ac:dyDescent="0.25">
      <c r="A164">
        <v>162</v>
      </c>
      <c r="B164" t="s">
        <v>2181</v>
      </c>
      <c r="C164" s="1">
        <v>44848</v>
      </c>
      <c r="D164" s="2">
        <v>30</v>
      </c>
      <c r="E164" t="s">
        <v>4</v>
      </c>
      <c r="F164" t="s">
        <v>1311</v>
      </c>
      <c r="G164">
        <v>1</v>
      </c>
      <c r="H164" s="3">
        <v>13500000</v>
      </c>
      <c r="I164" s="3">
        <v>0</v>
      </c>
      <c r="J164" s="3">
        <v>0</v>
      </c>
      <c r="K164" s="3">
        <v>0</v>
      </c>
      <c r="L164" s="3" t="s">
        <v>1191</v>
      </c>
      <c r="M164">
        <v>1992826</v>
      </c>
      <c r="N164" t="s">
        <v>392</v>
      </c>
      <c r="P164" t="s">
        <v>62</v>
      </c>
      <c r="Q164" t="s">
        <v>19</v>
      </c>
      <c r="R164">
        <v>94115</v>
      </c>
      <c r="S164" t="s">
        <v>62</v>
      </c>
      <c r="T164" t="s">
        <v>977</v>
      </c>
      <c r="U164">
        <v>0</v>
      </c>
      <c r="V164">
        <v>33</v>
      </c>
      <c r="W164" t="s">
        <v>1198</v>
      </c>
      <c r="X164" t="s">
        <v>973</v>
      </c>
      <c r="Y164">
        <v>25000</v>
      </c>
      <c r="Z164" s="2" t="s">
        <v>1194</v>
      </c>
      <c r="AA164" s="2" t="s">
        <v>1238</v>
      </c>
      <c r="AB164" t="s">
        <v>1238</v>
      </c>
      <c r="AC164" t="s">
        <v>1194</v>
      </c>
      <c r="AD164" t="s">
        <v>1279</v>
      </c>
      <c r="AE164">
        <v>1</v>
      </c>
      <c r="AF164" t="s">
        <v>1290</v>
      </c>
      <c r="AG164">
        <v>0</v>
      </c>
      <c r="AH164">
        <v>0</v>
      </c>
      <c r="AI164">
        <v>0</v>
      </c>
      <c r="AJ164">
        <v>2016</v>
      </c>
      <c r="AK164" t="s">
        <v>1194</v>
      </c>
      <c r="AL164" t="s">
        <v>1194</v>
      </c>
      <c r="AM164" s="4" t="s">
        <v>1238</v>
      </c>
      <c r="AN164">
        <v>1</v>
      </c>
      <c r="AO164" t="s">
        <v>1315</v>
      </c>
      <c r="AP164">
        <f t="shared" si="4"/>
        <v>0</v>
      </c>
      <c r="AQ164">
        <v>1</v>
      </c>
      <c r="AR164" t="s">
        <v>1992</v>
      </c>
      <c r="AS164" t="s">
        <v>1995</v>
      </c>
      <c r="AT164" t="s">
        <v>1996</v>
      </c>
      <c r="AU164" t="s">
        <v>1995</v>
      </c>
      <c r="AV164" t="s">
        <v>1996</v>
      </c>
      <c r="AW164" t="s">
        <v>1995</v>
      </c>
      <c r="AX164" t="s">
        <v>1194</v>
      </c>
      <c r="AY164" t="s">
        <v>1996</v>
      </c>
      <c r="AZ164">
        <v>6294</v>
      </c>
      <c r="BA164" t="s">
        <v>1194</v>
      </c>
      <c r="BB164" t="s">
        <v>2014</v>
      </c>
      <c r="BC164" s="3">
        <v>0</v>
      </c>
      <c r="BD164" s="3">
        <v>0</v>
      </c>
      <c r="BE164" s="3">
        <v>15014.91</v>
      </c>
      <c r="BF164" s="3">
        <v>11246.98</v>
      </c>
      <c r="BG164" s="3">
        <v>150</v>
      </c>
      <c r="BH164" s="3">
        <v>0</v>
      </c>
      <c r="BI164" s="3">
        <v>88338</v>
      </c>
      <c r="BJ164" s="3">
        <v>114749.89</v>
      </c>
      <c r="BK164" s="3">
        <v>0</v>
      </c>
      <c r="BL164" s="3">
        <v>114749.89</v>
      </c>
      <c r="BM164" s="2">
        <f t="shared" ca="1" si="5"/>
        <v>1</v>
      </c>
      <c r="BN164" s="3">
        <v>50000</v>
      </c>
      <c r="BO164" s="3">
        <v>25000</v>
      </c>
      <c r="BP164" s="3" t="s">
        <v>2922</v>
      </c>
      <c r="BQ164" s="3">
        <v>1000000</v>
      </c>
      <c r="BR164" s="3">
        <v>50000</v>
      </c>
      <c r="BS164">
        <v>1000000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 t="s">
        <v>2951</v>
      </c>
      <c r="CA164" t="s">
        <v>1194</v>
      </c>
      <c r="CB164" t="s">
        <v>2952</v>
      </c>
    </row>
    <row r="165" spans="1:80" x14ac:dyDescent="0.25">
      <c r="A165">
        <v>163</v>
      </c>
      <c r="B165" t="s">
        <v>2182</v>
      </c>
      <c r="C165" s="1">
        <v>44963</v>
      </c>
      <c r="D165" s="2">
        <v>6</v>
      </c>
      <c r="E165" t="s">
        <v>4</v>
      </c>
      <c r="F165" t="s">
        <v>1310</v>
      </c>
      <c r="G165">
        <v>0</v>
      </c>
      <c r="H165" s="3">
        <v>1200000</v>
      </c>
      <c r="I165" s="3">
        <v>15000</v>
      </c>
      <c r="J165" s="3">
        <v>0</v>
      </c>
      <c r="K165" s="3">
        <v>0</v>
      </c>
      <c r="L165" s="3" t="s">
        <v>1191</v>
      </c>
      <c r="M165">
        <v>826681</v>
      </c>
      <c r="N165" t="s">
        <v>393</v>
      </c>
      <c r="P165" t="s">
        <v>25</v>
      </c>
      <c r="Q165" t="s">
        <v>13</v>
      </c>
      <c r="R165">
        <v>2554</v>
      </c>
      <c r="S165" t="s">
        <v>25</v>
      </c>
      <c r="T165" t="s">
        <v>962</v>
      </c>
      <c r="U165">
        <v>0</v>
      </c>
      <c r="V165" t="s">
        <v>983</v>
      </c>
      <c r="W165" t="s">
        <v>1194</v>
      </c>
      <c r="X165" t="s">
        <v>973</v>
      </c>
      <c r="Y165">
        <v>10000</v>
      </c>
      <c r="Z165" s="2">
        <v>2</v>
      </c>
      <c r="AA165" s="2" t="s">
        <v>1238</v>
      </c>
      <c r="AB165" t="s">
        <v>1238</v>
      </c>
      <c r="AC165">
        <v>901</v>
      </c>
      <c r="AD165" t="s">
        <v>1279</v>
      </c>
      <c r="AE165">
        <v>3</v>
      </c>
      <c r="AF165" t="s">
        <v>1290</v>
      </c>
      <c r="AG165">
        <v>0</v>
      </c>
      <c r="AH165">
        <v>0</v>
      </c>
      <c r="AI165">
        <v>0</v>
      </c>
      <c r="AJ165">
        <v>2022</v>
      </c>
      <c r="AK165" t="s">
        <v>1194</v>
      </c>
      <c r="AL165" t="s">
        <v>1194</v>
      </c>
      <c r="AM165" s="4" t="s">
        <v>1304</v>
      </c>
      <c r="AN165">
        <v>1</v>
      </c>
      <c r="AO165" t="s">
        <v>1316</v>
      </c>
      <c r="AP165">
        <f t="shared" si="4"/>
        <v>0</v>
      </c>
      <c r="AQ165">
        <v>1</v>
      </c>
      <c r="AR165" t="s">
        <v>1992</v>
      </c>
      <c r="AS165" t="s">
        <v>1996</v>
      </c>
      <c r="AT165" t="s">
        <v>1996</v>
      </c>
      <c r="AU165" t="s">
        <v>1995</v>
      </c>
      <c r="AV165" t="s">
        <v>1995</v>
      </c>
      <c r="AW165" t="s">
        <v>1995</v>
      </c>
      <c r="AX165" t="s">
        <v>2006</v>
      </c>
      <c r="AY165" t="s">
        <v>1996</v>
      </c>
      <c r="AZ165">
        <v>1300</v>
      </c>
      <c r="BA165" t="s">
        <v>1194</v>
      </c>
      <c r="BB165" t="s">
        <v>1194</v>
      </c>
      <c r="BC165" s="3">
        <v>2500.2579000000001</v>
      </c>
      <c r="BD165" s="3">
        <v>3096.78</v>
      </c>
      <c r="BE165" s="3">
        <v>0</v>
      </c>
      <c r="BF165" s="3">
        <v>0</v>
      </c>
      <c r="BG165" s="3">
        <v>0</v>
      </c>
      <c r="BH165" s="3">
        <v>0</v>
      </c>
      <c r="BI165" s="3">
        <v>1328</v>
      </c>
      <c r="BJ165" s="3">
        <v>6925</v>
      </c>
      <c r="BK165" s="3">
        <v>0</v>
      </c>
      <c r="BL165" s="3">
        <v>6925</v>
      </c>
      <c r="BM165" s="2">
        <f t="shared" ca="1" si="5"/>
        <v>2</v>
      </c>
      <c r="BN165" s="3">
        <v>500000</v>
      </c>
      <c r="BO165" s="3">
        <v>50000</v>
      </c>
      <c r="BP165" s="3" t="s">
        <v>2922</v>
      </c>
      <c r="BQ165" s="3">
        <v>50000</v>
      </c>
      <c r="BR165" s="3">
        <v>2000000</v>
      </c>
      <c r="BS165">
        <v>1000000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 t="s">
        <v>2942</v>
      </c>
      <c r="CA165" t="s">
        <v>2006</v>
      </c>
      <c r="CB165" t="s">
        <v>2006</v>
      </c>
    </row>
    <row r="166" spans="1:80" x14ac:dyDescent="0.25">
      <c r="A166">
        <v>164</v>
      </c>
      <c r="B166" t="s">
        <v>2183</v>
      </c>
      <c r="C166" s="1">
        <v>44914</v>
      </c>
      <c r="D166" s="2">
        <v>36</v>
      </c>
      <c r="E166" t="s">
        <v>4</v>
      </c>
      <c r="F166" t="s">
        <v>1311</v>
      </c>
      <c r="G166">
        <v>0</v>
      </c>
      <c r="H166" s="3">
        <v>0</v>
      </c>
      <c r="I166" s="3">
        <v>0</v>
      </c>
      <c r="J166" s="3">
        <v>550000</v>
      </c>
      <c r="K166" s="3">
        <v>0</v>
      </c>
      <c r="L166" s="3" t="s">
        <v>1192</v>
      </c>
      <c r="M166">
        <v>2011514</v>
      </c>
      <c r="N166" t="s">
        <v>394</v>
      </c>
      <c r="P166" t="s">
        <v>155</v>
      </c>
      <c r="Q166" t="s">
        <v>15</v>
      </c>
      <c r="R166">
        <v>33131</v>
      </c>
      <c r="S166" t="s">
        <v>33</v>
      </c>
      <c r="T166" t="s">
        <v>964</v>
      </c>
      <c r="U166">
        <v>0</v>
      </c>
      <c r="V166" t="s">
        <v>1046</v>
      </c>
      <c r="W166" t="s">
        <v>1194</v>
      </c>
      <c r="X166" t="s">
        <v>973</v>
      </c>
      <c r="Y166">
        <v>10000</v>
      </c>
      <c r="Z166" s="2">
        <v>5</v>
      </c>
      <c r="AA166" s="2" t="s">
        <v>1238</v>
      </c>
      <c r="AB166" t="s">
        <v>1238</v>
      </c>
      <c r="AC166">
        <v>935</v>
      </c>
      <c r="AD166" t="s">
        <v>1281</v>
      </c>
      <c r="AE166">
        <v>1</v>
      </c>
      <c r="AF166" t="s">
        <v>1291</v>
      </c>
      <c r="AG166">
        <v>0</v>
      </c>
      <c r="AH166">
        <v>0</v>
      </c>
      <c r="AI166">
        <v>0</v>
      </c>
      <c r="AJ166">
        <v>2003</v>
      </c>
      <c r="AK166" t="s">
        <v>1194</v>
      </c>
      <c r="AL166" t="s">
        <v>1194</v>
      </c>
      <c r="AM166" s="4" t="s">
        <v>1238</v>
      </c>
      <c r="AN166">
        <v>0</v>
      </c>
      <c r="AO166" t="s">
        <v>1315</v>
      </c>
      <c r="AP166">
        <f t="shared" si="4"/>
        <v>0</v>
      </c>
      <c r="AQ166">
        <v>0</v>
      </c>
      <c r="AR166" t="s">
        <v>1993</v>
      </c>
      <c r="AS166" t="s">
        <v>1995</v>
      </c>
      <c r="AT166" t="s">
        <v>1995</v>
      </c>
      <c r="AU166" t="s">
        <v>1996</v>
      </c>
      <c r="AV166" t="s">
        <v>1996</v>
      </c>
      <c r="AW166" t="s">
        <v>1996</v>
      </c>
      <c r="AX166" t="s">
        <v>2007</v>
      </c>
      <c r="AY166" t="s">
        <v>1995</v>
      </c>
      <c r="AZ166">
        <v>1000</v>
      </c>
      <c r="BA166" t="s">
        <v>1194</v>
      </c>
      <c r="BB166" t="s">
        <v>1194</v>
      </c>
      <c r="BC166" s="3">
        <v>1570.8413</v>
      </c>
      <c r="BD166" s="3">
        <v>6462.98</v>
      </c>
      <c r="BE166" s="3">
        <v>0</v>
      </c>
      <c r="BF166" s="3">
        <v>0</v>
      </c>
      <c r="BG166" s="3">
        <v>200</v>
      </c>
      <c r="BH166" s="3">
        <v>0</v>
      </c>
      <c r="BI166" s="3">
        <v>0</v>
      </c>
      <c r="BJ166" s="3">
        <v>8234</v>
      </c>
      <c r="BK166" s="3">
        <v>0</v>
      </c>
      <c r="BL166" s="3">
        <v>8234</v>
      </c>
      <c r="BM166" s="2">
        <f t="shared" ca="1" si="5"/>
        <v>5</v>
      </c>
      <c r="BN166" s="3">
        <v>50000</v>
      </c>
      <c r="BO166" s="3">
        <v>25000</v>
      </c>
      <c r="BP166" s="3">
        <v>100000</v>
      </c>
      <c r="BQ166" s="3">
        <v>50000</v>
      </c>
      <c r="BR166" s="3">
        <v>250000</v>
      </c>
      <c r="BS166">
        <v>50000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 t="s">
        <v>2940</v>
      </c>
      <c r="CA166" t="s">
        <v>2939</v>
      </c>
      <c r="CB166" t="s">
        <v>2946</v>
      </c>
    </row>
    <row r="167" spans="1:80" x14ac:dyDescent="0.25">
      <c r="A167">
        <v>165</v>
      </c>
      <c r="B167" t="s">
        <v>2184</v>
      </c>
      <c r="C167" s="1">
        <v>44826</v>
      </c>
      <c r="D167" s="2">
        <v>27</v>
      </c>
      <c r="E167" t="s">
        <v>4</v>
      </c>
      <c r="F167" t="s">
        <v>1311</v>
      </c>
      <c r="G167">
        <v>1</v>
      </c>
      <c r="H167" s="3">
        <v>9300000</v>
      </c>
      <c r="I167" s="3">
        <v>700000</v>
      </c>
      <c r="J167" s="3">
        <v>0</v>
      </c>
      <c r="K167" s="3">
        <v>0</v>
      </c>
      <c r="L167" s="3" t="s">
        <v>1191</v>
      </c>
      <c r="M167">
        <v>839693</v>
      </c>
      <c r="N167" t="s">
        <v>395</v>
      </c>
      <c r="P167" t="s">
        <v>46</v>
      </c>
      <c r="Q167" t="s">
        <v>19</v>
      </c>
      <c r="R167">
        <v>90069</v>
      </c>
      <c r="S167" t="s">
        <v>46</v>
      </c>
      <c r="T167" t="s">
        <v>965</v>
      </c>
      <c r="U167">
        <v>0</v>
      </c>
      <c r="V167">
        <v>41</v>
      </c>
      <c r="W167" t="s">
        <v>1197</v>
      </c>
      <c r="X167" t="s">
        <v>973</v>
      </c>
      <c r="Y167">
        <v>250000</v>
      </c>
      <c r="Z167" s="2" t="s">
        <v>1194</v>
      </c>
      <c r="AA167" s="2" t="s">
        <v>1238</v>
      </c>
      <c r="AB167" t="s">
        <v>1238</v>
      </c>
      <c r="AC167" t="s">
        <v>1194</v>
      </c>
      <c r="AD167" t="s">
        <v>1279</v>
      </c>
      <c r="AE167">
        <v>1</v>
      </c>
      <c r="AF167" t="s">
        <v>1290</v>
      </c>
      <c r="AG167">
        <v>0</v>
      </c>
      <c r="AH167">
        <v>0</v>
      </c>
      <c r="AI167">
        <v>0</v>
      </c>
      <c r="AJ167">
        <v>2022</v>
      </c>
      <c r="AK167" t="s">
        <v>1194</v>
      </c>
      <c r="AL167">
        <v>2013</v>
      </c>
      <c r="AM167" s="4" t="s">
        <v>1238</v>
      </c>
      <c r="AN167">
        <v>0</v>
      </c>
      <c r="AO167" t="s">
        <v>1315</v>
      </c>
      <c r="AP167">
        <f t="shared" si="4"/>
        <v>0</v>
      </c>
      <c r="AQ167">
        <v>1</v>
      </c>
      <c r="AR167" t="s">
        <v>1992</v>
      </c>
      <c r="AS167" t="s">
        <v>1996</v>
      </c>
      <c r="AT167" t="s">
        <v>1996</v>
      </c>
      <c r="AU167" t="s">
        <v>1996</v>
      </c>
      <c r="AV167" t="s">
        <v>1995</v>
      </c>
      <c r="AW167" t="s">
        <v>1996</v>
      </c>
      <c r="AX167" t="s">
        <v>1194</v>
      </c>
      <c r="AY167" t="s">
        <v>1996</v>
      </c>
      <c r="AZ167">
        <v>6191</v>
      </c>
      <c r="BA167">
        <v>-2</v>
      </c>
      <c r="BB167" t="s">
        <v>2015</v>
      </c>
      <c r="BC167" s="3">
        <v>0</v>
      </c>
      <c r="BD167" s="3">
        <v>0</v>
      </c>
      <c r="BE167" s="3">
        <v>6790.62</v>
      </c>
      <c r="BF167" s="3">
        <v>73854.210000000006</v>
      </c>
      <c r="BG167" s="3">
        <v>150</v>
      </c>
      <c r="BH167" s="3">
        <v>0</v>
      </c>
      <c r="BI167" s="3">
        <v>45102</v>
      </c>
      <c r="BJ167" s="3">
        <v>125896.83</v>
      </c>
      <c r="BK167" s="3">
        <v>0</v>
      </c>
      <c r="BL167" s="3">
        <v>125896.83</v>
      </c>
      <c r="BM167" s="2">
        <f t="shared" ca="1" si="5"/>
        <v>2</v>
      </c>
      <c r="BN167" s="3">
        <v>2000000</v>
      </c>
      <c r="BO167" s="3">
        <v>25000</v>
      </c>
      <c r="BP167" s="3">
        <v>200000</v>
      </c>
      <c r="BQ167" s="3">
        <v>1000000</v>
      </c>
      <c r="BR167" s="3">
        <v>1000000</v>
      </c>
      <c r="BS167">
        <v>1000000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 t="s">
        <v>2948</v>
      </c>
      <c r="CA167" t="s">
        <v>1194</v>
      </c>
      <c r="CB167" t="s">
        <v>2941</v>
      </c>
    </row>
    <row r="168" spans="1:80" x14ac:dyDescent="0.25">
      <c r="A168">
        <v>166</v>
      </c>
      <c r="B168" t="s">
        <v>2185</v>
      </c>
      <c r="C168" s="1">
        <v>44851</v>
      </c>
      <c r="D168" s="2">
        <v>30</v>
      </c>
      <c r="E168" t="s">
        <v>4</v>
      </c>
      <c r="F168" t="s">
        <v>1311</v>
      </c>
      <c r="G168">
        <v>0</v>
      </c>
      <c r="H168" s="3">
        <v>5000000</v>
      </c>
      <c r="I168" s="3">
        <v>0</v>
      </c>
      <c r="J168" s="3">
        <v>0</v>
      </c>
      <c r="K168" s="3">
        <v>0</v>
      </c>
      <c r="L168" s="3" t="s">
        <v>1191</v>
      </c>
      <c r="M168">
        <v>139942</v>
      </c>
      <c r="N168" t="s">
        <v>396</v>
      </c>
      <c r="P168" t="s">
        <v>397</v>
      </c>
      <c r="Q168" t="s">
        <v>15</v>
      </c>
      <c r="R168">
        <v>33037</v>
      </c>
      <c r="S168" t="s">
        <v>41</v>
      </c>
      <c r="T168" t="s">
        <v>967</v>
      </c>
      <c r="U168">
        <v>1</v>
      </c>
      <c r="V168" t="s">
        <v>1004</v>
      </c>
      <c r="W168" t="s">
        <v>1194</v>
      </c>
      <c r="X168" t="s">
        <v>1309</v>
      </c>
      <c r="Y168">
        <v>250000</v>
      </c>
      <c r="Z168" s="2">
        <v>25</v>
      </c>
      <c r="AA168" s="2" t="s">
        <v>1238</v>
      </c>
      <c r="AB168" t="s">
        <v>1238</v>
      </c>
      <c r="AC168">
        <v>925</v>
      </c>
      <c r="AD168" t="s">
        <v>1280</v>
      </c>
      <c r="AE168">
        <v>3</v>
      </c>
      <c r="AF168" t="s">
        <v>1292</v>
      </c>
      <c r="AG168">
        <v>0</v>
      </c>
      <c r="AH168">
        <v>0</v>
      </c>
      <c r="AI168">
        <v>0</v>
      </c>
      <c r="AJ168">
        <v>2022</v>
      </c>
      <c r="AK168" t="s">
        <v>1194</v>
      </c>
      <c r="AL168" t="s">
        <v>1194</v>
      </c>
      <c r="AM168" s="4" t="s">
        <v>1238</v>
      </c>
      <c r="AN168">
        <v>1</v>
      </c>
      <c r="AO168" t="s">
        <v>1316</v>
      </c>
      <c r="AP168">
        <f t="shared" si="4"/>
        <v>0</v>
      </c>
      <c r="AQ168">
        <v>0</v>
      </c>
      <c r="AR168" t="s">
        <v>1993</v>
      </c>
      <c r="AS168" t="s">
        <v>1995</v>
      </c>
      <c r="AT168" t="s">
        <v>1996</v>
      </c>
      <c r="AU168" t="s">
        <v>1996</v>
      </c>
      <c r="AV168" t="s">
        <v>1996</v>
      </c>
      <c r="AW168" t="s">
        <v>1995</v>
      </c>
      <c r="AX168" t="s">
        <v>2006</v>
      </c>
      <c r="AY168" t="s">
        <v>1996</v>
      </c>
      <c r="AZ168">
        <v>4060</v>
      </c>
      <c r="BA168" t="s">
        <v>1194</v>
      </c>
      <c r="BB168" t="s">
        <v>1194</v>
      </c>
      <c r="BC168" s="3">
        <v>3970.3355999999999</v>
      </c>
      <c r="BD168" s="3">
        <v>18090.75</v>
      </c>
      <c r="BE168" s="3">
        <v>0</v>
      </c>
      <c r="BF168" s="3">
        <v>0</v>
      </c>
      <c r="BG168" s="3">
        <v>0</v>
      </c>
      <c r="BH168" s="3">
        <v>0</v>
      </c>
      <c r="BI168" s="3">
        <v>277939</v>
      </c>
      <c r="BJ168" s="3">
        <v>300000</v>
      </c>
      <c r="BK168" s="3">
        <v>0</v>
      </c>
      <c r="BL168" s="3">
        <v>300000</v>
      </c>
      <c r="BM168" s="2">
        <f t="shared" ca="1" si="5"/>
        <v>2</v>
      </c>
      <c r="BN168" s="3">
        <v>1000000</v>
      </c>
      <c r="BO168" s="3">
        <v>100000</v>
      </c>
      <c r="BP168" s="3">
        <v>50000</v>
      </c>
      <c r="BQ168" s="3">
        <v>500000</v>
      </c>
      <c r="BR168" s="3">
        <v>250000</v>
      </c>
      <c r="BS168">
        <v>50000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 t="s">
        <v>2006</v>
      </c>
      <c r="CA168" t="s">
        <v>2006</v>
      </c>
      <c r="CB168" t="s">
        <v>2941</v>
      </c>
    </row>
    <row r="169" spans="1:80" x14ac:dyDescent="0.25">
      <c r="A169">
        <v>167</v>
      </c>
      <c r="B169" t="s">
        <v>2186</v>
      </c>
      <c r="C169" s="1">
        <v>44837</v>
      </c>
      <c r="D169" s="2">
        <v>30</v>
      </c>
      <c r="E169" t="s">
        <v>4</v>
      </c>
      <c r="F169" t="s">
        <v>1311</v>
      </c>
      <c r="G169">
        <v>0</v>
      </c>
      <c r="H169" s="3">
        <v>1820000</v>
      </c>
      <c r="I169" s="3">
        <v>0</v>
      </c>
      <c r="J169" s="3">
        <v>0</v>
      </c>
      <c r="K169" s="3">
        <v>0</v>
      </c>
      <c r="L169" s="3" t="s">
        <v>1191</v>
      </c>
      <c r="M169">
        <v>1890318</v>
      </c>
      <c r="N169" t="s">
        <v>398</v>
      </c>
      <c r="P169" t="s">
        <v>399</v>
      </c>
      <c r="Q169" t="s">
        <v>13</v>
      </c>
      <c r="R169">
        <v>1810</v>
      </c>
      <c r="S169" t="s">
        <v>75</v>
      </c>
      <c r="T169" t="s">
        <v>968</v>
      </c>
      <c r="U169">
        <v>0</v>
      </c>
      <c r="V169" t="s">
        <v>1075</v>
      </c>
      <c r="W169" t="s">
        <v>1194</v>
      </c>
      <c r="X169" t="s">
        <v>973</v>
      </c>
      <c r="Y169">
        <v>50000</v>
      </c>
      <c r="Z169" s="2">
        <v>3</v>
      </c>
      <c r="AA169" s="2" t="s">
        <v>1238</v>
      </c>
      <c r="AB169" t="s">
        <v>1238</v>
      </c>
      <c r="AC169">
        <v>757</v>
      </c>
      <c r="AD169" t="s">
        <v>1279</v>
      </c>
      <c r="AE169">
        <v>3</v>
      </c>
      <c r="AF169" t="s">
        <v>1290</v>
      </c>
      <c r="AG169">
        <v>0</v>
      </c>
      <c r="AH169">
        <v>0</v>
      </c>
      <c r="AI169">
        <v>0</v>
      </c>
      <c r="AJ169">
        <v>1942</v>
      </c>
      <c r="AK169">
        <v>2022</v>
      </c>
      <c r="AL169">
        <v>2022</v>
      </c>
      <c r="AM169" s="4" t="s">
        <v>1238</v>
      </c>
      <c r="AN169">
        <v>1</v>
      </c>
      <c r="AO169" t="s">
        <v>1316</v>
      </c>
      <c r="AP169">
        <f t="shared" si="4"/>
        <v>0</v>
      </c>
      <c r="AQ169">
        <v>0</v>
      </c>
      <c r="AR169" t="s">
        <v>1993</v>
      </c>
      <c r="AS169" t="s">
        <v>1996</v>
      </c>
      <c r="AT169" t="s">
        <v>1995</v>
      </c>
      <c r="AU169" t="s">
        <v>1996</v>
      </c>
      <c r="AV169" t="s">
        <v>1996</v>
      </c>
      <c r="AW169" t="s">
        <v>1996</v>
      </c>
      <c r="AX169" t="s">
        <v>2006</v>
      </c>
      <c r="AY169" t="s">
        <v>1996</v>
      </c>
      <c r="AZ169">
        <v>4853</v>
      </c>
      <c r="BA169" t="s">
        <v>1194</v>
      </c>
      <c r="BB169" t="s">
        <v>1194</v>
      </c>
      <c r="BC169" s="3">
        <v>3248.5027</v>
      </c>
      <c r="BD169" s="3">
        <v>1258.76</v>
      </c>
      <c r="BE169" s="3">
        <v>0</v>
      </c>
      <c r="BF169" s="3">
        <v>0</v>
      </c>
      <c r="BG169" s="3">
        <v>0</v>
      </c>
      <c r="BH169" s="3">
        <v>0</v>
      </c>
      <c r="BI169" s="3">
        <v>4138</v>
      </c>
      <c r="BJ169" s="3">
        <v>8645</v>
      </c>
      <c r="BK169" s="3">
        <v>0</v>
      </c>
      <c r="BL169" s="3">
        <v>8645</v>
      </c>
      <c r="BM169" s="2">
        <f t="shared" ca="1" si="5"/>
        <v>4</v>
      </c>
      <c r="BN169" s="3" t="s">
        <v>2916</v>
      </c>
      <c r="BO169" s="3">
        <v>100000</v>
      </c>
      <c r="BP169" s="3">
        <v>200000</v>
      </c>
      <c r="BQ169" s="3">
        <v>50000</v>
      </c>
      <c r="BR169" s="3" t="s">
        <v>2916</v>
      </c>
      <c r="BS169">
        <v>500000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 t="s">
        <v>2942</v>
      </c>
      <c r="CA169" t="s">
        <v>2006</v>
      </c>
      <c r="CB169" t="s">
        <v>2006</v>
      </c>
    </row>
    <row r="170" spans="1:80" x14ac:dyDescent="0.25">
      <c r="A170">
        <v>168</v>
      </c>
      <c r="B170" t="s">
        <v>2187</v>
      </c>
      <c r="C170" s="1">
        <v>44831</v>
      </c>
      <c r="D170" s="2">
        <v>27</v>
      </c>
      <c r="E170" t="s">
        <v>4</v>
      </c>
      <c r="F170" t="s">
        <v>1311</v>
      </c>
      <c r="G170">
        <v>0</v>
      </c>
      <c r="H170" s="3">
        <v>3500000</v>
      </c>
      <c r="I170" s="3">
        <v>1500000</v>
      </c>
      <c r="J170" s="3">
        <v>0</v>
      </c>
      <c r="K170" s="3">
        <v>0</v>
      </c>
      <c r="L170" s="3" t="s">
        <v>1191</v>
      </c>
      <c r="M170">
        <v>856235</v>
      </c>
      <c r="N170" t="s">
        <v>400</v>
      </c>
      <c r="P170" t="s">
        <v>401</v>
      </c>
      <c r="Q170" t="s">
        <v>15</v>
      </c>
      <c r="R170">
        <v>34695</v>
      </c>
      <c r="S170" t="s">
        <v>28</v>
      </c>
      <c r="T170" t="s">
        <v>966</v>
      </c>
      <c r="U170">
        <v>0</v>
      </c>
      <c r="V170" t="s">
        <v>988</v>
      </c>
      <c r="W170" t="s">
        <v>1194</v>
      </c>
      <c r="X170" t="s">
        <v>973</v>
      </c>
      <c r="Y170">
        <v>10000</v>
      </c>
      <c r="Z170" s="2">
        <v>10</v>
      </c>
      <c r="AA170" s="2" t="s">
        <v>1238</v>
      </c>
      <c r="AB170" t="s">
        <v>1238</v>
      </c>
      <c r="AC170">
        <v>815</v>
      </c>
      <c r="AD170" t="s">
        <v>1279</v>
      </c>
      <c r="AE170">
        <v>2</v>
      </c>
      <c r="AF170" t="s">
        <v>1290</v>
      </c>
      <c r="AG170">
        <v>0</v>
      </c>
      <c r="AH170">
        <v>0</v>
      </c>
      <c r="AI170">
        <v>0</v>
      </c>
      <c r="AJ170">
        <v>1999</v>
      </c>
      <c r="AK170" t="s">
        <v>1194</v>
      </c>
      <c r="AL170">
        <v>2010</v>
      </c>
      <c r="AM170" s="4" t="s">
        <v>1238</v>
      </c>
      <c r="AN170">
        <v>1</v>
      </c>
      <c r="AO170" t="s">
        <v>1315</v>
      </c>
      <c r="AP170">
        <f t="shared" si="4"/>
        <v>0</v>
      </c>
      <c r="AQ170">
        <v>0</v>
      </c>
      <c r="AR170" t="s">
        <v>1993</v>
      </c>
      <c r="AS170" t="s">
        <v>1996</v>
      </c>
      <c r="AT170" t="s">
        <v>1995</v>
      </c>
      <c r="AU170" t="s">
        <v>1995</v>
      </c>
      <c r="AV170" t="s">
        <v>1995</v>
      </c>
      <c r="AW170" t="s">
        <v>1995</v>
      </c>
      <c r="AX170" t="s">
        <v>2003</v>
      </c>
      <c r="AY170" t="s">
        <v>1996</v>
      </c>
      <c r="AZ170">
        <v>6836</v>
      </c>
      <c r="BA170" t="s">
        <v>1194</v>
      </c>
      <c r="BB170" t="s">
        <v>1194</v>
      </c>
      <c r="BC170" s="3">
        <v>10597.442300000001</v>
      </c>
      <c r="BD170" s="3">
        <v>9236.6200000000008</v>
      </c>
      <c r="BE170" s="3">
        <v>0</v>
      </c>
      <c r="BF170" s="3">
        <v>0</v>
      </c>
      <c r="BG170" s="3">
        <v>200</v>
      </c>
      <c r="BH170" s="3">
        <v>0</v>
      </c>
      <c r="BI170" s="3">
        <v>24591</v>
      </c>
      <c r="BJ170" s="3">
        <v>44625</v>
      </c>
      <c r="BK170" s="3">
        <v>0</v>
      </c>
      <c r="BL170" s="3">
        <v>44625</v>
      </c>
      <c r="BM170" s="2">
        <f t="shared" ca="1" si="5"/>
        <v>4</v>
      </c>
      <c r="BN170" s="3">
        <v>250000</v>
      </c>
      <c r="BO170" s="3">
        <v>100000</v>
      </c>
      <c r="BP170" s="3">
        <v>50000</v>
      </c>
      <c r="BQ170" s="3">
        <v>50000</v>
      </c>
      <c r="BR170" s="3">
        <v>50000</v>
      </c>
      <c r="BS170">
        <v>50000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 t="s">
        <v>2942</v>
      </c>
      <c r="CA170" t="s">
        <v>2006</v>
      </c>
      <c r="CB170" t="s">
        <v>2945</v>
      </c>
    </row>
    <row r="171" spans="1:80" x14ac:dyDescent="0.25">
      <c r="A171">
        <v>169</v>
      </c>
      <c r="B171" t="s">
        <v>2188</v>
      </c>
      <c r="C171" s="1">
        <v>44692</v>
      </c>
      <c r="D171" s="2">
        <v>15</v>
      </c>
      <c r="E171" t="s">
        <v>4</v>
      </c>
      <c r="F171" t="s">
        <v>1311</v>
      </c>
      <c r="G171">
        <v>0</v>
      </c>
      <c r="H171" s="3">
        <v>6000000</v>
      </c>
      <c r="I171" s="3">
        <v>0</v>
      </c>
      <c r="J171" s="3">
        <v>0</v>
      </c>
      <c r="K171" s="3">
        <v>0</v>
      </c>
      <c r="L171" s="3" t="s">
        <v>1191</v>
      </c>
      <c r="M171">
        <v>1787351</v>
      </c>
      <c r="N171" t="s">
        <v>402</v>
      </c>
      <c r="P171" t="s">
        <v>403</v>
      </c>
      <c r="Q171" t="s">
        <v>14</v>
      </c>
      <c r="R171">
        <v>11976</v>
      </c>
      <c r="S171" t="s">
        <v>26</v>
      </c>
      <c r="T171" t="s">
        <v>962</v>
      </c>
      <c r="U171">
        <v>0</v>
      </c>
      <c r="V171" t="s">
        <v>1076</v>
      </c>
      <c r="W171" t="s">
        <v>1194</v>
      </c>
      <c r="X171" t="s">
        <v>973</v>
      </c>
      <c r="Y171">
        <v>25000</v>
      </c>
      <c r="Z171" s="2">
        <v>2</v>
      </c>
      <c r="AA171" s="2" t="s">
        <v>1238</v>
      </c>
      <c r="AB171" t="s">
        <v>1238</v>
      </c>
      <c r="AC171">
        <v>724</v>
      </c>
      <c r="AD171" t="s">
        <v>1279</v>
      </c>
      <c r="AE171">
        <v>3</v>
      </c>
      <c r="AF171" t="s">
        <v>1290</v>
      </c>
      <c r="AG171">
        <v>0</v>
      </c>
      <c r="AH171">
        <v>0</v>
      </c>
      <c r="AI171">
        <v>0</v>
      </c>
      <c r="AJ171">
        <v>2022</v>
      </c>
      <c r="AK171" t="s">
        <v>1194</v>
      </c>
      <c r="AL171" t="s">
        <v>1194</v>
      </c>
      <c r="AM171" s="4" t="s">
        <v>1238</v>
      </c>
      <c r="AN171">
        <v>1</v>
      </c>
      <c r="AO171" t="s">
        <v>1316</v>
      </c>
      <c r="AP171">
        <f t="shared" si="4"/>
        <v>0</v>
      </c>
      <c r="AQ171">
        <v>1</v>
      </c>
      <c r="AR171" t="s">
        <v>1992</v>
      </c>
      <c r="AS171" t="s">
        <v>1995</v>
      </c>
      <c r="AT171" t="s">
        <v>1996</v>
      </c>
      <c r="AU171" t="s">
        <v>1996</v>
      </c>
      <c r="AV171" t="s">
        <v>1996</v>
      </c>
      <c r="AW171" t="s">
        <v>1995</v>
      </c>
      <c r="AX171" t="s">
        <v>2006</v>
      </c>
      <c r="AY171" t="s">
        <v>1996</v>
      </c>
      <c r="AZ171">
        <v>8000</v>
      </c>
      <c r="BA171" t="s">
        <v>1194</v>
      </c>
      <c r="BB171" t="s">
        <v>1194</v>
      </c>
      <c r="BC171" s="3">
        <v>12214.771699999999</v>
      </c>
      <c r="BD171" s="3">
        <v>9722.5499999999993</v>
      </c>
      <c r="BE171" s="3">
        <v>0</v>
      </c>
      <c r="BF171" s="3">
        <v>0</v>
      </c>
      <c r="BG171" s="3">
        <v>150</v>
      </c>
      <c r="BH171" s="3">
        <v>0</v>
      </c>
      <c r="BI171" s="3">
        <v>7043</v>
      </c>
      <c r="BJ171" s="3">
        <v>29130</v>
      </c>
      <c r="BK171" s="3">
        <v>400</v>
      </c>
      <c r="BL171" s="3">
        <v>29530</v>
      </c>
      <c r="BM171" s="2">
        <f t="shared" ca="1" si="5"/>
        <v>5</v>
      </c>
      <c r="BN171" s="3" t="s">
        <v>2916</v>
      </c>
      <c r="BO171" s="3">
        <v>25000</v>
      </c>
      <c r="BP171" s="3">
        <v>200000</v>
      </c>
      <c r="BQ171" s="3">
        <v>500000</v>
      </c>
      <c r="BR171" s="3">
        <v>50000</v>
      </c>
      <c r="BS171">
        <v>1000000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 t="s">
        <v>2942</v>
      </c>
      <c r="CA171" t="s">
        <v>2006</v>
      </c>
      <c r="CB171" t="s">
        <v>2006</v>
      </c>
    </row>
    <row r="172" spans="1:80" x14ac:dyDescent="0.25">
      <c r="A172">
        <v>170</v>
      </c>
      <c r="B172" t="s">
        <v>2189</v>
      </c>
      <c r="C172" s="1">
        <v>44672</v>
      </c>
      <c r="D172" s="2">
        <v>12</v>
      </c>
      <c r="E172" t="s">
        <v>4</v>
      </c>
      <c r="F172" t="s">
        <v>1311</v>
      </c>
      <c r="G172">
        <v>0</v>
      </c>
      <c r="H172" s="3">
        <v>2000000</v>
      </c>
      <c r="I172" s="3">
        <v>25000</v>
      </c>
      <c r="J172" s="3">
        <v>0</v>
      </c>
      <c r="K172" s="3">
        <v>0</v>
      </c>
      <c r="L172" s="3" t="s">
        <v>1191</v>
      </c>
      <c r="M172">
        <v>1786863</v>
      </c>
      <c r="N172" t="s">
        <v>404</v>
      </c>
      <c r="P172" t="s">
        <v>180</v>
      </c>
      <c r="Q172" t="s">
        <v>21</v>
      </c>
      <c r="R172">
        <v>28226</v>
      </c>
      <c r="S172" t="s">
        <v>45</v>
      </c>
      <c r="T172" t="s">
        <v>973</v>
      </c>
      <c r="U172">
        <v>0</v>
      </c>
      <c r="V172" t="s">
        <v>1008</v>
      </c>
      <c r="W172" t="s">
        <v>1194</v>
      </c>
      <c r="X172" t="s">
        <v>973</v>
      </c>
      <c r="Y172">
        <v>10000</v>
      </c>
      <c r="Z172" s="2" t="s">
        <v>1194</v>
      </c>
      <c r="AA172" s="2" t="s">
        <v>1238</v>
      </c>
      <c r="AB172" t="s">
        <v>1238</v>
      </c>
      <c r="AC172">
        <v>708</v>
      </c>
      <c r="AD172" t="s">
        <v>1279</v>
      </c>
      <c r="AE172">
        <v>1</v>
      </c>
      <c r="AF172" t="s">
        <v>1290</v>
      </c>
      <c r="AG172">
        <v>0</v>
      </c>
      <c r="AH172">
        <v>0</v>
      </c>
      <c r="AI172">
        <v>0</v>
      </c>
      <c r="AJ172">
        <v>1976</v>
      </c>
      <c r="AK172">
        <v>2021</v>
      </c>
      <c r="AL172">
        <v>2021</v>
      </c>
      <c r="AM172" s="4" t="s">
        <v>1238</v>
      </c>
      <c r="AN172">
        <v>1</v>
      </c>
      <c r="AO172" t="s">
        <v>1316</v>
      </c>
      <c r="AP172">
        <f t="shared" si="4"/>
        <v>0</v>
      </c>
      <c r="AQ172">
        <v>1</v>
      </c>
      <c r="AR172" t="s">
        <v>1992</v>
      </c>
      <c r="AS172" t="s">
        <v>1995</v>
      </c>
      <c r="AT172" t="s">
        <v>1996</v>
      </c>
      <c r="AU172" t="s">
        <v>1996</v>
      </c>
      <c r="AV172" t="s">
        <v>1995</v>
      </c>
      <c r="AW172" t="s">
        <v>1995</v>
      </c>
      <c r="AX172" t="s">
        <v>2006</v>
      </c>
      <c r="AY172" t="s">
        <v>1996</v>
      </c>
      <c r="AZ172">
        <v>4595</v>
      </c>
      <c r="BA172" t="s">
        <v>1194</v>
      </c>
      <c r="BB172" t="s">
        <v>1194</v>
      </c>
      <c r="BC172" s="3">
        <v>3924.1576</v>
      </c>
      <c r="BD172" s="3">
        <v>2771.76</v>
      </c>
      <c r="BE172" s="3">
        <v>0</v>
      </c>
      <c r="BF172" s="3">
        <v>0</v>
      </c>
      <c r="BG172" s="3">
        <v>150</v>
      </c>
      <c r="BH172" s="3">
        <v>0</v>
      </c>
      <c r="BI172" s="3">
        <v>2266</v>
      </c>
      <c r="BJ172" s="3">
        <v>9112</v>
      </c>
      <c r="BK172" s="3">
        <v>125</v>
      </c>
      <c r="BL172" s="3">
        <v>9237</v>
      </c>
      <c r="BM172" s="2">
        <f t="shared" ca="1" si="5"/>
        <v>6</v>
      </c>
      <c r="BN172" s="3">
        <v>500000</v>
      </c>
      <c r="BO172" s="3">
        <v>25000</v>
      </c>
      <c r="BP172" s="3">
        <v>50000</v>
      </c>
      <c r="BQ172" s="3">
        <v>100000</v>
      </c>
      <c r="BR172" s="3" t="s">
        <v>2916</v>
      </c>
      <c r="BS172">
        <v>250000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 t="s">
        <v>2942</v>
      </c>
      <c r="CA172" t="s">
        <v>2006</v>
      </c>
      <c r="CB172" t="s">
        <v>2006</v>
      </c>
    </row>
    <row r="173" spans="1:80" x14ac:dyDescent="0.25">
      <c r="A173">
        <v>171</v>
      </c>
      <c r="B173" t="s">
        <v>2190</v>
      </c>
      <c r="C173" s="1">
        <v>44946</v>
      </c>
      <c r="D173" s="2">
        <v>3</v>
      </c>
      <c r="E173" t="s">
        <v>4</v>
      </c>
      <c r="F173" t="s">
        <v>1310</v>
      </c>
      <c r="G173">
        <v>0</v>
      </c>
      <c r="H173" s="3">
        <v>2500000</v>
      </c>
      <c r="I173" s="3">
        <v>500000</v>
      </c>
      <c r="J173" s="3">
        <v>0</v>
      </c>
      <c r="K173" s="3">
        <v>0</v>
      </c>
      <c r="L173" s="3" t="s">
        <v>1191</v>
      </c>
      <c r="M173">
        <v>1830192</v>
      </c>
      <c r="N173" t="s">
        <v>405</v>
      </c>
      <c r="P173" t="s">
        <v>406</v>
      </c>
      <c r="Q173" t="s">
        <v>14</v>
      </c>
      <c r="R173">
        <v>11963</v>
      </c>
      <c r="S173" t="s">
        <v>26</v>
      </c>
      <c r="T173" t="s">
        <v>970</v>
      </c>
      <c r="U173">
        <v>1</v>
      </c>
      <c r="V173" t="s">
        <v>1077</v>
      </c>
      <c r="W173" t="s">
        <v>1194</v>
      </c>
      <c r="X173" t="s">
        <v>1309</v>
      </c>
      <c r="Y173">
        <v>10000</v>
      </c>
      <c r="Z173" s="2">
        <v>2</v>
      </c>
      <c r="AA173" s="2" t="s">
        <v>1238</v>
      </c>
      <c r="AB173" t="s">
        <v>1238</v>
      </c>
      <c r="AC173">
        <v>814</v>
      </c>
      <c r="AD173" t="s">
        <v>1279</v>
      </c>
      <c r="AE173">
        <v>3</v>
      </c>
      <c r="AF173" t="s">
        <v>1290</v>
      </c>
      <c r="AG173">
        <v>0</v>
      </c>
      <c r="AH173">
        <v>0</v>
      </c>
      <c r="AI173">
        <v>0</v>
      </c>
      <c r="AJ173">
        <v>2007</v>
      </c>
      <c r="AK173" t="s">
        <v>1194</v>
      </c>
      <c r="AL173" t="s">
        <v>1194</v>
      </c>
      <c r="AM173" s="4" t="s">
        <v>1305</v>
      </c>
      <c r="AN173">
        <v>1</v>
      </c>
      <c r="AO173" t="s">
        <v>1315</v>
      </c>
      <c r="AP173">
        <f t="shared" si="4"/>
        <v>0</v>
      </c>
      <c r="AQ173">
        <v>1</v>
      </c>
      <c r="AR173" t="s">
        <v>1992</v>
      </c>
      <c r="AS173" t="s">
        <v>1996</v>
      </c>
      <c r="AT173" t="s">
        <v>1995</v>
      </c>
      <c r="AU173" t="s">
        <v>1995</v>
      </c>
      <c r="AV173" t="s">
        <v>1995</v>
      </c>
      <c r="AW173" t="s">
        <v>1996</v>
      </c>
      <c r="AX173" t="s">
        <v>2008</v>
      </c>
      <c r="AY173" t="s">
        <v>1995</v>
      </c>
      <c r="AZ173">
        <v>3294</v>
      </c>
      <c r="BA173" t="s">
        <v>1194</v>
      </c>
      <c r="BB173" t="s">
        <v>1194</v>
      </c>
      <c r="BC173" s="3">
        <v>10117.542100000001</v>
      </c>
      <c r="BD173" s="3">
        <v>9637.9699999999993</v>
      </c>
      <c r="BE173" s="3">
        <v>0</v>
      </c>
      <c r="BF173" s="3">
        <v>0</v>
      </c>
      <c r="BG173" s="3">
        <v>150</v>
      </c>
      <c r="BH173" s="3">
        <v>0</v>
      </c>
      <c r="BI173" s="3">
        <v>-756</v>
      </c>
      <c r="BJ173" s="3">
        <v>19150</v>
      </c>
      <c r="BK173" s="3">
        <v>0</v>
      </c>
      <c r="BL173" s="3">
        <v>19150</v>
      </c>
      <c r="BM173" s="2">
        <f t="shared" ca="1" si="5"/>
        <v>5</v>
      </c>
      <c r="BN173" s="3">
        <v>500000</v>
      </c>
      <c r="BO173" s="3">
        <v>2000000</v>
      </c>
      <c r="BP173" s="3">
        <v>100000</v>
      </c>
      <c r="BQ173" s="3">
        <v>25000</v>
      </c>
      <c r="BR173" s="3">
        <v>1000000</v>
      </c>
      <c r="BS173" t="s">
        <v>2916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0</v>
      </c>
      <c r="BZ173" t="s">
        <v>2006</v>
      </c>
      <c r="CA173" t="s">
        <v>2006</v>
      </c>
      <c r="CB173" t="s">
        <v>2941</v>
      </c>
    </row>
    <row r="174" spans="1:80" x14ac:dyDescent="0.25">
      <c r="A174">
        <v>172</v>
      </c>
      <c r="B174" t="s">
        <v>2191</v>
      </c>
      <c r="C174" s="1">
        <v>44830</v>
      </c>
      <c r="D174" s="2">
        <v>27</v>
      </c>
      <c r="E174" t="s">
        <v>4</v>
      </c>
      <c r="F174" t="s">
        <v>1311</v>
      </c>
      <c r="G174">
        <v>0</v>
      </c>
      <c r="H174" s="3">
        <v>1686135</v>
      </c>
      <c r="I174" s="3">
        <v>100000</v>
      </c>
      <c r="J174" s="3">
        <v>0</v>
      </c>
      <c r="K174" s="3">
        <v>0</v>
      </c>
      <c r="L174" s="3" t="s">
        <v>1191</v>
      </c>
      <c r="M174">
        <v>1996144</v>
      </c>
      <c r="N174" t="s">
        <v>407</v>
      </c>
      <c r="P174" t="s">
        <v>306</v>
      </c>
      <c r="Q174" t="s">
        <v>13</v>
      </c>
      <c r="R174">
        <v>1930</v>
      </c>
      <c r="S174" t="s">
        <v>75</v>
      </c>
      <c r="T174" t="s">
        <v>970</v>
      </c>
      <c r="U174">
        <v>1</v>
      </c>
      <c r="V174" t="s">
        <v>1054</v>
      </c>
      <c r="W174" t="s">
        <v>1194</v>
      </c>
      <c r="X174" t="s">
        <v>1309</v>
      </c>
      <c r="Y174">
        <v>10000</v>
      </c>
      <c r="Z174" s="2">
        <v>2.000017792</v>
      </c>
      <c r="AA174" s="2" t="s">
        <v>1238</v>
      </c>
      <c r="AB174" t="s">
        <v>1238</v>
      </c>
      <c r="AC174">
        <v>727</v>
      </c>
      <c r="AD174" t="s">
        <v>1279</v>
      </c>
      <c r="AE174">
        <v>4</v>
      </c>
      <c r="AF174" t="s">
        <v>1292</v>
      </c>
      <c r="AG174">
        <v>0</v>
      </c>
      <c r="AH174">
        <v>0</v>
      </c>
      <c r="AI174">
        <v>0</v>
      </c>
      <c r="AJ174">
        <v>2022</v>
      </c>
      <c r="AK174" t="s">
        <v>1194</v>
      </c>
      <c r="AL174" t="s">
        <v>1194</v>
      </c>
      <c r="AM174" s="4" t="s">
        <v>1238</v>
      </c>
      <c r="AN174">
        <v>1</v>
      </c>
      <c r="AO174" t="s">
        <v>1316</v>
      </c>
      <c r="AP174">
        <f t="shared" si="4"/>
        <v>0</v>
      </c>
      <c r="AQ174">
        <v>0</v>
      </c>
      <c r="AR174" t="s">
        <v>1993</v>
      </c>
      <c r="AS174" t="s">
        <v>1995</v>
      </c>
      <c r="AT174" t="s">
        <v>1995</v>
      </c>
      <c r="AU174" t="s">
        <v>1996</v>
      </c>
      <c r="AV174" t="s">
        <v>1996</v>
      </c>
      <c r="AW174" t="s">
        <v>1995</v>
      </c>
      <c r="AX174" t="s">
        <v>2006</v>
      </c>
      <c r="AY174" t="s">
        <v>1996</v>
      </c>
      <c r="AZ174">
        <v>3170</v>
      </c>
      <c r="BA174" t="s">
        <v>1194</v>
      </c>
      <c r="BB174" t="s">
        <v>1194</v>
      </c>
      <c r="BC174" s="3">
        <v>3829.9962</v>
      </c>
      <c r="BD174" s="3">
        <v>3108.95</v>
      </c>
      <c r="BE174" s="3">
        <v>0</v>
      </c>
      <c r="BF174" s="3">
        <v>0</v>
      </c>
      <c r="BG174" s="3">
        <v>0</v>
      </c>
      <c r="BH174" s="3">
        <v>0</v>
      </c>
      <c r="BI174" s="3">
        <v>1600</v>
      </c>
      <c r="BJ174" s="3">
        <v>8539</v>
      </c>
      <c r="BK174" s="3">
        <v>0</v>
      </c>
      <c r="BL174" s="3">
        <v>8539</v>
      </c>
      <c r="BM174" s="2">
        <f t="shared" ca="1" si="5"/>
        <v>3</v>
      </c>
      <c r="BN174" s="3">
        <v>500000</v>
      </c>
      <c r="BO174" s="3">
        <v>50000</v>
      </c>
      <c r="BP174" s="3">
        <v>200000</v>
      </c>
      <c r="BQ174" s="3">
        <v>500000</v>
      </c>
      <c r="BR174" s="3">
        <v>250000</v>
      </c>
      <c r="BS174">
        <v>1000000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 t="s">
        <v>2942</v>
      </c>
      <c r="CA174" t="s">
        <v>2006</v>
      </c>
      <c r="CB174" t="s">
        <v>2006</v>
      </c>
    </row>
    <row r="175" spans="1:80" x14ac:dyDescent="0.25">
      <c r="A175">
        <v>173</v>
      </c>
      <c r="B175" t="s">
        <v>2192</v>
      </c>
      <c r="C175" s="1">
        <v>44916</v>
      </c>
      <c r="D175" s="2">
        <v>36</v>
      </c>
      <c r="E175" t="s">
        <v>4</v>
      </c>
      <c r="F175" t="s">
        <v>1311</v>
      </c>
      <c r="G175">
        <v>1</v>
      </c>
      <c r="H175" s="3">
        <v>13000000</v>
      </c>
      <c r="I175" s="3">
        <v>258940</v>
      </c>
      <c r="J175" s="3">
        <v>0</v>
      </c>
      <c r="K175" s="3">
        <v>0</v>
      </c>
      <c r="L175" s="3" t="s">
        <v>1191</v>
      </c>
      <c r="M175">
        <v>1995325</v>
      </c>
      <c r="N175" t="s">
        <v>408</v>
      </c>
      <c r="P175" t="s">
        <v>62</v>
      </c>
      <c r="Q175" t="s">
        <v>19</v>
      </c>
      <c r="R175">
        <v>94121</v>
      </c>
      <c r="S175" t="s">
        <v>62</v>
      </c>
      <c r="T175" t="s">
        <v>976</v>
      </c>
      <c r="U175">
        <v>1</v>
      </c>
      <c r="V175">
        <v>33</v>
      </c>
      <c r="W175" t="s">
        <v>1198</v>
      </c>
      <c r="X175" t="s">
        <v>1309</v>
      </c>
      <c r="Y175">
        <v>100000</v>
      </c>
      <c r="Z175" s="2" t="s">
        <v>1194</v>
      </c>
      <c r="AA175" s="2" t="s">
        <v>1238</v>
      </c>
      <c r="AB175" t="s">
        <v>1238</v>
      </c>
      <c r="AC175" t="s">
        <v>1194</v>
      </c>
      <c r="AD175" t="s">
        <v>1279</v>
      </c>
      <c r="AE175">
        <v>1</v>
      </c>
      <c r="AF175" t="s">
        <v>1290</v>
      </c>
      <c r="AG175">
        <v>0</v>
      </c>
      <c r="AH175">
        <v>0</v>
      </c>
      <c r="AI175">
        <v>0</v>
      </c>
      <c r="AJ175">
        <v>1922</v>
      </c>
      <c r="AK175" t="s">
        <v>1194</v>
      </c>
      <c r="AL175" t="s">
        <v>1194</v>
      </c>
      <c r="AM175" s="4" t="s">
        <v>1238</v>
      </c>
      <c r="AN175">
        <v>1</v>
      </c>
      <c r="AO175" t="s">
        <v>1315</v>
      </c>
      <c r="AP175">
        <f t="shared" si="4"/>
        <v>0</v>
      </c>
      <c r="AQ175">
        <v>1</v>
      </c>
      <c r="AR175" t="s">
        <v>1992</v>
      </c>
      <c r="AS175" t="s">
        <v>1996</v>
      </c>
      <c r="AT175" t="s">
        <v>1995</v>
      </c>
      <c r="AU175" t="s">
        <v>1995</v>
      </c>
      <c r="AV175" t="s">
        <v>1996</v>
      </c>
      <c r="AW175" t="s">
        <v>1995</v>
      </c>
      <c r="AX175" t="s">
        <v>1194</v>
      </c>
      <c r="AY175" t="s">
        <v>1996</v>
      </c>
      <c r="AZ175">
        <v>4180</v>
      </c>
      <c r="BA175" t="s">
        <v>1194</v>
      </c>
      <c r="BB175" t="s">
        <v>2014</v>
      </c>
      <c r="BC175" s="3">
        <v>0</v>
      </c>
      <c r="BD175" s="3">
        <v>0</v>
      </c>
      <c r="BE175" s="3">
        <v>17519.189999999999</v>
      </c>
      <c r="BF175" s="3">
        <v>10832.64</v>
      </c>
      <c r="BG175" s="3">
        <v>150</v>
      </c>
      <c r="BH175" s="3">
        <v>0</v>
      </c>
      <c r="BI175" s="3">
        <v>65181</v>
      </c>
      <c r="BJ175" s="3">
        <v>93682.83</v>
      </c>
      <c r="BK175" s="3">
        <v>0</v>
      </c>
      <c r="BL175" s="3">
        <v>93682.83</v>
      </c>
      <c r="BM175" s="2">
        <f t="shared" ca="1" si="5"/>
        <v>5</v>
      </c>
      <c r="BN175" s="3" t="s">
        <v>2916</v>
      </c>
      <c r="BO175" s="3">
        <v>500000</v>
      </c>
      <c r="BP175" s="3">
        <v>100000</v>
      </c>
      <c r="BQ175" s="3">
        <v>50000</v>
      </c>
      <c r="BR175" s="3">
        <v>1000000</v>
      </c>
      <c r="BS175">
        <v>500000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 t="s">
        <v>2948</v>
      </c>
      <c r="CA175" t="s">
        <v>1194</v>
      </c>
      <c r="CB175" t="s">
        <v>2941</v>
      </c>
    </row>
    <row r="176" spans="1:80" x14ac:dyDescent="0.25">
      <c r="A176">
        <v>174</v>
      </c>
      <c r="B176" t="s">
        <v>2193</v>
      </c>
      <c r="C176" s="1">
        <v>44954</v>
      </c>
      <c r="D176" s="2">
        <v>3</v>
      </c>
      <c r="E176" t="s">
        <v>4</v>
      </c>
      <c r="F176" t="s">
        <v>1310</v>
      </c>
      <c r="G176">
        <v>0</v>
      </c>
      <c r="H176" s="3">
        <v>7000000</v>
      </c>
      <c r="I176" s="3">
        <v>0</v>
      </c>
      <c r="J176" s="3">
        <v>0</v>
      </c>
      <c r="K176" s="3">
        <v>0</v>
      </c>
      <c r="L176" s="3" t="s">
        <v>1191</v>
      </c>
      <c r="M176">
        <v>2056217</v>
      </c>
      <c r="N176" t="s">
        <v>409</v>
      </c>
      <c r="O176" t="s">
        <v>410</v>
      </c>
      <c r="P176" t="s">
        <v>411</v>
      </c>
      <c r="Q176" t="s">
        <v>14</v>
      </c>
      <c r="R176">
        <v>11963</v>
      </c>
      <c r="S176" t="s">
        <v>26</v>
      </c>
      <c r="T176" t="s">
        <v>970</v>
      </c>
      <c r="U176">
        <v>1</v>
      </c>
      <c r="V176" t="s">
        <v>1077</v>
      </c>
      <c r="W176" t="s">
        <v>1194</v>
      </c>
      <c r="X176" t="s">
        <v>1309</v>
      </c>
      <c r="Y176">
        <v>250000</v>
      </c>
      <c r="Z176" s="2">
        <v>5</v>
      </c>
      <c r="AA176" s="2" t="s">
        <v>1238</v>
      </c>
      <c r="AB176" t="s">
        <v>1238</v>
      </c>
      <c r="AC176">
        <v>1</v>
      </c>
      <c r="AD176" t="s">
        <v>1279</v>
      </c>
      <c r="AE176">
        <v>3</v>
      </c>
      <c r="AF176" t="s">
        <v>1290</v>
      </c>
      <c r="AG176">
        <v>0</v>
      </c>
      <c r="AH176">
        <v>0</v>
      </c>
      <c r="AI176">
        <v>0</v>
      </c>
      <c r="AJ176">
        <v>2019</v>
      </c>
      <c r="AK176" t="s">
        <v>1194</v>
      </c>
      <c r="AL176" t="s">
        <v>1194</v>
      </c>
      <c r="AM176" s="4" t="s">
        <v>1304</v>
      </c>
      <c r="AN176">
        <v>0</v>
      </c>
      <c r="AO176" t="s">
        <v>1315</v>
      </c>
      <c r="AP176">
        <f t="shared" si="4"/>
        <v>0</v>
      </c>
      <c r="AQ176">
        <v>0</v>
      </c>
      <c r="AR176" t="s">
        <v>1993</v>
      </c>
      <c r="AS176" t="s">
        <v>1995</v>
      </c>
      <c r="AT176" t="s">
        <v>1995</v>
      </c>
      <c r="AU176" t="s">
        <v>1996</v>
      </c>
      <c r="AV176" t="s">
        <v>1996</v>
      </c>
      <c r="AW176" t="s">
        <v>1996</v>
      </c>
      <c r="AX176" t="s">
        <v>2006</v>
      </c>
      <c r="AY176" t="s">
        <v>1996</v>
      </c>
      <c r="AZ176">
        <v>6500</v>
      </c>
      <c r="BA176" t="s">
        <v>1194</v>
      </c>
      <c r="BB176" t="s">
        <v>1194</v>
      </c>
      <c r="BC176" s="3">
        <v>10619.208199999999</v>
      </c>
      <c r="BD176" s="3">
        <v>13871.95</v>
      </c>
      <c r="BE176" s="3">
        <v>0</v>
      </c>
      <c r="BF176" s="3">
        <v>0</v>
      </c>
      <c r="BG176" s="3">
        <v>0</v>
      </c>
      <c r="BH176" s="3">
        <v>0</v>
      </c>
      <c r="BI176" s="3">
        <v>11559</v>
      </c>
      <c r="BJ176" s="3">
        <v>36050</v>
      </c>
      <c r="BK176" s="3">
        <v>0</v>
      </c>
      <c r="BL176" s="3">
        <v>36050</v>
      </c>
      <c r="BM176" s="2">
        <f t="shared" ca="1" si="5"/>
        <v>1</v>
      </c>
      <c r="BN176" s="3">
        <v>2000000</v>
      </c>
      <c r="BO176" s="3">
        <v>25000</v>
      </c>
      <c r="BP176" s="3">
        <v>50000</v>
      </c>
      <c r="BQ176" s="3">
        <v>100000</v>
      </c>
      <c r="BR176" s="3">
        <v>100000</v>
      </c>
      <c r="BS176">
        <v>1000000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 t="s">
        <v>2938</v>
      </c>
      <c r="CA176" t="s">
        <v>2939</v>
      </c>
      <c r="CB176" t="s">
        <v>2006</v>
      </c>
    </row>
    <row r="177" spans="1:80" x14ac:dyDescent="0.25">
      <c r="A177">
        <v>175</v>
      </c>
      <c r="B177" t="s">
        <v>2194</v>
      </c>
      <c r="C177" s="1">
        <v>44769</v>
      </c>
      <c r="D177" s="2">
        <v>21</v>
      </c>
      <c r="E177" t="s">
        <v>4</v>
      </c>
      <c r="F177" t="s">
        <v>1311</v>
      </c>
      <c r="G177">
        <v>1</v>
      </c>
      <c r="H177" s="3">
        <v>0</v>
      </c>
      <c r="I177" s="3">
        <v>0</v>
      </c>
      <c r="J177" s="3">
        <v>2500000</v>
      </c>
      <c r="K177" s="3">
        <v>0</v>
      </c>
      <c r="L177" s="3" t="s">
        <v>1192</v>
      </c>
      <c r="M177">
        <v>1937385</v>
      </c>
      <c r="N177" t="s">
        <v>412</v>
      </c>
      <c r="O177" t="s">
        <v>413</v>
      </c>
      <c r="P177" t="s">
        <v>310</v>
      </c>
      <c r="Q177" t="s">
        <v>15</v>
      </c>
      <c r="R177">
        <v>33139</v>
      </c>
      <c r="S177" t="s">
        <v>33</v>
      </c>
      <c r="T177" t="s">
        <v>967</v>
      </c>
      <c r="U177">
        <v>1</v>
      </c>
      <c r="V177" t="s">
        <v>1056</v>
      </c>
      <c r="W177" t="s">
        <v>1194</v>
      </c>
      <c r="X177" t="s">
        <v>1309</v>
      </c>
      <c r="Y177">
        <v>10000</v>
      </c>
      <c r="Z177" s="2">
        <v>5</v>
      </c>
      <c r="AA177" s="2" t="s">
        <v>1238</v>
      </c>
      <c r="AB177" t="s">
        <v>1238</v>
      </c>
      <c r="AC177">
        <v>841</v>
      </c>
      <c r="AD177" t="s">
        <v>1281</v>
      </c>
      <c r="AE177">
        <v>1</v>
      </c>
      <c r="AF177" t="s">
        <v>1291</v>
      </c>
      <c r="AG177">
        <v>0</v>
      </c>
      <c r="AH177">
        <v>0</v>
      </c>
      <c r="AI177">
        <v>0</v>
      </c>
      <c r="AJ177">
        <v>1998</v>
      </c>
      <c r="AK177" t="s">
        <v>1194</v>
      </c>
      <c r="AL177" t="s">
        <v>1194</v>
      </c>
      <c r="AM177" s="4" t="s">
        <v>1238</v>
      </c>
      <c r="AN177">
        <v>1</v>
      </c>
      <c r="AO177" t="s">
        <v>1315</v>
      </c>
      <c r="AP177">
        <f t="shared" si="4"/>
        <v>0</v>
      </c>
      <c r="AQ177">
        <v>0</v>
      </c>
      <c r="AR177" t="s">
        <v>1993</v>
      </c>
      <c r="AS177" t="s">
        <v>1996</v>
      </c>
      <c r="AT177" t="s">
        <v>1996</v>
      </c>
      <c r="AU177" t="s">
        <v>1996</v>
      </c>
      <c r="AV177" t="s">
        <v>1996</v>
      </c>
      <c r="AW177" t="s">
        <v>1996</v>
      </c>
      <c r="AX177" t="s">
        <v>2007</v>
      </c>
      <c r="AY177" t="s">
        <v>1995</v>
      </c>
      <c r="AZ177">
        <v>3254</v>
      </c>
      <c r="BA177" t="s">
        <v>1194</v>
      </c>
      <c r="BB177" t="s">
        <v>1194</v>
      </c>
      <c r="BC177" s="3">
        <v>4891.6349</v>
      </c>
      <c r="BD177" s="3">
        <v>27868.34</v>
      </c>
      <c r="BE177" s="3">
        <v>0</v>
      </c>
      <c r="BF177" s="3">
        <v>0</v>
      </c>
      <c r="BG177" s="3">
        <v>300</v>
      </c>
      <c r="BH177" s="3">
        <v>0</v>
      </c>
      <c r="BI177" s="3">
        <v>27440</v>
      </c>
      <c r="BJ177" s="3">
        <v>60500</v>
      </c>
      <c r="BK177" s="3">
        <v>0</v>
      </c>
      <c r="BL177" s="3">
        <v>60500</v>
      </c>
      <c r="BM177" s="2">
        <f t="shared" ca="1" si="5"/>
        <v>2</v>
      </c>
      <c r="BN177" s="3">
        <v>50000</v>
      </c>
      <c r="BO177" s="3">
        <v>500000</v>
      </c>
      <c r="BP177" s="3">
        <v>50000</v>
      </c>
      <c r="BQ177" s="3">
        <v>500000</v>
      </c>
      <c r="BR177" s="3">
        <v>50000</v>
      </c>
      <c r="BS177">
        <v>250000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 t="s">
        <v>2938</v>
      </c>
      <c r="CA177" t="s">
        <v>2939</v>
      </c>
      <c r="CB177" t="s">
        <v>2941</v>
      </c>
    </row>
    <row r="178" spans="1:80" x14ac:dyDescent="0.25">
      <c r="A178">
        <v>176</v>
      </c>
      <c r="B178" t="s">
        <v>2195</v>
      </c>
      <c r="C178" s="1">
        <v>44879</v>
      </c>
      <c r="D178" s="2">
        <v>33</v>
      </c>
      <c r="E178" t="s">
        <v>4</v>
      </c>
      <c r="F178" t="s">
        <v>1311</v>
      </c>
      <c r="G178">
        <v>0</v>
      </c>
      <c r="H178" s="3">
        <v>4500000</v>
      </c>
      <c r="I178" s="3">
        <v>1000000</v>
      </c>
      <c r="J178" s="3">
        <v>0</v>
      </c>
      <c r="K178" s="3">
        <v>0</v>
      </c>
      <c r="L178" s="3" t="s">
        <v>1191</v>
      </c>
      <c r="M178">
        <v>1816751</v>
      </c>
      <c r="N178" t="s">
        <v>414</v>
      </c>
      <c r="O178" t="s">
        <v>415</v>
      </c>
      <c r="P178" t="s">
        <v>416</v>
      </c>
      <c r="Q178" t="s">
        <v>19</v>
      </c>
      <c r="R178">
        <v>94062</v>
      </c>
      <c r="S178" t="s">
        <v>66</v>
      </c>
      <c r="T178" t="s">
        <v>975</v>
      </c>
      <c r="U178">
        <v>0</v>
      </c>
      <c r="V178">
        <v>48</v>
      </c>
      <c r="W178" t="s">
        <v>1201</v>
      </c>
      <c r="X178" t="s">
        <v>973</v>
      </c>
      <c r="Y178">
        <v>50000</v>
      </c>
      <c r="Z178" s="2" t="s">
        <v>1194</v>
      </c>
      <c r="AA178" s="2" t="s">
        <v>1238</v>
      </c>
      <c r="AB178" t="s">
        <v>1238</v>
      </c>
      <c r="AC178" t="s">
        <v>1194</v>
      </c>
      <c r="AD178" t="s">
        <v>1279</v>
      </c>
      <c r="AE178">
        <v>2</v>
      </c>
      <c r="AF178" t="s">
        <v>1290</v>
      </c>
      <c r="AG178">
        <v>0</v>
      </c>
      <c r="AH178">
        <v>0</v>
      </c>
      <c r="AI178">
        <v>0</v>
      </c>
      <c r="AJ178">
        <v>2022</v>
      </c>
      <c r="AK178" t="s">
        <v>1194</v>
      </c>
      <c r="AL178" t="s">
        <v>1194</v>
      </c>
      <c r="AM178" s="4" t="s">
        <v>1238</v>
      </c>
      <c r="AN178">
        <v>1</v>
      </c>
      <c r="AO178" t="s">
        <v>1317</v>
      </c>
      <c r="AP178">
        <f t="shared" si="4"/>
        <v>0</v>
      </c>
      <c r="AQ178">
        <v>0</v>
      </c>
      <c r="AR178" t="s">
        <v>1993</v>
      </c>
      <c r="AS178" t="s">
        <v>1995</v>
      </c>
      <c r="AT178" t="s">
        <v>1995</v>
      </c>
      <c r="AU178" t="s">
        <v>1996</v>
      </c>
      <c r="AV178" t="s">
        <v>1995</v>
      </c>
      <c r="AW178" t="s">
        <v>1995</v>
      </c>
      <c r="AX178" t="s">
        <v>1194</v>
      </c>
      <c r="AY178" t="s">
        <v>1996</v>
      </c>
      <c r="AZ178">
        <v>9225</v>
      </c>
      <c r="BA178">
        <v>5</v>
      </c>
      <c r="BB178" t="s">
        <v>2016</v>
      </c>
      <c r="BC178" s="3">
        <v>0</v>
      </c>
      <c r="BD178" s="3">
        <v>0</v>
      </c>
      <c r="BE178" s="3">
        <v>23940.2</v>
      </c>
      <c r="BF178" s="3">
        <v>6205.25</v>
      </c>
      <c r="BG178" s="3">
        <v>0</v>
      </c>
      <c r="BH178" s="3">
        <v>0</v>
      </c>
      <c r="BI178" s="3">
        <v>0</v>
      </c>
      <c r="BJ178" s="3">
        <v>30145.45</v>
      </c>
      <c r="BK178" s="3">
        <v>8240.57</v>
      </c>
      <c r="BL178" s="3">
        <v>38386.019999999997</v>
      </c>
      <c r="BM178" s="2">
        <f t="shared" ca="1" si="5"/>
        <v>3</v>
      </c>
      <c r="BN178" s="3">
        <v>100000</v>
      </c>
      <c r="BO178" s="3">
        <v>20000</v>
      </c>
      <c r="BP178" s="3" t="s">
        <v>2922</v>
      </c>
      <c r="BQ178" s="3">
        <v>25000</v>
      </c>
      <c r="BR178" s="3">
        <v>50000</v>
      </c>
      <c r="BS178">
        <v>250000</v>
      </c>
      <c r="BT178">
        <v>0</v>
      </c>
      <c r="BU178">
        <v>1</v>
      </c>
      <c r="BV178">
        <v>0</v>
      </c>
      <c r="BW178">
        <v>0</v>
      </c>
      <c r="BX178">
        <v>1</v>
      </c>
      <c r="BY178">
        <v>0</v>
      </c>
      <c r="BZ178" t="s">
        <v>2950</v>
      </c>
      <c r="CA178" t="s">
        <v>1194</v>
      </c>
      <c r="CB178" t="s">
        <v>2952</v>
      </c>
    </row>
    <row r="179" spans="1:80" x14ac:dyDescent="0.25">
      <c r="A179">
        <v>177</v>
      </c>
      <c r="B179" t="s">
        <v>2196</v>
      </c>
      <c r="C179" s="1">
        <v>44858</v>
      </c>
      <c r="D179" s="2">
        <v>30</v>
      </c>
      <c r="E179" t="s">
        <v>4</v>
      </c>
      <c r="F179" t="s">
        <v>1311</v>
      </c>
      <c r="G179">
        <v>1</v>
      </c>
      <c r="H179" s="3">
        <v>1100000</v>
      </c>
      <c r="I179" s="3">
        <v>220000</v>
      </c>
      <c r="J179" s="3">
        <v>0</v>
      </c>
      <c r="K179" s="3">
        <v>0</v>
      </c>
      <c r="L179" s="3" t="s">
        <v>1191</v>
      </c>
      <c r="M179">
        <v>1986683</v>
      </c>
      <c r="N179" t="s">
        <v>417</v>
      </c>
      <c r="P179" t="s">
        <v>418</v>
      </c>
      <c r="Q179" t="s">
        <v>15</v>
      </c>
      <c r="R179">
        <v>34997</v>
      </c>
      <c r="S179" t="s">
        <v>61</v>
      </c>
      <c r="T179" t="s">
        <v>972</v>
      </c>
      <c r="U179">
        <v>0</v>
      </c>
      <c r="V179" t="s">
        <v>1078</v>
      </c>
      <c r="W179" t="s">
        <v>1194</v>
      </c>
      <c r="X179" t="s">
        <v>973</v>
      </c>
      <c r="Y179">
        <v>100000</v>
      </c>
      <c r="Z179" s="2">
        <v>5</v>
      </c>
      <c r="AA179" s="2" t="s">
        <v>1238</v>
      </c>
      <c r="AB179" t="s">
        <v>1238</v>
      </c>
      <c r="AC179">
        <v>740</v>
      </c>
      <c r="AD179" t="s">
        <v>1280</v>
      </c>
      <c r="AE179">
        <v>3</v>
      </c>
      <c r="AF179" t="s">
        <v>1290</v>
      </c>
      <c r="AG179">
        <v>0</v>
      </c>
      <c r="AH179">
        <v>0</v>
      </c>
      <c r="AI179">
        <v>0</v>
      </c>
      <c r="AJ179">
        <v>1994</v>
      </c>
      <c r="AK179" t="s">
        <v>1194</v>
      </c>
      <c r="AL179">
        <v>2010</v>
      </c>
      <c r="AM179" s="4" t="s">
        <v>1238</v>
      </c>
      <c r="AN179">
        <v>1</v>
      </c>
      <c r="AO179" t="s">
        <v>1315</v>
      </c>
      <c r="AP179">
        <f t="shared" si="4"/>
        <v>0</v>
      </c>
      <c r="AQ179">
        <v>0</v>
      </c>
      <c r="AR179" t="s">
        <v>1993</v>
      </c>
      <c r="AS179" t="s">
        <v>1996</v>
      </c>
      <c r="AT179" t="s">
        <v>1995</v>
      </c>
      <c r="AU179" t="s">
        <v>1996</v>
      </c>
      <c r="AV179" t="s">
        <v>1995</v>
      </c>
      <c r="AW179" t="s">
        <v>1996</v>
      </c>
      <c r="AX179" t="s">
        <v>2008</v>
      </c>
      <c r="AY179" t="s">
        <v>1995</v>
      </c>
      <c r="AZ179">
        <v>2785</v>
      </c>
      <c r="BA179" t="s">
        <v>1194</v>
      </c>
      <c r="BB179" t="s">
        <v>1194</v>
      </c>
      <c r="BC179" s="3">
        <v>2827.8815</v>
      </c>
      <c r="BD179" s="3">
        <v>10197.19</v>
      </c>
      <c r="BE179" s="3">
        <v>0</v>
      </c>
      <c r="BF179" s="3">
        <v>0</v>
      </c>
      <c r="BG179" s="3">
        <v>0</v>
      </c>
      <c r="BH179" s="3">
        <v>0</v>
      </c>
      <c r="BI179" s="3">
        <v>4795</v>
      </c>
      <c r="BJ179" s="3">
        <v>17820</v>
      </c>
      <c r="BK179" s="3">
        <v>0</v>
      </c>
      <c r="BL179" s="3">
        <v>17820</v>
      </c>
      <c r="BM179" s="2">
        <f t="shared" ca="1" si="5"/>
        <v>3</v>
      </c>
      <c r="BN179" s="3" t="s">
        <v>2916</v>
      </c>
      <c r="BO179" s="3">
        <v>250000</v>
      </c>
      <c r="BP179" s="3">
        <v>100000</v>
      </c>
      <c r="BQ179" s="3">
        <v>100000</v>
      </c>
      <c r="BR179" s="3">
        <v>50000</v>
      </c>
      <c r="BS179">
        <v>500000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 t="s">
        <v>2940</v>
      </c>
      <c r="CA179" t="s">
        <v>2939</v>
      </c>
      <c r="CB179" t="s">
        <v>2941</v>
      </c>
    </row>
    <row r="180" spans="1:80" x14ac:dyDescent="0.25">
      <c r="A180">
        <v>178</v>
      </c>
      <c r="B180" t="s">
        <v>2197</v>
      </c>
      <c r="C180" s="1">
        <v>44901</v>
      </c>
      <c r="D180" s="2">
        <v>36</v>
      </c>
      <c r="E180" t="s">
        <v>4</v>
      </c>
      <c r="F180" t="s">
        <v>1311</v>
      </c>
      <c r="G180">
        <v>1</v>
      </c>
      <c r="H180" s="3">
        <v>4300000</v>
      </c>
      <c r="I180" s="3">
        <v>200000</v>
      </c>
      <c r="J180" s="3">
        <v>0</v>
      </c>
      <c r="K180" s="3">
        <v>0</v>
      </c>
      <c r="L180" s="3" t="s">
        <v>1191</v>
      </c>
      <c r="M180">
        <v>1678855</v>
      </c>
      <c r="N180" t="s">
        <v>419</v>
      </c>
      <c r="P180" t="s">
        <v>256</v>
      </c>
      <c r="Q180" t="s">
        <v>15</v>
      </c>
      <c r="R180">
        <v>34102</v>
      </c>
      <c r="S180" t="s">
        <v>63</v>
      </c>
      <c r="T180" t="s">
        <v>966</v>
      </c>
      <c r="U180">
        <v>0</v>
      </c>
      <c r="V180" t="s">
        <v>1079</v>
      </c>
      <c r="W180" t="s">
        <v>1194</v>
      </c>
      <c r="X180" t="s">
        <v>973</v>
      </c>
      <c r="Y180">
        <v>25000</v>
      </c>
      <c r="Z180" s="2">
        <v>5</v>
      </c>
      <c r="AA180" s="2" t="s">
        <v>1238</v>
      </c>
      <c r="AB180" t="s">
        <v>1238</v>
      </c>
      <c r="AC180">
        <v>787</v>
      </c>
      <c r="AD180" t="s">
        <v>1280</v>
      </c>
      <c r="AE180">
        <v>1</v>
      </c>
      <c r="AF180" t="s">
        <v>1290</v>
      </c>
      <c r="AG180">
        <v>0</v>
      </c>
      <c r="AH180">
        <v>0</v>
      </c>
      <c r="AI180">
        <v>0</v>
      </c>
      <c r="AJ180">
        <v>2021</v>
      </c>
      <c r="AK180" t="s">
        <v>1194</v>
      </c>
      <c r="AL180" t="s">
        <v>1194</v>
      </c>
      <c r="AM180" s="4" t="s">
        <v>1238</v>
      </c>
      <c r="AN180">
        <v>1</v>
      </c>
      <c r="AO180" t="s">
        <v>1315</v>
      </c>
      <c r="AP180">
        <f t="shared" si="4"/>
        <v>0</v>
      </c>
      <c r="AQ180">
        <v>0</v>
      </c>
      <c r="AR180" t="s">
        <v>1993</v>
      </c>
      <c r="AS180" t="s">
        <v>1995</v>
      </c>
      <c r="AT180" t="s">
        <v>1996</v>
      </c>
      <c r="AU180" t="s">
        <v>1996</v>
      </c>
      <c r="AV180" t="s">
        <v>1995</v>
      </c>
      <c r="AW180" t="s">
        <v>1996</v>
      </c>
      <c r="AX180" t="s">
        <v>2007</v>
      </c>
      <c r="AY180" t="s">
        <v>1995</v>
      </c>
      <c r="AZ180">
        <v>5300</v>
      </c>
      <c r="BA180" t="s">
        <v>1194</v>
      </c>
      <c r="BB180" t="s">
        <v>1194</v>
      </c>
      <c r="BC180" s="3">
        <v>6200.0925999999999</v>
      </c>
      <c r="BD180" s="3">
        <v>13669.94</v>
      </c>
      <c r="BE180" s="3">
        <v>0</v>
      </c>
      <c r="BF180" s="3">
        <v>0</v>
      </c>
      <c r="BG180" s="3">
        <v>300</v>
      </c>
      <c r="BH180" s="3">
        <v>0</v>
      </c>
      <c r="BI180" s="3">
        <v>15780</v>
      </c>
      <c r="BJ180" s="3">
        <v>35950</v>
      </c>
      <c r="BK180" s="3">
        <v>300</v>
      </c>
      <c r="BL180" s="3">
        <v>36250</v>
      </c>
      <c r="BM180" s="2">
        <f t="shared" ca="1" si="5"/>
        <v>5</v>
      </c>
      <c r="BN180" s="3">
        <v>100000</v>
      </c>
      <c r="BO180" s="3">
        <v>250000</v>
      </c>
      <c r="BP180" s="3">
        <v>50000</v>
      </c>
      <c r="BQ180" s="3">
        <v>100000</v>
      </c>
      <c r="BR180" s="3">
        <v>50000</v>
      </c>
      <c r="BS180">
        <v>50000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 t="s">
        <v>2940</v>
      </c>
      <c r="CA180" t="s">
        <v>2939</v>
      </c>
      <c r="CB180" t="s">
        <v>2941</v>
      </c>
    </row>
    <row r="181" spans="1:80" x14ac:dyDescent="0.25">
      <c r="A181">
        <v>179</v>
      </c>
      <c r="B181" t="s">
        <v>2198</v>
      </c>
      <c r="C181" s="1">
        <v>44775</v>
      </c>
      <c r="D181" s="2">
        <v>24</v>
      </c>
      <c r="E181" t="s">
        <v>4</v>
      </c>
      <c r="F181" t="s">
        <v>1311</v>
      </c>
      <c r="G181">
        <v>1</v>
      </c>
      <c r="H181" s="3">
        <v>11000000</v>
      </c>
      <c r="I181" s="3">
        <v>0</v>
      </c>
      <c r="J181" s="3">
        <v>0</v>
      </c>
      <c r="K181" s="3">
        <v>0</v>
      </c>
      <c r="L181" s="3" t="s">
        <v>1191</v>
      </c>
      <c r="M181">
        <v>1023085</v>
      </c>
      <c r="N181" t="s">
        <v>420</v>
      </c>
      <c r="P181" t="s">
        <v>421</v>
      </c>
      <c r="Q181" t="s">
        <v>13</v>
      </c>
      <c r="R181">
        <v>2675</v>
      </c>
      <c r="S181" t="s">
        <v>51</v>
      </c>
      <c r="T181" t="s">
        <v>962</v>
      </c>
      <c r="U181">
        <v>0</v>
      </c>
      <c r="V181" t="s">
        <v>1080</v>
      </c>
      <c r="W181" t="s">
        <v>1194</v>
      </c>
      <c r="X181" t="s">
        <v>973</v>
      </c>
      <c r="Y181">
        <v>100000</v>
      </c>
      <c r="Z181" s="2">
        <v>10</v>
      </c>
      <c r="AA181" s="2" t="s">
        <v>1238</v>
      </c>
      <c r="AB181" t="s">
        <v>1238</v>
      </c>
      <c r="AC181">
        <v>883</v>
      </c>
      <c r="AD181" t="s">
        <v>1279</v>
      </c>
      <c r="AE181">
        <v>3</v>
      </c>
      <c r="AF181" t="s">
        <v>1290</v>
      </c>
      <c r="AG181">
        <v>0</v>
      </c>
      <c r="AH181">
        <v>0</v>
      </c>
      <c r="AI181">
        <v>0</v>
      </c>
      <c r="AJ181">
        <v>1875</v>
      </c>
      <c r="AK181">
        <v>2002</v>
      </c>
      <c r="AL181">
        <v>2002</v>
      </c>
      <c r="AM181" s="4" t="s">
        <v>1238</v>
      </c>
      <c r="AN181">
        <v>0</v>
      </c>
      <c r="AO181" t="s">
        <v>1315</v>
      </c>
      <c r="AP181">
        <f t="shared" si="4"/>
        <v>0</v>
      </c>
      <c r="AQ181">
        <v>1</v>
      </c>
      <c r="AR181" t="s">
        <v>1992</v>
      </c>
      <c r="AS181" t="s">
        <v>1995</v>
      </c>
      <c r="AT181" t="s">
        <v>1996</v>
      </c>
      <c r="AU181" t="s">
        <v>1996</v>
      </c>
      <c r="AV181" t="s">
        <v>1996</v>
      </c>
      <c r="AW181" t="s">
        <v>1996</v>
      </c>
      <c r="AX181" t="s">
        <v>2006</v>
      </c>
      <c r="AY181" t="s">
        <v>1996</v>
      </c>
      <c r="AZ181">
        <v>5652</v>
      </c>
      <c r="BA181" t="s">
        <v>1194</v>
      </c>
      <c r="BB181" t="s">
        <v>1194</v>
      </c>
      <c r="BC181" s="3">
        <v>16261.1944</v>
      </c>
      <c r="BD181" s="3">
        <v>10160.23</v>
      </c>
      <c r="BE181" s="3">
        <v>0</v>
      </c>
      <c r="BF181" s="3">
        <v>0</v>
      </c>
      <c r="BG181" s="3">
        <v>150</v>
      </c>
      <c r="BH181" s="3">
        <v>0</v>
      </c>
      <c r="BI181" s="3">
        <v>12016</v>
      </c>
      <c r="BJ181" s="3">
        <v>38587</v>
      </c>
      <c r="BK181" s="3">
        <v>0</v>
      </c>
      <c r="BL181" s="3">
        <v>38587</v>
      </c>
      <c r="BM181" s="2">
        <f t="shared" ca="1" si="5"/>
        <v>3</v>
      </c>
      <c r="BN181" s="3">
        <v>500000</v>
      </c>
      <c r="BO181" s="3">
        <v>100000</v>
      </c>
      <c r="BP181" s="3">
        <v>100000</v>
      </c>
      <c r="BQ181" s="3">
        <v>50000</v>
      </c>
      <c r="BR181" s="3">
        <v>100000</v>
      </c>
      <c r="BS181">
        <v>1000000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 t="s">
        <v>2942</v>
      </c>
      <c r="CA181" t="s">
        <v>2006</v>
      </c>
      <c r="CB181" t="s">
        <v>2941</v>
      </c>
    </row>
    <row r="182" spans="1:80" x14ac:dyDescent="0.25">
      <c r="A182">
        <v>180</v>
      </c>
      <c r="B182" t="s">
        <v>2199</v>
      </c>
      <c r="C182" s="1">
        <v>44719</v>
      </c>
      <c r="D182" s="2">
        <v>18</v>
      </c>
      <c r="E182" t="s">
        <v>4</v>
      </c>
      <c r="F182" t="s">
        <v>1311</v>
      </c>
      <c r="G182">
        <v>0</v>
      </c>
      <c r="H182" s="3">
        <v>5000000</v>
      </c>
      <c r="I182" s="3">
        <v>0</v>
      </c>
      <c r="J182" s="3">
        <v>0</v>
      </c>
      <c r="K182" s="3">
        <v>0</v>
      </c>
      <c r="L182" s="3" t="s">
        <v>1191</v>
      </c>
      <c r="M182">
        <v>1076078</v>
      </c>
      <c r="N182" t="s">
        <v>422</v>
      </c>
      <c r="P182" t="s">
        <v>423</v>
      </c>
      <c r="Q182" t="s">
        <v>19</v>
      </c>
      <c r="R182">
        <v>94301</v>
      </c>
      <c r="S182" t="s">
        <v>83</v>
      </c>
      <c r="T182" t="s">
        <v>975</v>
      </c>
      <c r="U182">
        <v>0</v>
      </c>
      <c r="V182">
        <v>29</v>
      </c>
      <c r="W182" t="s">
        <v>1201</v>
      </c>
      <c r="X182" t="s">
        <v>973</v>
      </c>
      <c r="Y182">
        <v>25000</v>
      </c>
      <c r="Z182" s="2" t="s">
        <v>1194</v>
      </c>
      <c r="AA182" s="2" t="s">
        <v>1238</v>
      </c>
      <c r="AB182" t="s">
        <v>1238</v>
      </c>
      <c r="AC182" t="s">
        <v>1194</v>
      </c>
      <c r="AD182" t="s">
        <v>1279</v>
      </c>
      <c r="AE182">
        <v>2</v>
      </c>
      <c r="AF182" t="s">
        <v>1290</v>
      </c>
      <c r="AG182">
        <v>0</v>
      </c>
      <c r="AH182">
        <v>0</v>
      </c>
      <c r="AI182">
        <v>0</v>
      </c>
      <c r="AJ182">
        <v>2022</v>
      </c>
      <c r="AK182" t="s">
        <v>1194</v>
      </c>
      <c r="AL182">
        <v>1998</v>
      </c>
      <c r="AM182" s="4" t="s">
        <v>1238</v>
      </c>
      <c r="AN182">
        <v>0</v>
      </c>
      <c r="AO182" t="s">
        <v>1316</v>
      </c>
      <c r="AP182">
        <f t="shared" si="4"/>
        <v>0</v>
      </c>
      <c r="AQ182">
        <v>1</v>
      </c>
      <c r="AR182" t="s">
        <v>1992</v>
      </c>
      <c r="AS182" t="s">
        <v>1995</v>
      </c>
      <c r="AT182" t="s">
        <v>1995</v>
      </c>
      <c r="AU182" t="s">
        <v>1996</v>
      </c>
      <c r="AV182" t="s">
        <v>1996</v>
      </c>
      <c r="AW182" t="s">
        <v>1996</v>
      </c>
      <c r="AX182" t="s">
        <v>1194</v>
      </c>
      <c r="AY182" t="s">
        <v>1996</v>
      </c>
      <c r="AZ182">
        <v>10500</v>
      </c>
      <c r="BA182" t="s">
        <v>1194</v>
      </c>
      <c r="BB182" t="s">
        <v>2014</v>
      </c>
      <c r="BC182" s="3">
        <v>0</v>
      </c>
      <c r="BD182" s="3">
        <v>0</v>
      </c>
      <c r="BE182" s="3">
        <v>30715.31</v>
      </c>
      <c r="BF182" s="3">
        <v>6664.32</v>
      </c>
      <c r="BG182" s="3">
        <v>120</v>
      </c>
      <c r="BH182" s="3">
        <v>0</v>
      </c>
      <c r="BI182" s="3">
        <v>0</v>
      </c>
      <c r="BJ182" s="3">
        <v>37499.629999999997</v>
      </c>
      <c r="BK182" s="3">
        <v>0</v>
      </c>
      <c r="BL182" s="3">
        <v>37499.629999999997</v>
      </c>
      <c r="BM182" s="2">
        <f t="shared" ca="1" si="5"/>
        <v>4</v>
      </c>
      <c r="BN182" s="3">
        <v>500000</v>
      </c>
      <c r="BO182" s="3">
        <v>25000</v>
      </c>
      <c r="BP182" s="3" t="s">
        <v>2922</v>
      </c>
      <c r="BQ182" s="3">
        <v>50000</v>
      </c>
      <c r="BR182" s="3">
        <v>1000000</v>
      </c>
      <c r="BS182">
        <v>2000000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0</v>
      </c>
      <c r="BZ182" t="s">
        <v>2948</v>
      </c>
      <c r="CA182" t="s">
        <v>1194</v>
      </c>
      <c r="CB182" t="s">
        <v>2949</v>
      </c>
    </row>
    <row r="183" spans="1:80" x14ac:dyDescent="0.25">
      <c r="A183">
        <v>181</v>
      </c>
      <c r="B183" t="s">
        <v>2200</v>
      </c>
      <c r="C183" s="1">
        <v>44881</v>
      </c>
      <c r="D183" s="2">
        <v>33</v>
      </c>
      <c r="E183" t="s">
        <v>5</v>
      </c>
      <c r="F183" t="s">
        <v>1310</v>
      </c>
      <c r="G183">
        <v>0</v>
      </c>
      <c r="H183" s="3">
        <v>2500000</v>
      </c>
      <c r="I183" s="3">
        <v>226000</v>
      </c>
      <c r="J183" s="3">
        <v>950000</v>
      </c>
      <c r="K183" s="3">
        <v>250000</v>
      </c>
      <c r="L183" s="3" t="s">
        <v>1191</v>
      </c>
      <c r="M183">
        <v>930087</v>
      </c>
      <c r="N183" t="s">
        <v>424</v>
      </c>
      <c r="P183" t="s">
        <v>248</v>
      </c>
      <c r="Q183" t="s">
        <v>20</v>
      </c>
      <c r="R183">
        <v>30327</v>
      </c>
      <c r="S183" t="s">
        <v>57</v>
      </c>
      <c r="T183" t="s">
        <v>973</v>
      </c>
      <c r="U183">
        <v>0</v>
      </c>
      <c r="V183">
        <v>17</v>
      </c>
      <c r="W183" t="s">
        <v>1195</v>
      </c>
      <c r="X183" t="s">
        <v>973</v>
      </c>
      <c r="Y183">
        <v>5000</v>
      </c>
      <c r="Z183" s="2" t="s">
        <v>1194</v>
      </c>
      <c r="AA183" s="2">
        <v>0</v>
      </c>
      <c r="AB183" t="s">
        <v>1238</v>
      </c>
      <c r="AC183">
        <v>781</v>
      </c>
      <c r="AD183" t="s">
        <v>1279</v>
      </c>
      <c r="AE183">
        <v>1</v>
      </c>
      <c r="AF183" t="s">
        <v>1290</v>
      </c>
      <c r="AG183">
        <v>0</v>
      </c>
      <c r="AH183">
        <v>0</v>
      </c>
      <c r="AI183">
        <v>0</v>
      </c>
      <c r="AJ183">
        <v>1998</v>
      </c>
      <c r="AK183" t="s">
        <v>1194</v>
      </c>
      <c r="AL183" t="s">
        <v>1194</v>
      </c>
      <c r="AM183" s="4" t="s">
        <v>1305</v>
      </c>
      <c r="AN183">
        <v>1</v>
      </c>
      <c r="AO183" t="s">
        <v>1315</v>
      </c>
      <c r="AP183">
        <f t="shared" si="4"/>
        <v>0</v>
      </c>
      <c r="AQ183">
        <v>0</v>
      </c>
      <c r="AR183" t="s">
        <v>1993</v>
      </c>
      <c r="AS183" t="s">
        <v>1996</v>
      </c>
      <c r="AT183" t="s">
        <v>1996</v>
      </c>
      <c r="AU183" t="s">
        <v>1996</v>
      </c>
      <c r="AV183" t="s">
        <v>1995</v>
      </c>
      <c r="AW183" t="s">
        <v>1996</v>
      </c>
      <c r="AX183" t="s">
        <v>2006</v>
      </c>
      <c r="AY183" t="s">
        <v>1996</v>
      </c>
      <c r="AZ183">
        <v>4096</v>
      </c>
      <c r="BA183" t="s">
        <v>1194</v>
      </c>
      <c r="BB183" t="s">
        <v>1194</v>
      </c>
      <c r="BC183" s="3">
        <v>8492.1980999999996</v>
      </c>
      <c r="BD183" s="3">
        <v>7653.33</v>
      </c>
      <c r="BE183" s="3">
        <v>0</v>
      </c>
      <c r="BF183" s="3">
        <v>0</v>
      </c>
      <c r="BG183" s="3">
        <v>150</v>
      </c>
      <c r="BH183" s="3">
        <v>0</v>
      </c>
      <c r="BI183" s="3">
        <v>0</v>
      </c>
      <c r="BJ183" s="3">
        <v>16296</v>
      </c>
      <c r="BK183" s="3">
        <v>150</v>
      </c>
      <c r="BL183" s="3">
        <v>16446</v>
      </c>
      <c r="BM183" s="2">
        <f t="shared" ca="1" si="5"/>
        <v>1</v>
      </c>
      <c r="BN183" s="3" t="s">
        <v>2916</v>
      </c>
      <c r="BO183" s="3">
        <v>25000</v>
      </c>
      <c r="BP183" s="3" t="s">
        <v>2922</v>
      </c>
      <c r="BQ183" s="3">
        <v>50000</v>
      </c>
      <c r="BR183" s="3">
        <v>1000000</v>
      </c>
      <c r="BS183">
        <v>100000</v>
      </c>
      <c r="BT183">
        <v>0</v>
      </c>
      <c r="BU183">
        <v>0</v>
      </c>
      <c r="BV183">
        <v>1</v>
      </c>
      <c r="BW183">
        <v>0</v>
      </c>
      <c r="BX183">
        <v>0</v>
      </c>
      <c r="BY183">
        <v>0</v>
      </c>
      <c r="BZ183" t="s">
        <v>2942</v>
      </c>
      <c r="CA183" t="s">
        <v>2006</v>
      </c>
      <c r="CB183" t="s">
        <v>2941</v>
      </c>
    </row>
    <row r="184" spans="1:80" x14ac:dyDescent="0.25">
      <c r="A184">
        <v>182</v>
      </c>
      <c r="B184" t="s">
        <v>2201</v>
      </c>
      <c r="C184" s="1">
        <v>44949</v>
      </c>
      <c r="D184" s="2">
        <v>3</v>
      </c>
      <c r="E184" t="s">
        <v>4</v>
      </c>
      <c r="F184" t="s">
        <v>1310</v>
      </c>
      <c r="G184">
        <v>0</v>
      </c>
      <c r="H184" s="3">
        <v>9915000</v>
      </c>
      <c r="I184" s="3">
        <v>495600</v>
      </c>
      <c r="J184" s="3">
        <v>1000000</v>
      </c>
      <c r="K184" s="3">
        <v>0</v>
      </c>
      <c r="L184" s="3" t="s">
        <v>1191</v>
      </c>
      <c r="M184">
        <v>1604575</v>
      </c>
      <c r="N184" t="s">
        <v>425</v>
      </c>
      <c r="P184" t="s">
        <v>124</v>
      </c>
      <c r="Q184" t="s">
        <v>15</v>
      </c>
      <c r="R184">
        <v>33477</v>
      </c>
      <c r="S184" t="s">
        <v>27</v>
      </c>
      <c r="T184" t="s">
        <v>964</v>
      </c>
      <c r="U184">
        <v>1</v>
      </c>
      <c r="V184" t="s">
        <v>985</v>
      </c>
      <c r="W184" t="s">
        <v>1194</v>
      </c>
      <c r="X184" t="s">
        <v>1309</v>
      </c>
      <c r="Y184">
        <v>25000</v>
      </c>
      <c r="Z184" s="2">
        <v>10</v>
      </c>
      <c r="AA184" s="2" t="s">
        <v>1238</v>
      </c>
      <c r="AB184" t="s">
        <v>1238</v>
      </c>
      <c r="AC184">
        <v>745</v>
      </c>
      <c r="AD184" t="s">
        <v>1280</v>
      </c>
      <c r="AE184">
        <v>1</v>
      </c>
      <c r="AF184" t="s">
        <v>1290</v>
      </c>
      <c r="AG184">
        <v>0</v>
      </c>
      <c r="AH184">
        <v>0</v>
      </c>
      <c r="AI184">
        <v>0</v>
      </c>
      <c r="AJ184">
        <v>1993</v>
      </c>
      <c r="AK184">
        <v>2012</v>
      </c>
      <c r="AL184">
        <v>2012</v>
      </c>
      <c r="AM184" s="4" t="s">
        <v>1305</v>
      </c>
      <c r="AN184">
        <v>1</v>
      </c>
      <c r="AO184" t="s">
        <v>1316</v>
      </c>
      <c r="AP184">
        <f t="shared" si="4"/>
        <v>0</v>
      </c>
      <c r="AQ184">
        <v>1</v>
      </c>
      <c r="AR184" t="s">
        <v>1992</v>
      </c>
      <c r="AS184" t="s">
        <v>1996</v>
      </c>
      <c r="AT184" t="s">
        <v>1996</v>
      </c>
      <c r="AU184" t="s">
        <v>1996</v>
      </c>
      <c r="AV184" t="s">
        <v>1996</v>
      </c>
      <c r="AW184" t="s">
        <v>1995</v>
      </c>
      <c r="AX184" t="s">
        <v>2007</v>
      </c>
      <c r="AY184" t="s">
        <v>1995</v>
      </c>
      <c r="AZ184">
        <v>8782</v>
      </c>
      <c r="BA184" t="s">
        <v>1194</v>
      </c>
      <c r="BB184" t="s">
        <v>1194</v>
      </c>
      <c r="BC184" s="3">
        <v>20872.046999999999</v>
      </c>
      <c r="BD184" s="3">
        <v>39677.06</v>
      </c>
      <c r="BE184" s="3">
        <v>0</v>
      </c>
      <c r="BF184" s="3">
        <v>0</v>
      </c>
      <c r="BG184" s="3">
        <v>300</v>
      </c>
      <c r="BH184" s="3">
        <v>0</v>
      </c>
      <c r="BI184" s="3">
        <v>266780</v>
      </c>
      <c r="BJ184" s="3">
        <v>327629</v>
      </c>
      <c r="BK184" s="3">
        <v>225</v>
      </c>
      <c r="BL184" s="3">
        <v>327854</v>
      </c>
      <c r="BM184" s="2">
        <f t="shared" ca="1" si="5"/>
        <v>5</v>
      </c>
      <c r="BN184" s="3">
        <v>1000000</v>
      </c>
      <c r="BO184" s="3">
        <v>100000</v>
      </c>
      <c r="BP184" s="3" t="s">
        <v>2922</v>
      </c>
      <c r="BQ184" s="3">
        <v>50000</v>
      </c>
      <c r="BR184" s="3">
        <v>100000</v>
      </c>
      <c r="BS184">
        <v>250000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 t="s">
        <v>2940</v>
      </c>
      <c r="CA184" t="s">
        <v>2939</v>
      </c>
      <c r="CB184" t="s">
        <v>2941</v>
      </c>
    </row>
    <row r="185" spans="1:80" x14ac:dyDescent="0.25">
      <c r="A185">
        <v>183</v>
      </c>
      <c r="B185" t="s">
        <v>2202</v>
      </c>
      <c r="C185" s="1">
        <v>44733</v>
      </c>
      <c r="D185" s="2">
        <v>18</v>
      </c>
      <c r="E185" t="s">
        <v>5</v>
      </c>
      <c r="F185" t="s">
        <v>1310</v>
      </c>
      <c r="G185">
        <v>0</v>
      </c>
      <c r="H185" s="3">
        <v>3200000</v>
      </c>
      <c r="I185" s="3">
        <v>0</v>
      </c>
      <c r="J185" s="3">
        <v>0</v>
      </c>
      <c r="K185" s="3">
        <v>0</v>
      </c>
      <c r="L185" s="3" t="s">
        <v>1191</v>
      </c>
      <c r="M185">
        <v>1952571</v>
      </c>
      <c r="N185" t="s">
        <v>426</v>
      </c>
      <c r="O185" t="s">
        <v>427</v>
      </c>
      <c r="P185" t="s">
        <v>428</v>
      </c>
      <c r="Q185" t="s">
        <v>14</v>
      </c>
      <c r="R185">
        <v>11568</v>
      </c>
      <c r="S185" t="s">
        <v>38</v>
      </c>
      <c r="T185" t="s">
        <v>962</v>
      </c>
      <c r="U185">
        <v>0</v>
      </c>
      <c r="V185" t="s">
        <v>1081</v>
      </c>
      <c r="W185" t="s">
        <v>1194</v>
      </c>
      <c r="X185" t="s">
        <v>973</v>
      </c>
      <c r="Y185">
        <v>10000</v>
      </c>
      <c r="Z185" s="2">
        <v>2</v>
      </c>
      <c r="AA185" s="2" t="s">
        <v>1238</v>
      </c>
      <c r="AB185" t="s">
        <v>1238</v>
      </c>
      <c r="AC185">
        <v>704</v>
      </c>
      <c r="AD185" t="s">
        <v>1280</v>
      </c>
      <c r="AE185">
        <v>3</v>
      </c>
      <c r="AF185" t="s">
        <v>1290</v>
      </c>
      <c r="AG185">
        <v>0</v>
      </c>
      <c r="AH185">
        <v>0</v>
      </c>
      <c r="AI185">
        <v>0</v>
      </c>
      <c r="AJ185">
        <v>2022</v>
      </c>
      <c r="AK185" t="s">
        <v>1194</v>
      </c>
      <c r="AL185" t="s">
        <v>1194</v>
      </c>
      <c r="AM185" s="4" t="s">
        <v>1304</v>
      </c>
      <c r="AN185">
        <v>1</v>
      </c>
      <c r="AO185" t="s">
        <v>1316</v>
      </c>
      <c r="AP185">
        <f t="shared" si="4"/>
        <v>0</v>
      </c>
      <c r="AQ185">
        <v>1</v>
      </c>
      <c r="AR185" t="s">
        <v>1992</v>
      </c>
      <c r="AS185" t="s">
        <v>1995</v>
      </c>
      <c r="AT185" t="s">
        <v>1995</v>
      </c>
      <c r="AU185" t="s">
        <v>1995</v>
      </c>
      <c r="AV185" t="s">
        <v>1996</v>
      </c>
      <c r="AW185" t="s">
        <v>1995</v>
      </c>
      <c r="AX185" t="s">
        <v>2006</v>
      </c>
      <c r="AY185" t="s">
        <v>1996</v>
      </c>
      <c r="AZ185">
        <v>3000</v>
      </c>
      <c r="BA185" t="s">
        <v>1194</v>
      </c>
      <c r="BB185" t="s">
        <v>1194</v>
      </c>
      <c r="BC185" s="3">
        <v>6115.7930999999999</v>
      </c>
      <c r="BD185" s="3">
        <v>1459.56</v>
      </c>
      <c r="BE185" s="3">
        <v>0</v>
      </c>
      <c r="BF185" s="3">
        <v>0</v>
      </c>
      <c r="BG185" s="3">
        <v>0</v>
      </c>
      <c r="BH185" s="3">
        <v>0</v>
      </c>
      <c r="BI185" s="3">
        <v>8425</v>
      </c>
      <c r="BJ185" s="3">
        <v>16000</v>
      </c>
      <c r="BK185" s="3">
        <v>300</v>
      </c>
      <c r="BL185" s="3">
        <v>16300</v>
      </c>
      <c r="BM185" s="2">
        <f t="shared" ca="1" si="5"/>
        <v>3</v>
      </c>
      <c r="BN185" s="3">
        <v>50000</v>
      </c>
      <c r="BO185" s="3">
        <v>2000000</v>
      </c>
      <c r="BP185" s="3" t="s">
        <v>2922</v>
      </c>
      <c r="BQ185" s="3">
        <v>50000</v>
      </c>
      <c r="BR185" s="3">
        <v>50000</v>
      </c>
      <c r="BS185">
        <v>50000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 t="s">
        <v>2006</v>
      </c>
      <c r="CA185" t="s">
        <v>2006</v>
      </c>
      <c r="CB185" t="s">
        <v>2006</v>
      </c>
    </row>
    <row r="186" spans="1:80" x14ac:dyDescent="0.25">
      <c r="A186">
        <v>184</v>
      </c>
      <c r="B186" t="s">
        <v>2203</v>
      </c>
      <c r="C186" s="1">
        <v>44867</v>
      </c>
      <c r="D186" s="2">
        <v>33</v>
      </c>
      <c r="E186" t="s">
        <v>4</v>
      </c>
      <c r="F186" t="s">
        <v>1311</v>
      </c>
      <c r="G186">
        <v>1</v>
      </c>
      <c r="H186" s="3">
        <v>8407451</v>
      </c>
      <c r="I186" s="3">
        <v>2220000</v>
      </c>
      <c r="J186" s="3">
        <v>0</v>
      </c>
      <c r="K186" s="3">
        <v>0</v>
      </c>
      <c r="L186" s="3" t="s">
        <v>1191</v>
      </c>
      <c r="M186">
        <v>1992940</v>
      </c>
      <c r="N186" t="s">
        <v>429</v>
      </c>
      <c r="P186" t="s">
        <v>111</v>
      </c>
      <c r="Q186" t="s">
        <v>14</v>
      </c>
      <c r="R186">
        <v>11937</v>
      </c>
      <c r="S186" t="s">
        <v>26</v>
      </c>
      <c r="T186" t="s">
        <v>963</v>
      </c>
      <c r="U186">
        <v>0</v>
      </c>
      <c r="V186" t="s">
        <v>984</v>
      </c>
      <c r="W186" t="s">
        <v>1194</v>
      </c>
      <c r="X186" t="s">
        <v>973</v>
      </c>
      <c r="Y186">
        <v>50000</v>
      </c>
      <c r="Z186" s="2">
        <v>1.9999997620000001</v>
      </c>
      <c r="AA186" s="2" t="s">
        <v>1238</v>
      </c>
      <c r="AB186" t="s">
        <v>1238</v>
      </c>
      <c r="AC186">
        <v>1</v>
      </c>
      <c r="AD186" t="s">
        <v>1279</v>
      </c>
      <c r="AE186">
        <v>3</v>
      </c>
      <c r="AF186" t="s">
        <v>1290</v>
      </c>
      <c r="AG186">
        <v>0</v>
      </c>
      <c r="AH186">
        <v>0</v>
      </c>
      <c r="AI186">
        <v>0</v>
      </c>
      <c r="AJ186">
        <v>2022</v>
      </c>
      <c r="AK186" t="s">
        <v>1194</v>
      </c>
      <c r="AL186" t="s">
        <v>1194</v>
      </c>
      <c r="AM186" s="4" t="s">
        <v>1238</v>
      </c>
      <c r="AN186">
        <v>1</v>
      </c>
      <c r="AO186" t="s">
        <v>1315</v>
      </c>
      <c r="AP186">
        <f t="shared" si="4"/>
        <v>0</v>
      </c>
      <c r="AQ186">
        <v>0</v>
      </c>
      <c r="AR186" t="s">
        <v>1993</v>
      </c>
      <c r="AS186" t="s">
        <v>1996</v>
      </c>
      <c r="AT186" t="s">
        <v>1996</v>
      </c>
      <c r="AU186" t="s">
        <v>1995</v>
      </c>
      <c r="AV186" t="s">
        <v>1996</v>
      </c>
      <c r="AW186" t="s">
        <v>1995</v>
      </c>
      <c r="AX186" t="s">
        <v>2007</v>
      </c>
      <c r="AY186" t="s">
        <v>1995</v>
      </c>
      <c r="AZ186">
        <v>6350</v>
      </c>
      <c r="BA186" t="s">
        <v>1194</v>
      </c>
      <c r="BB186" t="s">
        <v>1194</v>
      </c>
      <c r="BC186" s="3">
        <v>21812.2641</v>
      </c>
      <c r="BD186" s="3">
        <v>20602.310000000001</v>
      </c>
      <c r="BE186" s="3">
        <v>0</v>
      </c>
      <c r="BF186" s="3">
        <v>0</v>
      </c>
      <c r="BG186" s="3">
        <v>150</v>
      </c>
      <c r="BH186" s="3">
        <v>0</v>
      </c>
      <c r="BI186" s="3">
        <v>42616</v>
      </c>
      <c r="BJ186" s="3">
        <v>85181</v>
      </c>
      <c r="BK186" s="3">
        <v>875</v>
      </c>
      <c r="BL186" s="3">
        <v>86056</v>
      </c>
      <c r="BM186" s="2">
        <f t="shared" ca="1" si="5"/>
        <v>5</v>
      </c>
      <c r="BN186" s="3">
        <v>50000</v>
      </c>
      <c r="BO186" s="3">
        <v>25000</v>
      </c>
      <c r="BP186" s="3">
        <v>50000</v>
      </c>
      <c r="BQ186" s="3">
        <v>500000</v>
      </c>
      <c r="BR186" s="3" t="s">
        <v>2916</v>
      </c>
      <c r="BS186">
        <v>2000000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 t="s">
        <v>2942</v>
      </c>
      <c r="CA186" t="s">
        <v>2006</v>
      </c>
      <c r="CB186" t="s">
        <v>2946</v>
      </c>
    </row>
    <row r="187" spans="1:80" x14ac:dyDescent="0.25">
      <c r="A187">
        <v>185</v>
      </c>
      <c r="B187" t="s">
        <v>2204</v>
      </c>
      <c r="C187" s="1">
        <v>44952</v>
      </c>
      <c r="D187" s="2">
        <v>3</v>
      </c>
      <c r="E187" t="s">
        <v>4</v>
      </c>
      <c r="F187" t="s">
        <v>1310</v>
      </c>
      <c r="G187">
        <v>0</v>
      </c>
      <c r="H187" s="3">
        <v>7041600</v>
      </c>
      <c r="I187" s="3">
        <v>650000</v>
      </c>
      <c r="J187" s="3">
        <v>0</v>
      </c>
      <c r="K187" s="3">
        <v>0</v>
      </c>
      <c r="L187" s="3" t="s">
        <v>1191</v>
      </c>
      <c r="M187">
        <v>932385</v>
      </c>
      <c r="N187" t="s">
        <v>430</v>
      </c>
      <c r="P187" t="s">
        <v>431</v>
      </c>
      <c r="Q187" t="s">
        <v>15</v>
      </c>
      <c r="R187">
        <v>33462</v>
      </c>
      <c r="S187" t="s">
        <v>27</v>
      </c>
      <c r="T187" t="s">
        <v>967</v>
      </c>
      <c r="U187">
        <v>0</v>
      </c>
      <c r="V187" t="s">
        <v>989</v>
      </c>
      <c r="W187" t="s">
        <v>1194</v>
      </c>
      <c r="X187" t="s">
        <v>973</v>
      </c>
      <c r="Y187">
        <v>25000</v>
      </c>
      <c r="Z187" s="2">
        <v>2</v>
      </c>
      <c r="AA187" s="2" t="s">
        <v>1238</v>
      </c>
      <c r="AB187" t="s">
        <v>1238</v>
      </c>
      <c r="AC187">
        <v>731</v>
      </c>
      <c r="AD187" t="s">
        <v>1280</v>
      </c>
      <c r="AE187">
        <v>3</v>
      </c>
      <c r="AF187" t="s">
        <v>1291</v>
      </c>
      <c r="AG187">
        <v>0</v>
      </c>
      <c r="AH187">
        <v>0</v>
      </c>
      <c r="AI187">
        <v>0</v>
      </c>
      <c r="AJ187">
        <v>2019</v>
      </c>
      <c r="AK187" t="s">
        <v>1194</v>
      </c>
      <c r="AL187" t="s">
        <v>1194</v>
      </c>
      <c r="AM187" s="4" t="s">
        <v>1304</v>
      </c>
      <c r="AN187">
        <v>1</v>
      </c>
      <c r="AO187" t="s">
        <v>1316</v>
      </c>
      <c r="AP187">
        <f t="shared" si="4"/>
        <v>0</v>
      </c>
      <c r="AQ187">
        <v>1</v>
      </c>
      <c r="AR187" t="s">
        <v>1992</v>
      </c>
      <c r="AS187" t="s">
        <v>1996</v>
      </c>
      <c r="AT187" t="s">
        <v>1996</v>
      </c>
      <c r="AU187" t="s">
        <v>1996</v>
      </c>
      <c r="AV187" t="s">
        <v>1996</v>
      </c>
      <c r="AW187" t="s">
        <v>1995</v>
      </c>
      <c r="AX187" t="s">
        <v>2007</v>
      </c>
      <c r="AY187" t="s">
        <v>1995</v>
      </c>
      <c r="AZ187">
        <v>8632</v>
      </c>
      <c r="BA187" t="s">
        <v>1194</v>
      </c>
      <c r="BB187" t="s">
        <v>1194</v>
      </c>
      <c r="BC187" s="3">
        <v>15040.865100000001</v>
      </c>
      <c r="BD187" s="3">
        <v>38602.92</v>
      </c>
      <c r="BE187" s="3">
        <v>0</v>
      </c>
      <c r="BF187" s="3">
        <v>0</v>
      </c>
      <c r="BG187" s="3">
        <v>300</v>
      </c>
      <c r="BH187" s="3">
        <v>0</v>
      </c>
      <c r="BI187" s="3">
        <v>34590</v>
      </c>
      <c r="BJ187" s="3">
        <v>88534</v>
      </c>
      <c r="BK187" s="3">
        <v>0</v>
      </c>
      <c r="BL187" s="3">
        <v>88534</v>
      </c>
      <c r="BM187" s="2">
        <f t="shared" ca="1" si="5"/>
        <v>3</v>
      </c>
      <c r="BN187" s="3">
        <v>1000000</v>
      </c>
      <c r="BO187" s="3">
        <v>25000</v>
      </c>
      <c r="BP187" s="3">
        <v>50000</v>
      </c>
      <c r="BQ187" s="3">
        <v>100000</v>
      </c>
      <c r="BR187" s="3">
        <v>2000000</v>
      </c>
      <c r="BS187">
        <v>1000000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 t="s">
        <v>2940</v>
      </c>
      <c r="CA187" t="s">
        <v>2939</v>
      </c>
      <c r="CB187" t="s">
        <v>2941</v>
      </c>
    </row>
    <row r="188" spans="1:80" x14ac:dyDescent="0.25">
      <c r="A188">
        <v>186</v>
      </c>
      <c r="B188" t="s">
        <v>2205</v>
      </c>
      <c r="C188" s="1">
        <v>44734</v>
      </c>
      <c r="D188" s="2">
        <v>18</v>
      </c>
      <c r="E188" t="s">
        <v>4</v>
      </c>
      <c r="F188" t="s">
        <v>1311</v>
      </c>
      <c r="G188">
        <v>0</v>
      </c>
      <c r="H188" s="3">
        <v>0</v>
      </c>
      <c r="I188" s="3">
        <v>0</v>
      </c>
      <c r="J188" s="3">
        <v>11000000</v>
      </c>
      <c r="K188" s="3">
        <v>0</v>
      </c>
      <c r="L188" s="3" t="s">
        <v>1192</v>
      </c>
      <c r="M188">
        <v>1930004</v>
      </c>
      <c r="N188" t="s">
        <v>432</v>
      </c>
      <c r="P188" t="s">
        <v>29</v>
      </c>
      <c r="Q188" t="s">
        <v>14</v>
      </c>
      <c r="R188">
        <v>10028</v>
      </c>
      <c r="S188" t="s">
        <v>29</v>
      </c>
      <c r="T188" t="s">
        <v>968</v>
      </c>
      <c r="U188">
        <v>0</v>
      </c>
      <c r="V188" t="s">
        <v>1000</v>
      </c>
      <c r="W188" t="s">
        <v>1194</v>
      </c>
      <c r="X188" t="s">
        <v>973</v>
      </c>
      <c r="Y188">
        <v>25000</v>
      </c>
      <c r="Z188" s="2">
        <v>1</v>
      </c>
      <c r="AA188" s="2" t="s">
        <v>1238</v>
      </c>
      <c r="AB188" t="s">
        <v>1238</v>
      </c>
      <c r="AC188">
        <v>769</v>
      </c>
      <c r="AD188" t="s">
        <v>1283</v>
      </c>
      <c r="AE188">
        <v>1</v>
      </c>
      <c r="AF188" t="s">
        <v>1290</v>
      </c>
      <c r="AG188">
        <v>0</v>
      </c>
      <c r="AH188">
        <v>0</v>
      </c>
      <c r="AI188">
        <v>0</v>
      </c>
      <c r="AJ188">
        <v>1925</v>
      </c>
      <c r="AK188" t="s">
        <v>1194</v>
      </c>
      <c r="AL188" t="s">
        <v>1194</v>
      </c>
      <c r="AM188" s="4" t="s">
        <v>1238</v>
      </c>
      <c r="AN188">
        <v>1</v>
      </c>
      <c r="AO188" t="s">
        <v>1317</v>
      </c>
      <c r="AP188">
        <f t="shared" si="4"/>
        <v>0</v>
      </c>
      <c r="AQ188">
        <v>0</v>
      </c>
      <c r="AR188" t="s">
        <v>1993</v>
      </c>
      <c r="AS188" t="s">
        <v>1995</v>
      </c>
      <c r="AT188" t="s">
        <v>1995</v>
      </c>
      <c r="AU188" t="s">
        <v>1995</v>
      </c>
      <c r="AV188" t="s">
        <v>1996</v>
      </c>
      <c r="AW188" t="s">
        <v>1995</v>
      </c>
      <c r="AX188" t="s">
        <v>2006</v>
      </c>
      <c r="AY188" t="s">
        <v>1996</v>
      </c>
      <c r="AZ188">
        <v>5500</v>
      </c>
      <c r="BA188" t="s">
        <v>1194</v>
      </c>
      <c r="BB188" t="s">
        <v>1194</v>
      </c>
      <c r="BC188" s="3">
        <v>34278.660300000003</v>
      </c>
      <c r="BD188" s="3">
        <v>7041.93</v>
      </c>
      <c r="BE188" s="3">
        <v>0</v>
      </c>
      <c r="BF188" s="3">
        <v>0</v>
      </c>
      <c r="BG188" s="3">
        <v>150</v>
      </c>
      <c r="BH188" s="3">
        <v>0</v>
      </c>
      <c r="BI188" s="3">
        <v>13500</v>
      </c>
      <c r="BJ188" s="3">
        <v>54971</v>
      </c>
      <c r="BK188" s="3">
        <v>0</v>
      </c>
      <c r="BL188" s="3">
        <v>54971</v>
      </c>
      <c r="BM188" s="2">
        <f t="shared" ca="1" si="5"/>
        <v>6</v>
      </c>
      <c r="BN188" s="3" t="s">
        <v>2916</v>
      </c>
      <c r="BO188" s="3">
        <v>1000000</v>
      </c>
      <c r="BP188" s="3">
        <v>50000</v>
      </c>
      <c r="BQ188" s="3">
        <v>1000000</v>
      </c>
      <c r="BR188" s="3">
        <v>500000</v>
      </c>
      <c r="BS188">
        <v>50000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 t="s">
        <v>2006</v>
      </c>
      <c r="CA188" t="s">
        <v>2006</v>
      </c>
      <c r="CB188" t="s">
        <v>2946</v>
      </c>
    </row>
    <row r="189" spans="1:80" x14ac:dyDescent="0.25">
      <c r="A189">
        <v>187</v>
      </c>
      <c r="B189" t="s">
        <v>2206</v>
      </c>
      <c r="C189" s="1">
        <v>44753</v>
      </c>
      <c r="D189" s="2">
        <v>21</v>
      </c>
      <c r="E189" t="s">
        <v>4</v>
      </c>
      <c r="F189" t="s">
        <v>1311</v>
      </c>
      <c r="G189">
        <v>1</v>
      </c>
      <c r="H189" s="3">
        <v>4100000</v>
      </c>
      <c r="I189" s="3">
        <v>250000</v>
      </c>
      <c r="J189" s="3">
        <v>0</v>
      </c>
      <c r="K189" s="3">
        <v>0</v>
      </c>
      <c r="L189" s="3" t="s">
        <v>1191</v>
      </c>
      <c r="M189">
        <v>1097213</v>
      </c>
      <c r="N189" t="s">
        <v>433</v>
      </c>
      <c r="O189" t="s">
        <v>434</v>
      </c>
      <c r="P189" t="s">
        <v>29</v>
      </c>
      <c r="Q189" t="s">
        <v>14</v>
      </c>
      <c r="R189">
        <v>10128</v>
      </c>
      <c r="S189" t="s">
        <v>29</v>
      </c>
      <c r="T189" t="s">
        <v>968</v>
      </c>
      <c r="U189">
        <v>0</v>
      </c>
      <c r="V189" t="s">
        <v>1082</v>
      </c>
      <c r="W189" t="s">
        <v>1194</v>
      </c>
      <c r="X189" t="s">
        <v>973</v>
      </c>
      <c r="Y189">
        <v>25000</v>
      </c>
      <c r="Z189" s="2">
        <v>2</v>
      </c>
      <c r="AA189" s="2" t="s">
        <v>1238</v>
      </c>
      <c r="AB189" t="s">
        <v>1238</v>
      </c>
      <c r="AC189">
        <v>670</v>
      </c>
      <c r="AD189" t="s">
        <v>1280</v>
      </c>
      <c r="AE189">
        <v>1</v>
      </c>
      <c r="AF189" t="s">
        <v>1290</v>
      </c>
      <c r="AG189">
        <v>0</v>
      </c>
      <c r="AH189">
        <v>0</v>
      </c>
      <c r="AI189">
        <v>0</v>
      </c>
      <c r="AJ189">
        <v>1901</v>
      </c>
      <c r="AK189">
        <v>2018</v>
      </c>
      <c r="AL189">
        <v>2018</v>
      </c>
      <c r="AM189" s="4" t="s">
        <v>1238</v>
      </c>
      <c r="AN189">
        <v>0</v>
      </c>
      <c r="AO189" t="s">
        <v>1317</v>
      </c>
      <c r="AP189">
        <f t="shared" si="4"/>
        <v>0</v>
      </c>
      <c r="AQ189">
        <v>0</v>
      </c>
      <c r="AR189" t="s">
        <v>1993</v>
      </c>
      <c r="AS189" t="s">
        <v>1996</v>
      </c>
      <c r="AT189" t="s">
        <v>1996</v>
      </c>
      <c r="AU189" t="s">
        <v>1996</v>
      </c>
      <c r="AV189" t="s">
        <v>1995</v>
      </c>
      <c r="AW189" t="s">
        <v>1995</v>
      </c>
      <c r="AX189" t="s">
        <v>2006</v>
      </c>
      <c r="AY189" t="s">
        <v>1996</v>
      </c>
      <c r="AZ189">
        <v>2722</v>
      </c>
      <c r="BA189" t="s">
        <v>1194</v>
      </c>
      <c r="BB189" t="s">
        <v>1194</v>
      </c>
      <c r="BC189" s="3">
        <v>16281.2366</v>
      </c>
      <c r="BD189" s="3">
        <v>3288.46</v>
      </c>
      <c r="BE189" s="3">
        <v>0</v>
      </c>
      <c r="BF189" s="3">
        <v>0</v>
      </c>
      <c r="BG189" s="3">
        <v>150</v>
      </c>
      <c r="BH189" s="3">
        <v>0</v>
      </c>
      <c r="BI189" s="3">
        <v>9405</v>
      </c>
      <c r="BJ189" s="3">
        <v>29125</v>
      </c>
      <c r="BK189" s="3">
        <v>0</v>
      </c>
      <c r="BL189" s="3">
        <v>29125</v>
      </c>
      <c r="BM189" s="2">
        <f t="shared" ca="1" si="5"/>
        <v>2</v>
      </c>
      <c r="BN189" s="3" t="s">
        <v>2916</v>
      </c>
      <c r="BO189" s="3">
        <v>500000</v>
      </c>
      <c r="BP189" s="3">
        <v>50000</v>
      </c>
      <c r="BQ189" s="3">
        <v>500000</v>
      </c>
      <c r="BR189" s="3">
        <v>100000</v>
      </c>
      <c r="BS189">
        <v>100000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 t="s">
        <v>2940</v>
      </c>
      <c r="CA189" t="s">
        <v>2939</v>
      </c>
      <c r="CB189" t="s">
        <v>2946</v>
      </c>
    </row>
    <row r="190" spans="1:80" x14ac:dyDescent="0.25">
      <c r="A190">
        <v>188</v>
      </c>
      <c r="B190" t="s">
        <v>2207</v>
      </c>
      <c r="C190" s="1">
        <v>44911</v>
      </c>
      <c r="D190" s="2">
        <v>36</v>
      </c>
      <c r="E190" t="s">
        <v>4</v>
      </c>
      <c r="F190" t="s">
        <v>1311</v>
      </c>
      <c r="G190">
        <v>1</v>
      </c>
      <c r="H190" s="3">
        <v>2400000</v>
      </c>
      <c r="I190" s="3">
        <v>70000</v>
      </c>
      <c r="J190" s="3">
        <v>0</v>
      </c>
      <c r="K190" s="3">
        <v>0</v>
      </c>
      <c r="L190" s="3" t="s">
        <v>1191</v>
      </c>
      <c r="M190">
        <v>1593987</v>
      </c>
      <c r="N190" t="s">
        <v>435</v>
      </c>
      <c r="P190" t="s">
        <v>436</v>
      </c>
      <c r="Q190" t="s">
        <v>15</v>
      </c>
      <c r="R190">
        <v>32034</v>
      </c>
      <c r="S190" t="s">
        <v>38</v>
      </c>
      <c r="T190" t="s">
        <v>964</v>
      </c>
      <c r="U190">
        <v>1</v>
      </c>
      <c r="V190" t="s">
        <v>1040</v>
      </c>
      <c r="W190" t="s">
        <v>1194</v>
      </c>
      <c r="X190" t="s">
        <v>1309</v>
      </c>
      <c r="Y190">
        <v>25000</v>
      </c>
      <c r="Z190" s="2">
        <v>10</v>
      </c>
      <c r="AA190" s="2" t="s">
        <v>1238</v>
      </c>
      <c r="AB190" t="s">
        <v>1238</v>
      </c>
      <c r="AC190">
        <v>680</v>
      </c>
      <c r="AD190" t="s">
        <v>1279</v>
      </c>
      <c r="AE190">
        <v>3</v>
      </c>
      <c r="AF190" t="s">
        <v>1290</v>
      </c>
      <c r="AG190">
        <v>0</v>
      </c>
      <c r="AH190">
        <v>0</v>
      </c>
      <c r="AI190">
        <v>0</v>
      </c>
      <c r="AJ190">
        <v>1993</v>
      </c>
      <c r="AK190" t="s">
        <v>1194</v>
      </c>
      <c r="AL190" t="s">
        <v>1194</v>
      </c>
      <c r="AM190" s="4" t="s">
        <v>1238</v>
      </c>
      <c r="AN190">
        <v>1</v>
      </c>
      <c r="AO190" t="s">
        <v>1316</v>
      </c>
      <c r="AP190">
        <f t="shared" si="4"/>
        <v>0</v>
      </c>
      <c r="AQ190">
        <v>0</v>
      </c>
      <c r="AR190" t="s">
        <v>1993</v>
      </c>
      <c r="AS190" t="s">
        <v>1995</v>
      </c>
      <c r="AT190" t="s">
        <v>1996</v>
      </c>
      <c r="AU190" t="s">
        <v>1995</v>
      </c>
      <c r="AV190" t="s">
        <v>1995</v>
      </c>
      <c r="AW190" t="s">
        <v>1996</v>
      </c>
      <c r="AX190" t="s">
        <v>2003</v>
      </c>
      <c r="AY190" t="s">
        <v>1996</v>
      </c>
      <c r="AZ190">
        <v>3823</v>
      </c>
      <c r="BA190" t="s">
        <v>1194</v>
      </c>
      <c r="BB190" t="s">
        <v>1194</v>
      </c>
      <c r="BC190" s="3">
        <v>5507.7326999999996</v>
      </c>
      <c r="BD190" s="3">
        <v>8144.08</v>
      </c>
      <c r="BE190" s="3">
        <v>0</v>
      </c>
      <c r="BF190" s="3">
        <v>0</v>
      </c>
      <c r="BG190" s="3">
        <v>300</v>
      </c>
      <c r="BH190" s="3">
        <v>0</v>
      </c>
      <c r="BI190" s="3">
        <v>1224</v>
      </c>
      <c r="BJ190" s="3">
        <v>15176</v>
      </c>
      <c r="BK190" s="3">
        <v>818.64</v>
      </c>
      <c r="BL190" s="3">
        <v>15994.64</v>
      </c>
      <c r="BM190" s="2">
        <f t="shared" ca="1" si="5"/>
        <v>1</v>
      </c>
      <c r="BN190" s="3">
        <v>250000</v>
      </c>
      <c r="BO190" s="3">
        <v>25000</v>
      </c>
      <c r="BP190" s="3">
        <v>50000</v>
      </c>
      <c r="BQ190" s="3">
        <v>100000</v>
      </c>
      <c r="BR190" s="3">
        <v>1000000</v>
      </c>
      <c r="BS190">
        <v>2000000</v>
      </c>
      <c r="BT190">
        <v>0</v>
      </c>
      <c r="BU190">
        <v>0</v>
      </c>
      <c r="BV190">
        <v>0</v>
      </c>
      <c r="BW190">
        <v>0</v>
      </c>
      <c r="BX190">
        <v>1</v>
      </c>
      <c r="BY190">
        <v>0</v>
      </c>
      <c r="BZ190" t="s">
        <v>2942</v>
      </c>
      <c r="CA190" t="s">
        <v>2939</v>
      </c>
      <c r="CB190" t="s">
        <v>2941</v>
      </c>
    </row>
    <row r="191" spans="1:80" x14ac:dyDescent="0.25">
      <c r="A191">
        <v>189</v>
      </c>
      <c r="B191" t="s">
        <v>2208</v>
      </c>
      <c r="C191" s="1">
        <v>44804</v>
      </c>
      <c r="D191" s="2">
        <v>24</v>
      </c>
      <c r="E191" t="s">
        <v>4</v>
      </c>
      <c r="F191" t="s">
        <v>1311</v>
      </c>
      <c r="G191">
        <v>0</v>
      </c>
      <c r="H191" s="3">
        <v>2000000</v>
      </c>
      <c r="I191" s="3">
        <v>50000</v>
      </c>
      <c r="J191" s="3">
        <v>0</v>
      </c>
      <c r="K191" s="3">
        <v>0</v>
      </c>
      <c r="L191" s="3" t="s">
        <v>1191</v>
      </c>
      <c r="M191">
        <v>1830887</v>
      </c>
      <c r="N191" t="s">
        <v>437</v>
      </c>
      <c r="P191" t="s">
        <v>290</v>
      </c>
      <c r="Q191" t="s">
        <v>15</v>
      </c>
      <c r="R191">
        <v>32459</v>
      </c>
      <c r="S191" t="s">
        <v>71</v>
      </c>
      <c r="T191" t="s">
        <v>964</v>
      </c>
      <c r="U191">
        <v>0</v>
      </c>
      <c r="V191" t="s">
        <v>1051</v>
      </c>
      <c r="W191" t="s">
        <v>1194</v>
      </c>
      <c r="X191" t="s">
        <v>973</v>
      </c>
      <c r="Y191">
        <v>10000</v>
      </c>
      <c r="Z191" s="2">
        <v>5</v>
      </c>
      <c r="AA191" s="2" t="s">
        <v>1238</v>
      </c>
      <c r="AB191" t="s">
        <v>1238</v>
      </c>
      <c r="AC191">
        <v>662</v>
      </c>
      <c r="AD191" t="s">
        <v>1279</v>
      </c>
      <c r="AE191">
        <v>3</v>
      </c>
      <c r="AF191" t="s">
        <v>1290</v>
      </c>
      <c r="AG191">
        <v>0</v>
      </c>
      <c r="AH191">
        <v>0</v>
      </c>
      <c r="AI191">
        <v>0</v>
      </c>
      <c r="AJ191">
        <v>2021</v>
      </c>
      <c r="AK191" t="s">
        <v>1194</v>
      </c>
      <c r="AL191" t="s">
        <v>1194</v>
      </c>
      <c r="AM191" s="4" t="s">
        <v>1238</v>
      </c>
      <c r="AN191">
        <v>1</v>
      </c>
      <c r="AO191" t="s">
        <v>1315</v>
      </c>
      <c r="AP191">
        <f t="shared" si="4"/>
        <v>0</v>
      </c>
      <c r="AQ191">
        <v>0</v>
      </c>
      <c r="AR191" t="s">
        <v>1993</v>
      </c>
      <c r="AS191" t="s">
        <v>1996</v>
      </c>
      <c r="AT191" t="s">
        <v>1995</v>
      </c>
      <c r="AU191" t="s">
        <v>1995</v>
      </c>
      <c r="AV191" t="s">
        <v>1995</v>
      </c>
      <c r="AW191" t="s">
        <v>1996</v>
      </c>
      <c r="AX191" t="s">
        <v>2007</v>
      </c>
      <c r="AY191" t="s">
        <v>1995</v>
      </c>
      <c r="AZ191">
        <v>5653</v>
      </c>
      <c r="BA191" t="s">
        <v>1194</v>
      </c>
      <c r="BB191" t="s">
        <v>1194</v>
      </c>
      <c r="BC191" s="3">
        <v>3481.4423999999999</v>
      </c>
      <c r="BD191" s="3">
        <v>8389.01</v>
      </c>
      <c r="BE191" s="3">
        <v>0</v>
      </c>
      <c r="BF191" s="3">
        <v>0</v>
      </c>
      <c r="BG191" s="3">
        <v>300</v>
      </c>
      <c r="BH191" s="3">
        <v>0</v>
      </c>
      <c r="BI191" s="3">
        <v>4545</v>
      </c>
      <c r="BJ191" s="3">
        <v>16715</v>
      </c>
      <c r="BK191" s="3">
        <v>300</v>
      </c>
      <c r="BL191" s="3">
        <v>17015</v>
      </c>
      <c r="BM191" s="2">
        <f t="shared" ca="1" si="5"/>
        <v>6</v>
      </c>
      <c r="BN191" s="3">
        <v>1000000</v>
      </c>
      <c r="BO191" s="3">
        <v>500000</v>
      </c>
      <c r="BP191" s="3">
        <v>50000</v>
      </c>
      <c r="BQ191" s="3">
        <v>50000</v>
      </c>
      <c r="BR191" s="3">
        <v>250000</v>
      </c>
      <c r="BS191">
        <v>100000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 t="s">
        <v>2943</v>
      </c>
      <c r="CA191" t="s">
        <v>2939</v>
      </c>
      <c r="CB191" t="s">
        <v>2945</v>
      </c>
    </row>
    <row r="192" spans="1:80" x14ac:dyDescent="0.25">
      <c r="A192">
        <v>190</v>
      </c>
      <c r="B192" t="s">
        <v>2209</v>
      </c>
      <c r="C192" s="1">
        <v>44895</v>
      </c>
      <c r="D192" s="2">
        <v>33</v>
      </c>
      <c r="E192" t="s">
        <v>4</v>
      </c>
      <c r="F192" t="s">
        <v>1311</v>
      </c>
      <c r="G192">
        <v>1</v>
      </c>
      <c r="H192" s="3">
        <v>1792000</v>
      </c>
      <c r="I192" s="3">
        <v>100000</v>
      </c>
      <c r="J192" s="3">
        <v>0</v>
      </c>
      <c r="K192" s="3">
        <v>0</v>
      </c>
      <c r="L192" s="3" t="s">
        <v>1191</v>
      </c>
      <c r="M192">
        <v>1812153</v>
      </c>
      <c r="N192" t="s">
        <v>438</v>
      </c>
      <c r="P192" t="s">
        <v>290</v>
      </c>
      <c r="Q192" t="s">
        <v>15</v>
      </c>
      <c r="R192">
        <v>32459</v>
      </c>
      <c r="S192" t="s">
        <v>71</v>
      </c>
      <c r="T192" t="s">
        <v>964</v>
      </c>
      <c r="U192">
        <v>0</v>
      </c>
      <c r="V192" t="s">
        <v>1051</v>
      </c>
      <c r="W192" t="s">
        <v>1194</v>
      </c>
      <c r="X192" t="s">
        <v>973</v>
      </c>
      <c r="Y192">
        <v>10000</v>
      </c>
      <c r="Z192" s="2">
        <v>5</v>
      </c>
      <c r="AA192" s="2" t="s">
        <v>1238</v>
      </c>
      <c r="AB192" t="s">
        <v>1238</v>
      </c>
      <c r="AC192">
        <v>680</v>
      </c>
      <c r="AD192" t="s">
        <v>1279</v>
      </c>
      <c r="AE192">
        <v>3</v>
      </c>
      <c r="AF192" t="s">
        <v>1290</v>
      </c>
      <c r="AG192">
        <v>0</v>
      </c>
      <c r="AH192">
        <v>0</v>
      </c>
      <c r="AI192">
        <v>0</v>
      </c>
      <c r="AJ192">
        <v>2021</v>
      </c>
      <c r="AK192" t="s">
        <v>1194</v>
      </c>
      <c r="AL192" t="s">
        <v>1194</v>
      </c>
      <c r="AM192" s="4" t="s">
        <v>1238</v>
      </c>
      <c r="AN192">
        <v>1</v>
      </c>
      <c r="AO192" t="s">
        <v>1316</v>
      </c>
      <c r="AP192">
        <f t="shared" si="4"/>
        <v>0</v>
      </c>
      <c r="AQ192">
        <v>1</v>
      </c>
      <c r="AR192" t="s">
        <v>1992</v>
      </c>
      <c r="AS192" t="s">
        <v>1996</v>
      </c>
      <c r="AT192" t="s">
        <v>1996</v>
      </c>
      <c r="AU192" t="s">
        <v>1996</v>
      </c>
      <c r="AV192" t="s">
        <v>1995</v>
      </c>
      <c r="AW192" t="s">
        <v>1996</v>
      </c>
      <c r="AX192" t="s">
        <v>2007</v>
      </c>
      <c r="AY192" t="s">
        <v>1995</v>
      </c>
      <c r="AZ192">
        <v>5299</v>
      </c>
      <c r="BA192" t="s">
        <v>1194</v>
      </c>
      <c r="BB192" t="s">
        <v>1194</v>
      </c>
      <c r="BC192" s="3">
        <v>3407.3443000000002</v>
      </c>
      <c r="BD192" s="3">
        <v>7693.97</v>
      </c>
      <c r="BE192" s="3">
        <v>0</v>
      </c>
      <c r="BF192" s="3">
        <v>0</v>
      </c>
      <c r="BG192" s="3">
        <v>300</v>
      </c>
      <c r="BH192" s="3">
        <v>0</v>
      </c>
      <c r="BI192" s="3">
        <v>3450</v>
      </c>
      <c r="BJ192" s="3">
        <v>14851</v>
      </c>
      <c r="BK192" s="3">
        <v>0</v>
      </c>
      <c r="BL192" s="3">
        <v>14851</v>
      </c>
      <c r="BM192" s="2">
        <f t="shared" ca="1" si="5"/>
        <v>2</v>
      </c>
      <c r="BN192" s="3">
        <v>100000</v>
      </c>
      <c r="BO192" s="3">
        <v>100000</v>
      </c>
      <c r="BP192" s="3">
        <v>50000</v>
      </c>
      <c r="BQ192" s="3">
        <v>50000</v>
      </c>
      <c r="BR192" s="3">
        <v>1000000</v>
      </c>
      <c r="BS192">
        <v>50000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 t="s">
        <v>2943</v>
      </c>
      <c r="CA192" t="s">
        <v>2939</v>
      </c>
      <c r="CB192" t="s">
        <v>2006</v>
      </c>
    </row>
    <row r="193" spans="1:80" x14ac:dyDescent="0.25">
      <c r="A193">
        <v>191</v>
      </c>
      <c r="B193" t="s">
        <v>2210</v>
      </c>
      <c r="C193" s="1">
        <v>44895</v>
      </c>
      <c r="D193" s="2">
        <v>33</v>
      </c>
      <c r="E193" t="s">
        <v>4</v>
      </c>
      <c r="F193" t="s">
        <v>1311</v>
      </c>
      <c r="G193">
        <v>1</v>
      </c>
      <c r="H193" s="3">
        <v>1792000</v>
      </c>
      <c r="I193" s="3">
        <v>100000</v>
      </c>
      <c r="J193" s="3">
        <v>0</v>
      </c>
      <c r="K193" s="3">
        <v>0</v>
      </c>
      <c r="L193" s="3" t="s">
        <v>1191</v>
      </c>
      <c r="M193">
        <v>1806192</v>
      </c>
      <c r="N193" t="s">
        <v>439</v>
      </c>
      <c r="P193" t="s">
        <v>290</v>
      </c>
      <c r="Q193" t="s">
        <v>15</v>
      </c>
      <c r="R193">
        <v>32459</v>
      </c>
      <c r="S193" t="s">
        <v>71</v>
      </c>
      <c r="T193" t="s">
        <v>964</v>
      </c>
      <c r="U193">
        <v>0</v>
      </c>
      <c r="V193" t="s">
        <v>1051</v>
      </c>
      <c r="W193" t="s">
        <v>1194</v>
      </c>
      <c r="X193" t="s">
        <v>973</v>
      </c>
      <c r="Y193">
        <v>10000</v>
      </c>
      <c r="Z193" s="2">
        <v>5</v>
      </c>
      <c r="AA193" s="2" t="s">
        <v>1238</v>
      </c>
      <c r="AB193" t="s">
        <v>1238</v>
      </c>
      <c r="AC193">
        <v>680</v>
      </c>
      <c r="AD193" t="s">
        <v>1279</v>
      </c>
      <c r="AE193">
        <v>3</v>
      </c>
      <c r="AF193" t="s">
        <v>1290</v>
      </c>
      <c r="AG193">
        <v>0</v>
      </c>
      <c r="AH193">
        <v>0</v>
      </c>
      <c r="AI193">
        <v>0</v>
      </c>
      <c r="AJ193">
        <v>2021</v>
      </c>
      <c r="AK193" t="s">
        <v>1194</v>
      </c>
      <c r="AL193" t="s">
        <v>1194</v>
      </c>
      <c r="AM193" s="4" t="s">
        <v>1238</v>
      </c>
      <c r="AN193">
        <v>0</v>
      </c>
      <c r="AO193" t="s">
        <v>1315</v>
      </c>
      <c r="AP193">
        <f t="shared" si="4"/>
        <v>0</v>
      </c>
      <c r="AQ193">
        <v>1</v>
      </c>
      <c r="AR193" t="s">
        <v>1992</v>
      </c>
      <c r="AS193" t="s">
        <v>1995</v>
      </c>
      <c r="AT193" t="s">
        <v>1995</v>
      </c>
      <c r="AU193" t="s">
        <v>1995</v>
      </c>
      <c r="AV193" t="s">
        <v>1995</v>
      </c>
      <c r="AW193" t="s">
        <v>1995</v>
      </c>
      <c r="AX193" t="s">
        <v>2007</v>
      </c>
      <c r="AY193" t="s">
        <v>1995</v>
      </c>
      <c r="AZ193">
        <v>5299</v>
      </c>
      <c r="BA193" t="s">
        <v>1194</v>
      </c>
      <c r="BB193" t="s">
        <v>1194</v>
      </c>
      <c r="BC193" s="3">
        <v>3407.3443000000002</v>
      </c>
      <c r="BD193" s="3">
        <v>7693.97</v>
      </c>
      <c r="BE193" s="3">
        <v>0</v>
      </c>
      <c r="BF193" s="3">
        <v>0</v>
      </c>
      <c r="BG193" s="3">
        <v>300</v>
      </c>
      <c r="BH193" s="3">
        <v>0</v>
      </c>
      <c r="BI193" s="3">
        <v>3450</v>
      </c>
      <c r="BJ193" s="3">
        <v>14851</v>
      </c>
      <c r="BK193" s="3">
        <v>0</v>
      </c>
      <c r="BL193" s="3">
        <v>14851</v>
      </c>
      <c r="BM193" s="2">
        <f t="shared" ca="1" si="5"/>
        <v>2</v>
      </c>
      <c r="BN193" s="3">
        <v>250000</v>
      </c>
      <c r="BO193" s="3">
        <v>250000</v>
      </c>
      <c r="BP193" s="3">
        <v>50000</v>
      </c>
      <c r="BQ193" s="3">
        <v>1000000</v>
      </c>
      <c r="BR193" s="3">
        <v>1000000</v>
      </c>
      <c r="BS193">
        <v>250000</v>
      </c>
      <c r="BT193">
        <v>0</v>
      </c>
      <c r="BU193">
        <v>0</v>
      </c>
      <c r="BV193">
        <v>0</v>
      </c>
      <c r="BW193">
        <v>0</v>
      </c>
      <c r="BX193">
        <v>1</v>
      </c>
      <c r="BY193">
        <v>0</v>
      </c>
      <c r="BZ193" t="s">
        <v>2943</v>
      </c>
      <c r="CA193" t="s">
        <v>2939</v>
      </c>
      <c r="CB193" t="s">
        <v>2006</v>
      </c>
    </row>
    <row r="194" spans="1:80" x14ac:dyDescent="0.25">
      <c r="A194">
        <v>192</v>
      </c>
      <c r="B194" t="s">
        <v>2211</v>
      </c>
      <c r="C194" s="1">
        <v>44866</v>
      </c>
      <c r="D194" s="2">
        <v>33</v>
      </c>
      <c r="E194" t="s">
        <v>4</v>
      </c>
      <c r="F194" t="s">
        <v>1311</v>
      </c>
      <c r="G194">
        <v>1</v>
      </c>
      <c r="H194" s="3">
        <v>0</v>
      </c>
      <c r="I194" s="3">
        <v>0</v>
      </c>
      <c r="J194" s="3">
        <v>2200000</v>
      </c>
      <c r="K194" s="3">
        <v>0</v>
      </c>
      <c r="L194" s="3" t="s">
        <v>1192</v>
      </c>
      <c r="M194">
        <v>1775655</v>
      </c>
      <c r="N194" t="s">
        <v>440</v>
      </c>
      <c r="O194" t="s">
        <v>441</v>
      </c>
      <c r="P194" t="s">
        <v>233</v>
      </c>
      <c r="Q194" t="s">
        <v>13</v>
      </c>
      <c r="R194">
        <v>2116</v>
      </c>
      <c r="S194" t="s">
        <v>26</v>
      </c>
      <c r="T194" t="s">
        <v>968</v>
      </c>
      <c r="U194">
        <v>0</v>
      </c>
      <c r="V194" t="s">
        <v>1083</v>
      </c>
      <c r="W194" t="s">
        <v>1194</v>
      </c>
      <c r="X194" t="s">
        <v>973</v>
      </c>
      <c r="Y194">
        <v>10000</v>
      </c>
      <c r="Z194" s="2">
        <v>2</v>
      </c>
      <c r="AA194" s="2" t="s">
        <v>1238</v>
      </c>
      <c r="AB194" t="s">
        <v>1238</v>
      </c>
      <c r="AC194">
        <v>796</v>
      </c>
      <c r="AD194" t="s">
        <v>1283</v>
      </c>
      <c r="AE194">
        <v>1</v>
      </c>
      <c r="AF194" t="s">
        <v>1290</v>
      </c>
      <c r="AG194">
        <v>0</v>
      </c>
      <c r="AH194">
        <v>0</v>
      </c>
      <c r="AI194">
        <v>0</v>
      </c>
      <c r="AJ194">
        <v>1871</v>
      </c>
      <c r="AK194">
        <v>2009</v>
      </c>
      <c r="AL194">
        <v>2009</v>
      </c>
      <c r="AM194" s="4" t="s">
        <v>1238</v>
      </c>
      <c r="AN194">
        <v>1</v>
      </c>
      <c r="AO194" t="s">
        <v>1316</v>
      </c>
      <c r="AP194">
        <f t="shared" si="4"/>
        <v>0</v>
      </c>
      <c r="AQ194">
        <v>1</v>
      </c>
      <c r="AR194" t="s">
        <v>1992</v>
      </c>
      <c r="AS194" t="s">
        <v>1995</v>
      </c>
      <c r="AT194" t="s">
        <v>1996</v>
      </c>
      <c r="AU194" t="s">
        <v>1996</v>
      </c>
      <c r="AV194" t="s">
        <v>1996</v>
      </c>
      <c r="AW194" t="s">
        <v>1996</v>
      </c>
      <c r="AX194" t="s">
        <v>2003</v>
      </c>
      <c r="AY194" t="s">
        <v>1996</v>
      </c>
      <c r="AZ194">
        <v>2082</v>
      </c>
      <c r="BA194" t="s">
        <v>1194</v>
      </c>
      <c r="BB194" t="s">
        <v>1194</v>
      </c>
      <c r="BC194" s="3">
        <v>8977.9575000000004</v>
      </c>
      <c r="BD194" s="3">
        <v>1461.18</v>
      </c>
      <c r="BE194" s="3">
        <v>0</v>
      </c>
      <c r="BF194" s="3">
        <v>0</v>
      </c>
      <c r="BG194" s="3">
        <v>150</v>
      </c>
      <c r="BH194" s="3">
        <v>0</v>
      </c>
      <c r="BI194" s="3">
        <v>0</v>
      </c>
      <c r="BJ194" s="3">
        <v>10589</v>
      </c>
      <c r="BK194" s="3">
        <v>0</v>
      </c>
      <c r="BL194" s="3">
        <v>10589</v>
      </c>
      <c r="BM194" s="2">
        <f t="shared" ca="1" si="5"/>
        <v>5</v>
      </c>
      <c r="BN194" s="3">
        <v>50000</v>
      </c>
      <c r="BO194" s="3">
        <v>50000</v>
      </c>
      <c r="BP194" s="3">
        <v>50000</v>
      </c>
      <c r="BQ194" s="3">
        <v>50000</v>
      </c>
      <c r="BR194" s="3">
        <v>100000</v>
      </c>
      <c r="BS194">
        <v>2000000</v>
      </c>
      <c r="BT194">
        <v>0</v>
      </c>
      <c r="BU194">
        <v>0</v>
      </c>
      <c r="BV194">
        <v>0</v>
      </c>
      <c r="BW194">
        <v>0</v>
      </c>
      <c r="BX194">
        <v>1</v>
      </c>
      <c r="BY194">
        <v>0</v>
      </c>
      <c r="BZ194" t="s">
        <v>2942</v>
      </c>
      <c r="CA194" t="s">
        <v>2006</v>
      </c>
      <c r="CB194" t="s">
        <v>2946</v>
      </c>
    </row>
    <row r="195" spans="1:80" x14ac:dyDescent="0.25">
      <c r="A195">
        <v>193</v>
      </c>
      <c r="B195" t="s">
        <v>2212</v>
      </c>
      <c r="C195" s="1">
        <v>44721</v>
      </c>
      <c r="D195" s="2">
        <v>18</v>
      </c>
      <c r="E195" t="s">
        <v>4</v>
      </c>
      <c r="F195" t="s">
        <v>1311</v>
      </c>
      <c r="G195">
        <v>0</v>
      </c>
      <c r="H195" s="3">
        <v>4400000</v>
      </c>
      <c r="I195" s="3">
        <v>750000</v>
      </c>
      <c r="J195" s="3">
        <v>0</v>
      </c>
      <c r="K195" s="3">
        <v>0</v>
      </c>
      <c r="L195" s="3" t="s">
        <v>1191</v>
      </c>
      <c r="M195">
        <v>1700762</v>
      </c>
      <c r="N195" t="s">
        <v>442</v>
      </c>
      <c r="P195" t="s">
        <v>193</v>
      </c>
      <c r="Q195" t="s">
        <v>14</v>
      </c>
      <c r="R195">
        <v>11968</v>
      </c>
      <c r="S195" t="s">
        <v>26</v>
      </c>
      <c r="T195" t="s">
        <v>963</v>
      </c>
      <c r="U195">
        <v>0</v>
      </c>
      <c r="V195" t="s">
        <v>1015</v>
      </c>
      <c r="W195" t="s">
        <v>1194</v>
      </c>
      <c r="X195" t="s">
        <v>973</v>
      </c>
      <c r="Y195">
        <v>10000</v>
      </c>
      <c r="Z195" s="2">
        <v>2</v>
      </c>
      <c r="AA195" s="2" t="s">
        <v>1238</v>
      </c>
      <c r="AB195" t="s">
        <v>1238</v>
      </c>
      <c r="AC195">
        <v>803</v>
      </c>
      <c r="AD195" t="s">
        <v>1279</v>
      </c>
      <c r="AE195">
        <v>3</v>
      </c>
      <c r="AF195" t="s">
        <v>1290</v>
      </c>
      <c r="AG195">
        <v>0</v>
      </c>
      <c r="AH195">
        <v>0</v>
      </c>
      <c r="AI195">
        <v>0</v>
      </c>
      <c r="AJ195">
        <v>2022</v>
      </c>
      <c r="AK195" t="s">
        <v>1194</v>
      </c>
      <c r="AL195" t="s">
        <v>1194</v>
      </c>
      <c r="AM195" s="4" t="s">
        <v>1238</v>
      </c>
      <c r="AN195">
        <v>0</v>
      </c>
      <c r="AO195" t="s">
        <v>1316</v>
      </c>
      <c r="AP195">
        <f t="shared" si="4"/>
        <v>0</v>
      </c>
      <c r="AQ195">
        <v>1</v>
      </c>
      <c r="AR195" t="s">
        <v>1992</v>
      </c>
      <c r="AS195" t="s">
        <v>1995</v>
      </c>
      <c r="AT195" t="s">
        <v>1996</v>
      </c>
      <c r="AU195" t="s">
        <v>1996</v>
      </c>
      <c r="AV195" t="s">
        <v>1996</v>
      </c>
      <c r="AW195" t="s">
        <v>1995</v>
      </c>
      <c r="AX195" t="s">
        <v>2006</v>
      </c>
      <c r="AY195" t="s">
        <v>1996</v>
      </c>
      <c r="AZ195">
        <v>5585</v>
      </c>
      <c r="BA195" t="s">
        <v>1194</v>
      </c>
      <c r="BB195" t="s">
        <v>1194</v>
      </c>
      <c r="BC195" s="3">
        <v>11222.0802</v>
      </c>
      <c r="BD195" s="3">
        <v>11818.19</v>
      </c>
      <c r="BE195" s="3">
        <v>0</v>
      </c>
      <c r="BF195" s="3">
        <v>0</v>
      </c>
      <c r="BG195" s="3">
        <v>0</v>
      </c>
      <c r="BH195" s="3">
        <v>0</v>
      </c>
      <c r="BI195" s="3">
        <v>10949.73</v>
      </c>
      <c r="BJ195" s="3">
        <v>33990</v>
      </c>
      <c r="BK195" s="3">
        <v>400</v>
      </c>
      <c r="BL195" s="3">
        <v>34390</v>
      </c>
      <c r="BM195" s="2">
        <f t="shared" ca="1" si="5"/>
        <v>2</v>
      </c>
      <c r="BN195" s="3">
        <v>50000</v>
      </c>
      <c r="BO195" s="3">
        <v>250000</v>
      </c>
      <c r="BP195" s="3">
        <v>100000</v>
      </c>
      <c r="BQ195" s="3">
        <v>1000000</v>
      </c>
      <c r="BR195" s="3">
        <v>50000</v>
      </c>
      <c r="BS195" t="s">
        <v>2916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 t="s">
        <v>2942</v>
      </c>
      <c r="CA195" t="s">
        <v>2006</v>
      </c>
      <c r="CB195" t="s">
        <v>2006</v>
      </c>
    </row>
    <row r="196" spans="1:80" x14ac:dyDescent="0.25">
      <c r="A196">
        <v>194</v>
      </c>
      <c r="B196" t="s">
        <v>2213</v>
      </c>
      <c r="C196" s="1">
        <v>44670</v>
      </c>
      <c r="D196" s="2">
        <v>12</v>
      </c>
      <c r="E196" t="s">
        <v>4</v>
      </c>
      <c r="F196" t="s">
        <v>1311</v>
      </c>
      <c r="G196">
        <v>0</v>
      </c>
      <c r="H196" s="3">
        <v>5519550</v>
      </c>
      <c r="I196" s="3">
        <v>1100000</v>
      </c>
      <c r="J196" s="3">
        <v>0</v>
      </c>
      <c r="K196" s="3">
        <v>0</v>
      </c>
      <c r="L196" s="3" t="s">
        <v>1191</v>
      </c>
      <c r="M196">
        <v>982815</v>
      </c>
      <c r="N196" t="s">
        <v>443</v>
      </c>
      <c r="P196" t="s">
        <v>444</v>
      </c>
      <c r="Q196" t="s">
        <v>19</v>
      </c>
      <c r="R196">
        <v>95070</v>
      </c>
      <c r="S196" t="s">
        <v>83</v>
      </c>
      <c r="T196" t="s">
        <v>965</v>
      </c>
      <c r="U196">
        <v>0</v>
      </c>
      <c r="V196">
        <v>29</v>
      </c>
      <c r="W196" t="s">
        <v>1208</v>
      </c>
      <c r="X196" t="s">
        <v>973</v>
      </c>
      <c r="Y196">
        <v>10000</v>
      </c>
      <c r="Z196" s="2" t="s">
        <v>1194</v>
      </c>
      <c r="AA196" s="2" t="s">
        <v>1238</v>
      </c>
      <c r="AB196" t="s">
        <v>1238</v>
      </c>
      <c r="AC196" t="s">
        <v>1194</v>
      </c>
      <c r="AD196" t="s">
        <v>1279</v>
      </c>
      <c r="AE196">
        <v>2</v>
      </c>
      <c r="AF196" t="s">
        <v>1290</v>
      </c>
      <c r="AG196">
        <v>0</v>
      </c>
      <c r="AH196">
        <v>0</v>
      </c>
      <c r="AI196">
        <v>0</v>
      </c>
      <c r="AJ196">
        <v>1993</v>
      </c>
      <c r="AK196">
        <v>2010</v>
      </c>
      <c r="AL196">
        <v>2010</v>
      </c>
      <c r="AM196" s="4" t="s">
        <v>1238</v>
      </c>
      <c r="AN196">
        <v>0</v>
      </c>
      <c r="AO196" t="s">
        <v>1316</v>
      </c>
      <c r="AP196">
        <f t="shared" ref="AP196:AP259" si="6">AI196</f>
        <v>0</v>
      </c>
      <c r="AQ196">
        <v>0</v>
      </c>
      <c r="AR196" t="s">
        <v>1993</v>
      </c>
      <c r="AS196" t="s">
        <v>1995</v>
      </c>
      <c r="AT196" t="s">
        <v>1996</v>
      </c>
      <c r="AU196" t="s">
        <v>1996</v>
      </c>
      <c r="AV196" t="s">
        <v>1996</v>
      </c>
      <c r="AW196" t="s">
        <v>1995</v>
      </c>
      <c r="AX196" t="s">
        <v>1194</v>
      </c>
      <c r="AY196" t="s">
        <v>1996</v>
      </c>
      <c r="AZ196">
        <v>4281</v>
      </c>
      <c r="BA196" t="s">
        <v>1194</v>
      </c>
      <c r="BB196" t="s">
        <v>2016</v>
      </c>
      <c r="BC196" s="3">
        <v>0</v>
      </c>
      <c r="BD196" s="3">
        <v>0</v>
      </c>
      <c r="BE196" s="3">
        <v>27810</v>
      </c>
      <c r="BF196" s="3">
        <v>9461.7199999999993</v>
      </c>
      <c r="BG196" s="3">
        <v>120</v>
      </c>
      <c r="BH196" s="3">
        <v>0</v>
      </c>
      <c r="BI196" s="3">
        <v>5635.35</v>
      </c>
      <c r="BJ196" s="3">
        <v>43027.07</v>
      </c>
      <c r="BK196" s="3">
        <v>8826.2900000000009</v>
      </c>
      <c r="BL196" s="3">
        <v>51853.36</v>
      </c>
      <c r="BM196" s="2">
        <f t="shared" ref="BM196:BM259" ca="1" si="7">IF(ROUND((6*RAND()),0)=0,1,(ROUND((6*RAND()),0)))</f>
        <v>5</v>
      </c>
      <c r="BN196" s="3">
        <v>500000</v>
      </c>
      <c r="BO196" s="3">
        <v>25000</v>
      </c>
      <c r="BP196" s="3">
        <v>50000</v>
      </c>
      <c r="BQ196" s="3">
        <v>25000</v>
      </c>
      <c r="BR196" s="3">
        <v>500000</v>
      </c>
      <c r="BS196">
        <v>1000000</v>
      </c>
      <c r="BT196">
        <v>0</v>
      </c>
      <c r="BU196">
        <v>1</v>
      </c>
      <c r="BV196">
        <v>0</v>
      </c>
      <c r="BW196">
        <v>0</v>
      </c>
      <c r="BX196">
        <v>1</v>
      </c>
      <c r="BY196">
        <v>0</v>
      </c>
      <c r="BZ196" t="s">
        <v>2950</v>
      </c>
      <c r="CA196" t="s">
        <v>1194</v>
      </c>
      <c r="CB196" t="s">
        <v>2949</v>
      </c>
    </row>
    <row r="197" spans="1:80" x14ac:dyDescent="0.25">
      <c r="A197">
        <v>195</v>
      </c>
      <c r="B197" t="s">
        <v>2214</v>
      </c>
      <c r="C197" s="1">
        <v>44804</v>
      </c>
      <c r="D197" s="2">
        <v>24</v>
      </c>
      <c r="E197" t="s">
        <v>4</v>
      </c>
      <c r="F197" t="s">
        <v>1311</v>
      </c>
      <c r="G197">
        <v>1</v>
      </c>
      <c r="H197" s="3">
        <v>3500000</v>
      </c>
      <c r="I197" s="3">
        <v>350000</v>
      </c>
      <c r="J197" s="3">
        <v>0</v>
      </c>
      <c r="K197" s="3">
        <v>0</v>
      </c>
      <c r="L197" s="3" t="s">
        <v>1191</v>
      </c>
      <c r="M197">
        <v>1770688</v>
      </c>
      <c r="N197" t="s">
        <v>445</v>
      </c>
      <c r="P197" t="s">
        <v>278</v>
      </c>
      <c r="Q197" t="s">
        <v>15</v>
      </c>
      <c r="R197">
        <v>33301</v>
      </c>
      <c r="S197" t="s">
        <v>68</v>
      </c>
      <c r="T197" t="s">
        <v>964</v>
      </c>
      <c r="U197">
        <v>0</v>
      </c>
      <c r="V197" t="s">
        <v>1045</v>
      </c>
      <c r="W197" t="s">
        <v>1194</v>
      </c>
      <c r="X197" t="s">
        <v>973</v>
      </c>
      <c r="Y197">
        <v>10000</v>
      </c>
      <c r="Z197" s="2">
        <v>5</v>
      </c>
      <c r="AA197" s="2" t="s">
        <v>1238</v>
      </c>
      <c r="AB197" t="s">
        <v>1238</v>
      </c>
      <c r="AC197">
        <v>889</v>
      </c>
      <c r="AD197" t="s">
        <v>1280</v>
      </c>
      <c r="AE197">
        <v>1</v>
      </c>
      <c r="AF197" t="s">
        <v>1291</v>
      </c>
      <c r="AG197">
        <v>0</v>
      </c>
      <c r="AH197">
        <v>0</v>
      </c>
      <c r="AI197">
        <v>0</v>
      </c>
      <c r="AJ197">
        <v>2022</v>
      </c>
      <c r="AK197" t="s">
        <v>1194</v>
      </c>
      <c r="AL197" t="s">
        <v>1194</v>
      </c>
      <c r="AM197" s="4" t="s">
        <v>1238</v>
      </c>
      <c r="AN197">
        <v>0</v>
      </c>
      <c r="AO197" t="s">
        <v>1315</v>
      </c>
      <c r="AP197">
        <f t="shared" si="6"/>
        <v>0</v>
      </c>
      <c r="AQ197">
        <v>0</v>
      </c>
      <c r="AR197" t="s">
        <v>1993</v>
      </c>
      <c r="AS197" t="s">
        <v>1995</v>
      </c>
      <c r="AT197" t="s">
        <v>1995</v>
      </c>
      <c r="AU197" t="s">
        <v>1996</v>
      </c>
      <c r="AV197" t="s">
        <v>1996</v>
      </c>
      <c r="AW197" t="s">
        <v>1995</v>
      </c>
      <c r="AX197" t="s">
        <v>2007</v>
      </c>
      <c r="AY197" t="s">
        <v>1995</v>
      </c>
      <c r="AZ197">
        <v>5912</v>
      </c>
      <c r="BA197" t="s">
        <v>1194</v>
      </c>
      <c r="BB197" t="s">
        <v>1194</v>
      </c>
      <c r="BC197" s="3">
        <v>9118.9709999999995</v>
      </c>
      <c r="BD197" s="3">
        <v>17519.84</v>
      </c>
      <c r="BE197" s="3">
        <v>0</v>
      </c>
      <c r="BF197" s="3">
        <v>0</v>
      </c>
      <c r="BG197" s="3">
        <v>300</v>
      </c>
      <c r="BH197" s="3">
        <v>0</v>
      </c>
      <c r="BI197" s="3">
        <v>10021</v>
      </c>
      <c r="BJ197" s="3">
        <v>36960</v>
      </c>
      <c r="BK197" s="3">
        <v>300</v>
      </c>
      <c r="BL197" s="3">
        <v>37260</v>
      </c>
      <c r="BM197" s="2">
        <f t="shared" ca="1" si="7"/>
        <v>4</v>
      </c>
      <c r="BN197" s="3">
        <v>100000</v>
      </c>
      <c r="BO197" s="3">
        <v>100000</v>
      </c>
      <c r="BP197" s="3">
        <v>50000</v>
      </c>
      <c r="BQ197" s="3">
        <v>50000</v>
      </c>
      <c r="BR197" s="3">
        <v>50000</v>
      </c>
      <c r="BS197">
        <v>50000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 t="s">
        <v>2940</v>
      </c>
      <c r="CA197" t="s">
        <v>2939</v>
      </c>
      <c r="CB197" t="s">
        <v>2941</v>
      </c>
    </row>
    <row r="198" spans="1:80" x14ac:dyDescent="0.25">
      <c r="A198">
        <v>196</v>
      </c>
      <c r="B198" t="s">
        <v>2215</v>
      </c>
      <c r="C198" s="1">
        <v>44910</v>
      </c>
      <c r="D198" s="2">
        <v>36</v>
      </c>
      <c r="E198" t="s">
        <v>4</v>
      </c>
      <c r="F198" t="s">
        <v>1311</v>
      </c>
      <c r="G198">
        <v>1</v>
      </c>
      <c r="H198" s="3">
        <v>6650000</v>
      </c>
      <c r="I198" s="3">
        <v>0</v>
      </c>
      <c r="J198" s="3">
        <v>0</v>
      </c>
      <c r="K198" s="3">
        <v>0</v>
      </c>
      <c r="L198" s="3" t="s">
        <v>1191</v>
      </c>
      <c r="M198">
        <v>1815916</v>
      </c>
      <c r="N198" t="s">
        <v>446</v>
      </c>
      <c r="P198" t="s">
        <v>233</v>
      </c>
      <c r="Q198" t="s">
        <v>13</v>
      </c>
      <c r="R198">
        <v>2118</v>
      </c>
      <c r="S198" t="s">
        <v>26</v>
      </c>
      <c r="T198" t="s">
        <v>968</v>
      </c>
      <c r="U198">
        <v>0</v>
      </c>
      <c r="V198" t="s">
        <v>1084</v>
      </c>
      <c r="W198" t="s">
        <v>1194</v>
      </c>
      <c r="X198" t="s">
        <v>973</v>
      </c>
      <c r="Y198">
        <v>25000</v>
      </c>
      <c r="Z198" s="2">
        <v>2</v>
      </c>
      <c r="AA198" s="2" t="s">
        <v>1238</v>
      </c>
      <c r="AB198" t="s">
        <v>1238</v>
      </c>
      <c r="AC198">
        <v>758</v>
      </c>
      <c r="AD198" t="s">
        <v>1280</v>
      </c>
      <c r="AE198">
        <v>1</v>
      </c>
      <c r="AF198" t="s">
        <v>1290</v>
      </c>
      <c r="AG198">
        <v>0</v>
      </c>
      <c r="AH198">
        <v>0</v>
      </c>
      <c r="AI198">
        <v>0</v>
      </c>
      <c r="AJ198">
        <v>1860</v>
      </c>
      <c r="AK198">
        <v>2021</v>
      </c>
      <c r="AL198">
        <v>2005</v>
      </c>
      <c r="AM198" s="4" t="s">
        <v>1238</v>
      </c>
      <c r="AN198">
        <v>1</v>
      </c>
      <c r="AO198" t="s">
        <v>1315</v>
      </c>
      <c r="AP198">
        <f t="shared" si="6"/>
        <v>0</v>
      </c>
      <c r="AQ198">
        <v>1</v>
      </c>
      <c r="AR198" t="s">
        <v>1992</v>
      </c>
      <c r="AS198" t="s">
        <v>1996</v>
      </c>
      <c r="AT198" t="s">
        <v>1995</v>
      </c>
      <c r="AU198" t="s">
        <v>1996</v>
      </c>
      <c r="AV198" t="s">
        <v>1996</v>
      </c>
      <c r="AW198" t="s">
        <v>1995</v>
      </c>
      <c r="AX198" t="s">
        <v>2006</v>
      </c>
      <c r="AY198" t="s">
        <v>1996</v>
      </c>
      <c r="AZ198">
        <v>4374</v>
      </c>
      <c r="BA198" t="s">
        <v>1194</v>
      </c>
      <c r="BB198" t="s">
        <v>1194</v>
      </c>
      <c r="BC198" s="3">
        <v>8620.7371999999996</v>
      </c>
      <c r="BD198" s="3">
        <v>5410.38</v>
      </c>
      <c r="BE198" s="3">
        <v>0</v>
      </c>
      <c r="BF198" s="3">
        <v>0</v>
      </c>
      <c r="BG198" s="3">
        <v>150</v>
      </c>
      <c r="BH198" s="3">
        <v>0</v>
      </c>
      <c r="BI198" s="3">
        <v>14931</v>
      </c>
      <c r="BJ198" s="3">
        <v>29112</v>
      </c>
      <c r="BK198" s="3">
        <v>0</v>
      </c>
      <c r="BL198" s="3">
        <v>29112</v>
      </c>
      <c r="BM198" s="2">
        <f t="shared" ca="1" si="7"/>
        <v>5</v>
      </c>
      <c r="BN198" s="3">
        <v>250000</v>
      </c>
      <c r="BO198" s="3">
        <v>50000</v>
      </c>
      <c r="BP198" s="3">
        <v>50000</v>
      </c>
      <c r="BQ198" s="3">
        <v>500000</v>
      </c>
      <c r="BR198" s="3">
        <v>2000000</v>
      </c>
      <c r="BS198">
        <v>100000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 t="s">
        <v>2942</v>
      </c>
      <c r="CA198" t="s">
        <v>2006</v>
      </c>
      <c r="CB198" t="s">
        <v>2946</v>
      </c>
    </row>
    <row r="199" spans="1:80" x14ac:dyDescent="0.25">
      <c r="A199">
        <v>197</v>
      </c>
      <c r="B199" t="s">
        <v>2216</v>
      </c>
      <c r="C199" s="1">
        <v>44749</v>
      </c>
      <c r="D199" s="2">
        <v>21</v>
      </c>
      <c r="E199" t="s">
        <v>4</v>
      </c>
      <c r="F199" t="s">
        <v>1311</v>
      </c>
      <c r="G199">
        <v>0</v>
      </c>
      <c r="H199" s="3">
        <v>1550000</v>
      </c>
      <c r="I199" s="3">
        <v>0</v>
      </c>
      <c r="J199" s="3">
        <v>0</v>
      </c>
      <c r="K199" s="3">
        <v>0</v>
      </c>
      <c r="L199" s="3" t="s">
        <v>1191</v>
      </c>
      <c r="M199">
        <v>145940</v>
      </c>
      <c r="N199" t="s">
        <v>447</v>
      </c>
      <c r="P199" t="s">
        <v>448</v>
      </c>
      <c r="Q199" t="s">
        <v>16</v>
      </c>
      <c r="R199">
        <v>7701</v>
      </c>
      <c r="S199" t="s">
        <v>52</v>
      </c>
      <c r="T199" t="s">
        <v>962</v>
      </c>
      <c r="U199">
        <v>0</v>
      </c>
      <c r="V199" t="s">
        <v>983</v>
      </c>
      <c r="W199" t="s">
        <v>1194</v>
      </c>
      <c r="X199" t="s">
        <v>973</v>
      </c>
      <c r="Y199">
        <v>10000</v>
      </c>
      <c r="Z199" s="2">
        <v>2</v>
      </c>
      <c r="AA199" s="2" t="s">
        <v>1238</v>
      </c>
      <c r="AB199" t="s">
        <v>1238</v>
      </c>
      <c r="AC199">
        <v>873</v>
      </c>
      <c r="AD199" t="s">
        <v>1279</v>
      </c>
      <c r="AE199">
        <v>9</v>
      </c>
      <c r="AF199" t="s">
        <v>1290</v>
      </c>
      <c r="AG199">
        <v>0</v>
      </c>
      <c r="AH199">
        <v>0</v>
      </c>
      <c r="AI199">
        <v>0</v>
      </c>
      <c r="AJ199">
        <v>2021</v>
      </c>
      <c r="AK199" t="s">
        <v>1194</v>
      </c>
      <c r="AL199" t="s">
        <v>1194</v>
      </c>
      <c r="AM199" s="4" t="s">
        <v>1238</v>
      </c>
      <c r="AN199">
        <v>0</v>
      </c>
      <c r="AO199" t="s">
        <v>1316</v>
      </c>
      <c r="AP199">
        <f t="shared" si="6"/>
        <v>0</v>
      </c>
      <c r="AQ199">
        <v>1</v>
      </c>
      <c r="AR199" t="s">
        <v>1992</v>
      </c>
      <c r="AS199" t="s">
        <v>1996</v>
      </c>
      <c r="AT199" t="s">
        <v>1996</v>
      </c>
      <c r="AU199" t="s">
        <v>1995</v>
      </c>
      <c r="AV199" t="s">
        <v>1995</v>
      </c>
      <c r="AW199" t="s">
        <v>1995</v>
      </c>
      <c r="AX199" t="s">
        <v>2006</v>
      </c>
      <c r="AY199" t="s">
        <v>1996</v>
      </c>
      <c r="AZ199">
        <v>4976</v>
      </c>
      <c r="BA199" t="s">
        <v>1194</v>
      </c>
      <c r="BB199" t="s">
        <v>1194</v>
      </c>
      <c r="BC199" s="3">
        <v>3655.8622</v>
      </c>
      <c r="BD199" s="3">
        <v>666.6</v>
      </c>
      <c r="BE199" s="3">
        <v>0</v>
      </c>
      <c r="BF199" s="3">
        <v>0</v>
      </c>
      <c r="BG199" s="3">
        <v>0</v>
      </c>
      <c r="BH199" s="3">
        <v>0</v>
      </c>
      <c r="BI199" s="3">
        <v>3428</v>
      </c>
      <c r="BJ199" s="3">
        <v>7750</v>
      </c>
      <c r="BK199" s="3">
        <v>0</v>
      </c>
      <c r="BL199" s="3">
        <v>7750</v>
      </c>
      <c r="BM199" s="2">
        <f t="shared" ca="1" si="7"/>
        <v>2</v>
      </c>
      <c r="BN199" s="3">
        <v>1000000</v>
      </c>
      <c r="BO199" s="3">
        <v>25000</v>
      </c>
      <c r="BP199" s="3">
        <v>100000</v>
      </c>
      <c r="BQ199" s="3">
        <v>500000</v>
      </c>
      <c r="BR199" s="3" t="s">
        <v>2916</v>
      </c>
      <c r="BS199">
        <v>500000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 t="s">
        <v>2006</v>
      </c>
      <c r="CA199" t="s">
        <v>2006</v>
      </c>
      <c r="CB199" t="s">
        <v>2006</v>
      </c>
    </row>
    <row r="200" spans="1:80" x14ac:dyDescent="0.25">
      <c r="A200">
        <v>198</v>
      </c>
      <c r="B200" t="s">
        <v>2217</v>
      </c>
      <c r="C200" s="1">
        <v>44880</v>
      </c>
      <c r="D200" s="2">
        <v>33</v>
      </c>
      <c r="E200" t="s">
        <v>4</v>
      </c>
      <c r="F200" t="s">
        <v>1311</v>
      </c>
      <c r="G200">
        <v>1</v>
      </c>
      <c r="H200" s="3">
        <v>7500000</v>
      </c>
      <c r="I200" s="3">
        <v>300000</v>
      </c>
      <c r="J200" s="3">
        <v>0</v>
      </c>
      <c r="K200" s="3">
        <v>0</v>
      </c>
      <c r="L200" s="3" t="s">
        <v>1191</v>
      </c>
      <c r="M200">
        <v>1780700</v>
      </c>
      <c r="N200" t="s">
        <v>449</v>
      </c>
      <c r="P200" t="s">
        <v>339</v>
      </c>
      <c r="Q200" t="s">
        <v>14</v>
      </c>
      <c r="R200">
        <v>10583</v>
      </c>
      <c r="S200" t="s">
        <v>36</v>
      </c>
      <c r="T200" t="s">
        <v>962</v>
      </c>
      <c r="U200">
        <v>0</v>
      </c>
      <c r="V200" t="s">
        <v>1061</v>
      </c>
      <c r="W200" t="s">
        <v>1194</v>
      </c>
      <c r="X200" t="s">
        <v>973</v>
      </c>
      <c r="Y200">
        <v>25000</v>
      </c>
      <c r="Z200" s="2">
        <v>2</v>
      </c>
      <c r="AA200" s="2" t="s">
        <v>1238</v>
      </c>
      <c r="AB200" t="s">
        <v>1238</v>
      </c>
      <c r="AC200">
        <v>692</v>
      </c>
      <c r="AD200" t="s">
        <v>1279</v>
      </c>
      <c r="AE200">
        <v>2</v>
      </c>
      <c r="AF200" t="s">
        <v>1290</v>
      </c>
      <c r="AG200">
        <v>0</v>
      </c>
      <c r="AH200">
        <v>0</v>
      </c>
      <c r="AI200">
        <v>0</v>
      </c>
      <c r="AJ200">
        <v>1917</v>
      </c>
      <c r="AK200">
        <v>2005</v>
      </c>
      <c r="AL200">
        <v>2005</v>
      </c>
      <c r="AM200" s="4" t="s">
        <v>1238</v>
      </c>
      <c r="AN200">
        <v>0</v>
      </c>
      <c r="AO200" t="s">
        <v>1315</v>
      </c>
      <c r="AP200">
        <f t="shared" si="6"/>
        <v>0</v>
      </c>
      <c r="AQ200">
        <v>0</v>
      </c>
      <c r="AR200" t="s">
        <v>1993</v>
      </c>
      <c r="AS200" t="s">
        <v>1995</v>
      </c>
      <c r="AT200" t="s">
        <v>1996</v>
      </c>
      <c r="AU200" t="s">
        <v>1996</v>
      </c>
      <c r="AV200" t="s">
        <v>1995</v>
      </c>
      <c r="AW200" t="s">
        <v>1996</v>
      </c>
      <c r="AX200" t="s">
        <v>2006</v>
      </c>
      <c r="AY200" t="s">
        <v>1996</v>
      </c>
      <c r="AZ200">
        <v>9959</v>
      </c>
      <c r="BA200" t="s">
        <v>1194</v>
      </c>
      <c r="BB200" t="s">
        <v>1194</v>
      </c>
      <c r="BC200" s="3">
        <v>19640.0916</v>
      </c>
      <c r="BD200" s="3">
        <v>3673.28</v>
      </c>
      <c r="BE200" s="3">
        <v>0</v>
      </c>
      <c r="BF200" s="3">
        <v>0</v>
      </c>
      <c r="BG200" s="3">
        <v>150</v>
      </c>
      <c r="BH200" s="3">
        <v>0</v>
      </c>
      <c r="BI200" s="3">
        <v>14047</v>
      </c>
      <c r="BJ200" s="3">
        <v>37510</v>
      </c>
      <c r="BK200" s="3">
        <v>0</v>
      </c>
      <c r="BL200" s="3">
        <v>37510</v>
      </c>
      <c r="BM200" s="2">
        <f t="shared" ca="1" si="7"/>
        <v>2</v>
      </c>
      <c r="BN200" s="3" t="s">
        <v>2916</v>
      </c>
      <c r="BO200" s="3">
        <v>1000000</v>
      </c>
      <c r="BP200" s="3">
        <v>200000</v>
      </c>
      <c r="BQ200" s="3">
        <v>500000</v>
      </c>
      <c r="BR200" s="3">
        <v>100000</v>
      </c>
      <c r="BS200">
        <v>100000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 t="s">
        <v>2006</v>
      </c>
      <c r="CA200" t="s">
        <v>2006</v>
      </c>
      <c r="CB200" t="s">
        <v>2006</v>
      </c>
    </row>
    <row r="201" spans="1:80" x14ac:dyDescent="0.25">
      <c r="A201">
        <v>199</v>
      </c>
      <c r="B201" t="s">
        <v>2218</v>
      </c>
      <c r="C201" s="1">
        <v>44787</v>
      </c>
      <c r="D201" s="2">
        <v>24</v>
      </c>
      <c r="E201" t="s">
        <v>5</v>
      </c>
      <c r="F201" t="s">
        <v>1310</v>
      </c>
      <c r="G201">
        <v>0</v>
      </c>
      <c r="H201" s="3">
        <v>3886250</v>
      </c>
      <c r="I201" s="3">
        <v>1475200</v>
      </c>
      <c r="J201" s="3">
        <v>100000</v>
      </c>
      <c r="K201" s="3">
        <v>0</v>
      </c>
      <c r="L201" s="3" t="s">
        <v>1191</v>
      </c>
      <c r="M201">
        <v>1005312</v>
      </c>
      <c r="N201" t="s">
        <v>450</v>
      </c>
      <c r="P201" t="s">
        <v>451</v>
      </c>
      <c r="Q201" t="s">
        <v>19</v>
      </c>
      <c r="R201">
        <v>94022</v>
      </c>
      <c r="S201" t="s">
        <v>83</v>
      </c>
      <c r="T201" t="s">
        <v>965</v>
      </c>
      <c r="U201">
        <v>0</v>
      </c>
      <c r="V201">
        <v>29</v>
      </c>
      <c r="W201" t="s">
        <v>1209</v>
      </c>
      <c r="X201" t="s">
        <v>973</v>
      </c>
      <c r="Y201">
        <v>50000</v>
      </c>
      <c r="Z201" s="2" t="s">
        <v>1194</v>
      </c>
      <c r="AA201" s="2" t="s">
        <v>1238</v>
      </c>
      <c r="AB201" t="s">
        <v>1238</v>
      </c>
      <c r="AC201" t="s">
        <v>1194</v>
      </c>
      <c r="AD201" t="s">
        <v>1279</v>
      </c>
      <c r="AE201">
        <v>2</v>
      </c>
      <c r="AF201" t="s">
        <v>1290</v>
      </c>
      <c r="AG201">
        <v>0</v>
      </c>
      <c r="AH201">
        <v>0</v>
      </c>
      <c r="AI201">
        <v>0</v>
      </c>
      <c r="AJ201">
        <v>1970</v>
      </c>
      <c r="AK201">
        <v>2002</v>
      </c>
      <c r="AL201">
        <v>2022</v>
      </c>
      <c r="AM201" s="4" t="s">
        <v>1305</v>
      </c>
      <c r="AN201">
        <v>1</v>
      </c>
      <c r="AO201" t="s">
        <v>1315</v>
      </c>
      <c r="AP201">
        <f t="shared" si="6"/>
        <v>0</v>
      </c>
      <c r="AQ201">
        <v>1</v>
      </c>
      <c r="AR201" t="s">
        <v>1992</v>
      </c>
      <c r="AS201" t="s">
        <v>1996</v>
      </c>
      <c r="AT201" t="s">
        <v>1996</v>
      </c>
      <c r="AU201" t="s">
        <v>1996</v>
      </c>
      <c r="AV201" t="s">
        <v>1995</v>
      </c>
      <c r="AW201" t="s">
        <v>1995</v>
      </c>
      <c r="AX201" t="s">
        <v>1194</v>
      </c>
      <c r="AY201" t="s">
        <v>1996</v>
      </c>
      <c r="AZ201">
        <v>4399</v>
      </c>
      <c r="BA201">
        <v>2</v>
      </c>
      <c r="BB201" t="s">
        <v>2017</v>
      </c>
      <c r="BC201" s="3">
        <v>0</v>
      </c>
      <c r="BD201" s="3">
        <v>0</v>
      </c>
      <c r="BE201" s="3">
        <v>6223.59</v>
      </c>
      <c r="BF201" s="3">
        <v>26061.15</v>
      </c>
      <c r="BG201" s="3">
        <v>150</v>
      </c>
      <c r="BH201" s="3">
        <v>0</v>
      </c>
      <c r="BI201" s="3">
        <v>44026</v>
      </c>
      <c r="BJ201" s="3">
        <v>76460.740000000005</v>
      </c>
      <c r="BK201" s="3">
        <v>0</v>
      </c>
      <c r="BL201" s="3">
        <v>76460.740000000005</v>
      </c>
      <c r="BM201" s="2">
        <f t="shared" ca="1" si="7"/>
        <v>1</v>
      </c>
      <c r="BN201" s="3">
        <v>50000</v>
      </c>
      <c r="BO201" s="3">
        <v>20000</v>
      </c>
      <c r="BP201" s="3">
        <v>200000</v>
      </c>
      <c r="BQ201" s="3">
        <v>100000</v>
      </c>
      <c r="BR201" s="3">
        <v>50000</v>
      </c>
      <c r="BS201">
        <v>1000000</v>
      </c>
      <c r="BT201">
        <v>0</v>
      </c>
      <c r="BU201">
        <v>0</v>
      </c>
      <c r="BV201">
        <v>1</v>
      </c>
      <c r="BW201">
        <v>0</v>
      </c>
      <c r="BX201">
        <v>0</v>
      </c>
      <c r="BY201">
        <v>0</v>
      </c>
      <c r="BZ201" t="s">
        <v>2956</v>
      </c>
      <c r="CA201" t="s">
        <v>1194</v>
      </c>
      <c r="CB201" t="s">
        <v>2949</v>
      </c>
    </row>
    <row r="202" spans="1:80" x14ac:dyDescent="0.25">
      <c r="A202">
        <v>200</v>
      </c>
      <c r="B202" t="s">
        <v>2219</v>
      </c>
      <c r="C202" s="1">
        <v>44819</v>
      </c>
      <c r="D202" s="2">
        <v>27</v>
      </c>
      <c r="E202" t="s">
        <v>4</v>
      </c>
      <c r="F202" t="s">
        <v>1311</v>
      </c>
      <c r="G202">
        <v>0</v>
      </c>
      <c r="H202" s="3">
        <v>8821020</v>
      </c>
      <c r="I202" s="3">
        <v>466700</v>
      </c>
      <c r="J202" s="3">
        <v>0</v>
      </c>
      <c r="K202" s="3">
        <v>0</v>
      </c>
      <c r="L202" s="3" t="s">
        <v>1191</v>
      </c>
      <c r="M202">
        <v>1046113</v>
      </c>
      <c r="N202" t="s">
        <v>452</v>
      </c>
      <c r="P202" t="s">
        <v>453</v>
      </c>
      <c r="Q202" t="s">
        <v>19</v>
      </c>
      <c r="R202">
        <v>90210</v>
      </c>
      <c r="S202" t="s">
        <v>46</v>
      </c>
      <c r="T202" t="s">
        <v>965</v>
      </c>
      <c r="U202">
        <v>0</v>
      </c>
      <c r="V202">
        <v>34</v>
      </c>
      <c r="W202" t="s">
        <v>1197</v>
      </c>
      <c r="X202" t="s">
        <v>973</v>
      </c>
      <c r="Y202">
        <v>25000</v>
      </c>
      <c r="Z202" s="2" t="s">
        <v>1194</v>
      </c>
      <c r="AA202" s="2" t="s">
        <v>1238</v>
      </c>
      <c r="AB202" t="s">
        <v>1238</v>
      </c>
      <c r="AC202" t="s">
        <v>1194</v>
      </c>
      <c r="AD202" t="s">
        <v>1279</v>
      </c>
      <c r="AE202">
        <v>1</v>
      </c>
      <c r="AF202" t="s">
        <v>1290</v>
      </c>
      <c r="AG202">
        <v>0</v>
      </c>
      <c r="AH202">
        <v>0</v>
      </c>
      <c r="AI202">
        <v>0</v>
      </c>
      <c r="AJ202">
        <v>1962</v>
      </c>
      <c r="AK202">
        <v>2003</v>
      </c>
      <c r="AL202">
        <v>2008</v>
      </c>
      <c r="AM202" s="4" t="s">
        <v>1238</v>
      </c>
      <c r="AN202">
        <v>1</v>
      </c>
      <c r="AO202" t="s">
        <v>1316</v>
      </c>
      <c r="AP202">
        <f t="shared" si="6"/>
        <v>0</v>
      </c>
      <c r="AQ202">
        <v>1</v>
      </c>
      <c r="AR202" t="s">
        <v>1992</v>
      </c>
      <c r="AS202" t="s">
        <v>1995</v>
      </c>
      <c r="AT202" t="s">
        <v>1995</v>
      </c>
      <c r="AU202" t="s">
        <v>1996</v>
      </c>
      <c r="AV202" t="s">
        <v>1996</v>
      </c>
      <c r="AW202" t="s">
        <v>1995</v>
      </c>
      <c r="AX202" t="s">
        <v>1194</v>
      </c>
      <c r="AY202" t="s">
        <v>1996</v>
      </c>
      <c r="AZ202">
        <v>6314</v>
      </c>
      <c r="BA202">
        <v>-3</v>
      </c>
      <c r="BB202" t="s">
        <v>2018</v>
      </c>
      <c r="BC202" s="3">
        <v>0</v>
      </c>
      <c r="BD202" s="3">
        <v>0</v>
      </c>
      <c r="BE202" s="3">
        <v>11728.3</v>
      </c>
      <c r="BF202" s="3">
        <v>81423.31</v>
      </c>
      <c r="BG202" s="3">
        <v>150</v>
      </c>
      <c r="BH202" s="3">
        <v>0</v>
      </c>
      <c r="BI202" s="3">
        <v>18125</v>
      </c>
      <c r="BJ202" s="3">
        <v>111426.61</v>
      </c>
      <c r="BK202" s="3">
        <v>225</v>
      </c>
      <c r="BL202" s="3">
        <v>111651.61</v>
      </c>
      <c r="BM202" s="2">
        <f t="shared" ca="1" si="7"/>
        <v>3</v>
      </c>
      <c r="BN202" s="3">
        <v>50000</v>
      </c>
      <c r="BO202" s="3">
        <v>25000</v>
      </c>
      <c r="BP202" s="3">
        <v>50000</v>
      </c>
      <c r="BQ202" s="3">
        <v>50000</v>
      </c>
      <c r="BR202" s="3">
        <v>500000</v>
      </c>
      <c r="BS202">
        <v>250000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 t="s">
        <v>2950</v>
      </c>
      <c r="CA202" t="s">
        <v>1194</v>
      </c>
      <c r="CB202" t="s">
        <v>2952</v>
      </c>
    </row>
    <row r="203" spans="1:80" x14ac:dyDescent="0.25">
      <c r="A203">
        <v>201</v>
      </c>
      <c r="B203" t="s">
        <v>2220</v>
      </c>
      <c r="C203" s="1">
        <v>44875</v>
      </c>
      <c r="D203" s="2">
        <v>33</v>
      </c>
      <c r="E203" t="s">
        <v>4</v>
      </c>
      <c r="F203" t="s">
        <v>1311</v>
      </c>
      <c r="G203">
        <v>0</v>
      </c>
      <c r="H203" s="3">
        <v>300000</v>
      </c>
      <c r="I203" s="3">
        <v>1400000</v>
      </c>
      <c r="J203" s="3">
        <v>0</v>
      </c>
      <c r="K203" s="3">
        <v>0</v>
      </c>
      <c r="L203" s="3" t="s">
        <v>1191</v>
      </c>
      <c r="M203">
        <v>1466175</v>
      </c>
      <c r="N203" t="s">
        <v>454</v>
      </c>
      <c r="P203" t="s">
        <v>455</v>
      </c>
      <c r="Q203" t="s">
        <v>21</v>
      </c>
      <c r="R203">
        <v>27514</v>
      </c>
      <c r="S203" t="s">
        <v>37</v>
      </c>
      <c r="T203" t="s">
        <v>973</v>
      </c>
      <c r="U203">
        <v>0</v>
      </c>
      <c r="V203" t="s">
        <v>1085</v>
      </c>
      <c r="W203" t="s">
        <v>1194</v>
      </c>
      <c r="X203" t="s">
        <v>973</v>
      </c>
      <c r="Y203">
        <v>10000</v>
      </c>
      <c r="Z203" s="2" t="s">
        <v>1194</v>
      </c>
      <c r="AA203" s="2" t="s">
        <v>1238</v>
      </c>
      <c r="AB203" t="s">
        <v>1238</v>
      </c>
      <c r="AC203">
        <v>805</v>
      </c>
      <c r="AD203" t="s">
        <v>1279</v>
      </c>
      <c r="AE203">
        <v>2</v>
      </c>
      <c r="AF203" t="s">
        <v>1290</v>
      </c>
      <c r="AG203">
        <v>0</v>
      </c>
      <c r="AH203">
        <v>0</v>
      </c>
      <c r="AI203">
        <v>0</v>
      </c>
      <c r="AJ203">
        <v>2022</v>
      </c>
      <c r="AK203" t="s">
        <v>1194</v>
      </c>
      <c r="AL203" t="s">
        <v>1194</v>
      </c>
      <c r="AM203" s="4" t="s">
        <v>1238</v>
      </c>
      <c r="AN203">
        <v>0</v>
      </c>
      <c r="AO203" t="s">
        <v>1317</v>
      </c>
      <c r="AP203">
        <f t="shared" si="6"/>
        <v>0</v>
      </c>
      <c r="AQ203">
        <v>1</v>
      </c>
      <c r="AR203" t="s">
        <v>1992</v>
      </c>
      <c r="AS203" t="s">
        <v>1996</v>
      </c>
      <c r="AT203" t="s">
        <v>1996</v>
      </c>
      <c r="AU203" t="s">
        <v>1996</v>
      </c>
      <c r="AV203" t="s">
        <v>1996</v>
      </c>
      <c r="AW203" t="s">
        <v>1996</v>
      </c>
      <c r="AX203" t="s">
        <v>2006</v>
      </c>
      <c r="AY203" t="s">
        <v>1996</v>
      </c>
      <c r="AZ203">
        <v>1000</v>
      </c>
      <c r="BA203" t="s">
        <v>1194</v>
      </c>
      <c r="BB203" t="s">
        <v>1194</v>
      </c>
      <c r="BC203" s="3">
        <v>3619.8652000000002</v>
      </c>
      <c r="BD203" s="3">
        <v>2238.0500000000002</v>
      </c>
      <c r="BE203" s="3">
        <v>0</v>
      </c>
      <c r="BF203" s="3">
        <v>0</v>
      </c>
      <c r="BG203" s="3">
        <v>120</v>
      </c>
      <c r="BH203" s="3">
        <v>0</v>
      </c>
      <c r="BI203" s="3">
        <v>250</v>
      </c>
      <c r="BJ203" s="3">
        <v>6228</v>
      </c>
      <c r="BK203" s="3">
        <v>0</v>
      </c>
      <c r="BL203" s="3">
        <v>6228</v>
      </c>
      <c r="BM203" s="2">
        <f t="shared" ca="1" si="7"/>
        <v>2</v>
      </c>
      <c r="BN203" s="3" t="s">
        <v>2916</v>
      </c>
      <c r="BO203" s="3">
        <v>250000</v>
      </c>
      <c r="BP203" s="3">
        <v>100000</v>
      </c>
      <c r="BQ203" s="3">
        <v>2000000</v>
      </c>
      <c r="BR203" s="3">
        <v>500000</v>
      </c>
      <c r="BS203">
        <v>1000000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 t="s">
        <v>2942</v>
      </c>
      <c r="CA203" t="s">
        <v>2006</v>
      </c>
      <c r="CB203" t="s">
        <v>2006</v>
      </c>
    </row>
    <row r="204" spans="1:80" x14ac:dyDescent="0.25">
      <c r="A204">
        <v>202</v>
      </c>
      <c r="B204" t="s">
        <v>2221</v>
      </c>
      <c r="C204" s="1">
        <v>44933</v>
      </c>
      <c r="D204" s="2">
        <v>3</v>
      </c>
      <c r="E204" t="s">
        <v>4</v>
      </c>
      <c r="F204" t="s">
        <v>1310</v>
      </c>
      <c r="G204">
        <v>0</v>
      </c>
      <c r="H204" s="3">
        <v>4812679</v>
      </c>
      <c r="I204" s="3">
        <v>292921</v>
      </c>
      <c r="J204" s="3">
        <v>0</v>
      </c>
      <c r="K204" s="3">
        <v>0</v>
      </c>
      <c r="L204" s="3" t="s">
        <v>1191</v>
      </c>
      <c r="M204">
        <v>1141882</v>
      </c>
      <c r="N204" t="s">
        <v>456</v>
      </c>
      <c r="P204" t="s">
        <v>457</v>
      </c>
      <c r="Q204" t="s">
        <v>15</v>
      </c>
      <c r="R204">
        <v>33149</v>
      </c>
      <c r="S204" t="s">
        <v>33</v>
      </c>
      <c r="T204" t="s">
        <v>967</v>
      </c>
      <c r="U204">
        <v>1</v>
      </c>
      <c r="V204" t="s">
        <v>1056</v>
      </c>
      <c r="W204" t="s">
        <v>1194</v>
      </c>
      <c r="X204" t="s">
        <v>1309</v>
      </c>
      <c r="Y204">
        <v>10000</v>
      </c>
      <c r="Z204" s="2">
        <v>5.0000010389999998</v>
      </c>
      <c r="AA204" s="2" t="s">
        <v>1238</v>
      </c>
      <c r="AB204" t="s">
        <v>1238</v>
      </c>
      <c r="AC204">
        <v>817</v>
      </c>
      <c r="AD204" t="s">
        <v>1280</v>
      </c>
      <c r="AE204">
        <v>3</v>
      </c>
      <c r="AF204" t="s">
        <v>1291</v>
      </c>
      <c r="AG204">
        <v>0</v>
      </c>
      <c r="AH204">
        <v>0</v>
      </c>
      <c r="AI204">
        <v>0</v>
      </c>
      <c r="AJ204">
        <v>1992</v>
      </c>
      <c r="AK204">
        <v>2002</v>
      </c>
      <c r="AL204" t="s">
        <v>1194</v>
      </c>
      <c r="AM204" s="4" t="s">
        <v>1305</v>
      </c>
      <c r="AN204">
        <v>0</v>
      </c>
      <c r="AO204" t="s">
        <v>1317</v>
      </c>
      <c r="AP204">
        <f t="shared" si="6"/>
        <v>0</v>
      </c>
      <c r="AQ204">
        <v>0</v>
      </c>
      <c r="AR204" t="s">
        <v>1993</v>
      </c>
      <c r="AS204" t="s">
        <v>1996</v>
      </c>
      <c r="AT204" t="s">
        <v>1996</v>
      </c>
      <c r="AU204" t="s">
        <v>1996</v>
      </c>
      <c r="AV204" t="s">
        <v>1996</v>
      </c>
      <c r="AW204" t="s">
        <v>1995</v>
      </c>
      <c r="AX204" t="s">
        <v>2010</v>
      </c>
      <c r="AY204" t="s">
        <v>1995</v>
      </c>
      <c r="AZ204">
        <v>10574</v>
      </c>
      <c r="BA204" t="s">
        <v>1194</v>
      </c>
      <c r="BB204" t="s">
        <v>1194</v>
      </c>
      <c r="BC204" s="3">
        <v>14499.8151</v>
      </c>
      <c r="BD204" s="3">
        <v>39963.71</v>
      </c>
      <c r="BE204" s="3">
        <v>0</v>
      </c>
      <c r="BF204" s="3">
        <v>0</v>
      </c>
      <c r="BG204" s="3">
        <v>300</v>
      </c>
      <c r="BH204" s="3">
        <v>0</v>
      </c>
      <c r="BI204" s="3">
        <v>28458</v>
      </c>
      <c r="BJ204" s="3">
        <v>83222</v>
      </c>
      <c r="BK204" s="3">
        <v>1766.67</v>
      </c>
      <c r="BL204" s="3">
        <v>84988.67</v>
      </c>
      <c r="BM204" s="2">
        <f t="shared" ca="1" si="7"/>
        <v>3</v>
      </c>
      <c r="BN204" s="3">
        <v>50000</v>
      </c>
      <c r="BO204" s="3">
        <v>2000000</v>
      </c>
      <c r="BP204" s="3">
        <v>100000</v>
      </c>
      <c r="BQ204" s="3">
        <v>250000</v>
      </c>
      <c r="BR204" s="3">
        <v>500000</v>
      </c>
      <c r="BS204">
        <v>50000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 t="s">
        <v>2938</v>
      </c>
      <c r="CA204" t="s">
        <v>2939</v>
      </c>
      <c r="CB204" t="s">
        <v>2941</v>
      </c>
    </row>
    <row r="205" spans="1:80" x14ac:dyDescent="0.25">
      <c r="A205">
        <v>203</v>
      </c>
      <c r="B205" t="s">
        <v>2222</v>
      </c>
      <c r="C205" s="1">
        <v>44977</v>
      </c>
      <c r="D205" s="2">
        <v>6</v>
      </c>
      <c r="E205" t="s">
        <v>4</v>
      </c>
      <c r="F205" t="s">
        <v>1310</v>
      </c>
      <c r="G205">
        <v>0</v>
      </c>
      <c r="H205" s="3">
        <v>0</v>
      </c>
      <c r="I205" s="3">
        <v>0</v>
      </c>
      <c r="J205" s="3">
        <v>1950000</v>
      </c>
      <c r="K205" s="3">
        <v>0</v>
      </c>
      <c r="L205" s="3" t="s">
        <v>1192</v>
      </c>
      <c r="M205">
        <v>2067447</v>
      </c>
      <c r="N205" t="s">
        <v>458</v>
      </c>
      <c r="O205">
        <v>701</v>
      </c>
      <c r="P205" t="s">
        <v>459</v>
      </c>
      <c r="Q205" t="s">
        <v>15</v>
      </c>
      <c r="R205">
        <v>33469</v>
      </c>
      <c r="S205" t="s">
        <v>27</v>
      </c>
      <c r="T205" t="s">
        <v>967</v>
      </c>
      <c r="U205">
        <v>1</v>
      </c>
      <c r="V205" t="s">
        <v>989</v>
      </c>
      <c r="W205" t="s">
        <v>1194</v>
      </c>
      <c r="X205" t="s">
        <v>1309</v>
      </c>
      <c r="Y205">
        <v>10000</v>
      </c>
      <c r="Z205" s="2">
        <v>10</v>
      </c>
      <c r="AA205" s="2" t="s">
        <v>1238</v>
      </c>
      <c r="AB205" t="s">
        <v>1238</v>
      </c>
      <c r="AC205">
        <v>858</v>
      </c>
      <c r="AD205" t="s">
        <v>1282</v>
      </c>
      <c r="AE205">
        <v>2</v>
      </c>
      <c r="AF205" t="s">
        <v>1291</v>
      </c>
      <c r="AG205">
        <v>0</v>
      </c>
      <c r="AH205">
        <v>0</v>
      </c>
      <c r="AI205">
        <v>0</v>
      </c>
      <c r="AJ205">
        <v>2022</v>
      </c>
      <c r="AK205" t="s">
        <v>1194</v>
      </c>
      <c r="AL205" t="s">
        <v>1194</v>
      </c>
      <c r="AM205" s="4" t="s">
        <v>1304</v>
      </c>
      <c r="AN205">
        <v>0</v>
      </c>
      <c r="AO205" t="s">
        <v>1315</v>
      </c>
      <c r="AP205">
        <f t="shared" si="6"/>
        <v>0</v>
      </c>
      <c r="AQ205">
        <v>1</v>
      </c>
      <c r="AR205" t="s">
        <v>1992</v>
      </c>
      <c r="AS205" t="s">
        <v>1996</v>
      </c>
      <c r="AT205" t="s">
        <v>1995</v>
      </c>
      <c r="AU205" t="s">
        <v>1996</v>
      </c>
      <c r="AV205" t="s">
        <v>1995</v>
      </c>
      <c r="AW205" t="s">
        <v>1995</v>
      </c>
      <c r="AX205" t="s">
        <v>2007</v>
      </c>
      <c r="AY205" t="s">
        <v>1995</v>
      </c>
      <c r="AZ205">
        <v>3593</v>
      </c>
      <c r="BA205" t="s">
        <v>1194</v>
      </c>
      <c r="BB205" t="s">
        <v>1194</v>
      </c>
      <c r="BC205" s="3">
        <v>3591.6138999999998</v>
      </c>
      <c r="BD205" s="3">
        <v>7115.67</v>
      </c>
      <c r="BE205" s="3">
        <v>0</v>
      </c>
      <c r="BF205" s="3">
        <v>0</v>
      </c>
      <c r="BG205" s="3">
        <v>300</v>
      </c>
      <c r="BH205" s="3">
        <v>0</v>
      </c>
      <c r="BI205" s="3">
        <v>20193</v>
      </c>
      <c r="BJ205" s="3">
        <v>31200</v>
      </c>
      <c r="BK205" s="3">
        <v>400</v>
      </c>
      <c r="BL205" s="3">
        <v>31600</v>
      </c>
      <c r="BM205" s="2">
        <f t="shared" ca="1" si="7"/>
        <v>1</v>
      </c>
      <c r="BN205" s="3">
        <v>250000</v>
      </c>
      <c r="BO205" s="3">
        <v>50000</v>
      </c>
      <c r="BP205" s="3">
        <v>50000</v>
      </c>
      <c r="BQ205" s="3">
        <v>1000000</v>
      </c>
      <c r="BR205" s="3">
        <v>2000000</v>
      </c>
      <c r="BS205">
        <v>500000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 t="s">
        <v>2938</v>
      </c>
      <c r="CA205" t="s">
        <v>2939</v>
      </c>
      <c r="CB205" t="s">
        <v>2946</v>
      </c>
    </row>
    <row r="206" spans="1:80" x14ac:dyDescent="0.25">
      <c r="A206">
        <v>204</v>
      </c>
      <c r="B206" t="s">
        <v>2223</v>
      </c>
      <c r="C206" s="1">
        <v>44849</v>
      </c>
      <c r="D206" s="2">
        <v>30</v>
      </c>
      <c r="E206" t="s">
        <v>4</v>
      </c>
      <c r="F206" t="s">
        <v>1311</v>
      </c>
      <c r="G206">
        <v>0</v>
      </c>
      <c r="H206" s="3">
        <v>3400000</v>
      </c>
      <c r="I206" s="3">
        <v>0</v>
      </c>
      <c r="J206" s="3">
        <v>0</v>
      </c>
      <c r="K206" s="3">
        <v>0</v>
      </c>
      <c r="L206" s="3" t="s">
        <v>1191</v>
      </c>
      <c r="M206">
        <v>1702799</v>
      </c>
      <c r="N206" t="s">
        <v>460</v>
      </c>
      <c r="P206" t="s">
        <v>172</v>
      </c>
      <c r="Q206" t="s">
        <v>17</v>
      </c>
      <c r="R206">
        <v>29928</v>
      </c>
      <c r="S206" t="s">
        <v>42</v>
      </c>
      <c r="T206" t="s">
        <v>969</v>
      </c>
      <c r="U206">
        <v>1</v>
      </c>
      <c r="V206" t="s">
        <v>1022</v>
      </c>
      <c r="W206" t="s">
        <v>1194</v>
      </c>
      <c r="X206" t="s">
        <v>1309</v>
      </c>
      <c r="Y206">
        <v>10000</v>
      </c>
      <c r="Z206" s="2">
        <v>5</v>
      </c>
      <c r="AA206" s="2" t="s">
        <v>1238</v>
      </c>
      <c r="AB206" t="s">
        <v>1238</v>
      </c>
      <c r="AC206">
        <v>696</v>
      </c>
      <c r="AD206" t="s">
        <v>1279</v>
      </c>
      <c r="AE206">
        <v>2</v>
      </c>
      <c r="AF206" t="s">
        <v>1291</v>
      </c>
      <c r="AG206">
        <v>0</v>
      </c>
      <c r="AH206">
        <v>0</v>
      </c>
      <c r="AI206">
        <v>0</v>
      </c>
      <c r="AJ206">
        <v>2021</v>
      </c>
      <c r="AK206" t="s">
        <v>1194</v>
      </c>
      <c r="AL206" t="s">
        <v>1194</v>
      </c>
      <c r="AM206" s="4" t="s">
        <v>1238</v>
      </c>
      <c r="AN206">
        <v>1</v>
      </c>
      <c r="AO206" t="s">
        <v>1317</v>
      </c>
      <c r="AP206">
        <f t="shared" si="6"/>
        <v>0</v>
      </c>
      <c r="AQ206">
        <v>1</v>
      </c>
      <c r="AR206" t="s">
        <v>1992</v>
      </c>
      <c r="AS206" t="s">
        <v>1995</v>
      </c>
      <c r="AT206" t="s">
        <v>1996</v>
      </c>
      <c r="AU206" t="s">
        <v>1996</v>
      </c>
      <c r="AV206" t="s">
        <v>1996</v>
      </c>
      <c r="AW206" t="s">
        <v>1995</v>
      </c>
      <c r="AX206" t="s">
        <v>2007</v>
      </c>
      <c r="AY206" t="s">
        <v>1995</v>
      </c>
      <c r="AZ206">
        <v>5000</v>
      </c>
      <c r="BA206" t="s">
        <v>1194</v>
      </c>
      <c r="BB206" t="s">
        <v>1194</v>
      </c>
      <c r="BC206" s="3">
        <v>5703.3753999999999</v>
      </c>
      <c r="BD206" s="3">
        <v>9062.99</v>
      </c>
      <c r="BE206" s="3">
        <v>0</v>
      </c>
      <c r="BF206" s="3">
        <v>0</v>
      </c>
      <c r="BG206" s="3">
        <v>150</v>
      </c>
      <c r="BH206" s="3">
        <v>0</v>
      </c>
      <c r="BI206" s="3">
        <v>10594</v>
      </c>
      <c r="BJ206" s="3">
        <v>25510</v>
      </c>
      <c r="BK206" s="3">
        <v>0</v>
      </c>
      <c r="BL206" s="3">
        <v>25510</v>
      </c>
      <c r="BM206" s="2">
        <f t="shared" ca="1" si="7"/>
        <v>2</v>
      </c>
      <c r="BN206" s="3">
        <v>100000</v>
      </c>
      <c r="BO206" s="3">
        <v>250000</v>
      </c>
      <c r="BP206" s="3" t="s">
        <v>2922</v>
      </c>
      <c r="BQ206" s="3">
        <v>50000</v>
      </c>
      <c r="BR206" s="3">
        <v>100000</v>
      </c>
      <c r="BS206">
        <v>250000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 t="s">
        <v>2942</v>
      </c>
      <c r="CA206" t="s">
        <v>2006</v>
      </c>
      <c r="CB206" t="s">
        <v>2006</v>
      </c>
    </row>
    <row r="207" spans="1:80" x14ac:dyDescent="0.25">
      <c r="A207">
        <v>205</v>
      </c>
      <c r="B207" t="s">
        <v>2224</v>
      </c>
      <c r="C207" s="1">
        <v>44967</v>
      </c>
      <c r="D207" s="2">
        <v>6</v>
      </c>
      <c r="E207" t="s">
        <v>4</v>
      </c>
      <c r="F207" t="s">
        <v>1310</v>
      </c>
      <c r="G207">
        <v>0</v>
      </c>
      <c r="H207" s="3">
        <v>4500000</v>
      </c>
      <c r="I207" s="3">
        <v>900000</v>
      </c>
      <c r="J207" s="3">
        <v>100000</v>
      </c>
      <c r="K207" s="3">
        <v>0</v>
      </c>
      <c r="L207" s="3" t="s">
        <v>1191</v>
      </c>
      <c r="M207">
        <v>1808172</v>
      </c>
      <c r="N207" t="s">
        <v>461</v>
      </c>
      <c r="P207" t="s">
        <v>462</v>
      </c>
      <c r="Q207" t="s">
        <v>19</v>
      </c>
      <c r="R207">
        <v>90402</v>
      </c>
      <c r="S207" t="s">
        <v>46</v>
      </c>
      <c r="T207" t="s">
        <v>977</v>
      </c>
      <c r="U207">
        <v>0</v>
      </c>
      <c r="V207">
        <v>32</v>
      </c>
      <c r="W207" t="s">
        <v>1200</v>
      </c>
      <c r="X207" t="s">
        <v>973</v>
      </c>
      <c r="Y207">
        <v>10000</v>
      </c>
      <c r="Z207" s="2" t="s">
        <v>1194</v>
      </c>
      <c r="AA207" s="2" t="s">
        <v>1238</v>
      </c>
      <c r="AB207" t="s">
        <v>1238</v>
      </c>
      <c r="AC207" t="s">
        <v>1194</v>
      </c>
      <c r="AD207" t="s">
        <v>1279</v>
      </c>
      <c r="AE207">
        <v>1</v>
      </c>
      <c r="AF207" t="s">
        <v>1290</v>
      </c>
      <c r="AG207">
        <v>0</v>
      </c>
      <c r="AH207">
        <v>0</v>
      </c>
      <c r="AI207">
        <v>0</v>
      </c>
      <c r="AJ207">
        <v>1923</v>
      </c>
      <c r="AK207">
        <v>2000</v>
      </c>
      <c r="AL207">
        <v>2022</v>
      </c>
      <c r="AM207" s="4" t="s">
        <v>1305</v>
      </c>
      <c r="AN207">
        <v>1</v>
      </c>
      <c r="AO207" t="s">
        <v>1315</v>
      </c>
      <c r="AP207">
        <f t="shared" si="6"/>
        <v>0</v>
      </c>
      <c r="AQ207">
        <v>1</v>
      </c>
      <c r="AR207" t="s">
        <v>1992</v>
      </c>
      <c r="AS207" t="s">
        <v>1995</v>
      </c>
      <c r="AT207" t="s">
        <v>1995</v>
      </c>
      <c r="AU207" t="s">
        <v>1996</v>
      </c>
      <c r="AV207" t="s">
        <v>1995</v>
      </c>
      <c r="AW207" t="s">
        <v>1996</v>
      </c>
      <c r="AX207" t="s">
        <v>1194</v>
      </c>
      <c r="AY207" t="s">
        <v>1996</v>
      </c>
      <c r="AZ207">
        <v>4257</v>
      </c>
      <c r="BA207" t="s">
        <v>1194</v>
      </c>
      <c r="BB207" t="s">
        <v>2014</v>
      </c>
      <c r="BC207" s="3">
        <v>0</v>
      </c>
      <c r="BD207" s="3">
        <v>0</v>
      </c>
      <c r="BE207" s="3">
        <v>23975.77</v>
      </c>
      <c r="BF207" s="3">
        <v>6065.28</v>
      </c>
      <c r="BG207" s="3">
        <v>0</v>
      </c>
      <c r="BH207" s="3">
        <v>0</v>
      </c>
      <c r="BI207" s="3">
        <v>0</v>
      </c>
      <c r="BJ207" s="3">
        <v>30041.05</v>
      </c>
      <c r="BK207" s="3">
        <v>0</v>
      </c>
      <c r="BL207" s="3">
        <v>30041.05</v>
      </c>
      <c r="BM207" s="2">
        <f t="shared" ca="1" si="7"/>
        <v>6</v>
      </c>
      <c r="BN207" s="3">
        <v>50000</v>
      </c>
      <c r="BO207" s="3">
        <v>50000</v>
      </c>
      <c r="BP207" s="3">
        <v>100000</v>
      </c>
      <c r="BQ207" s="3">
        <v>500000</v>
      </c>
      <c r="BR207" s="3">
        <v>250000</v>
      </c>
      <c r="BS207">
        <v>1000000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 t="s">
        <v>2956</v>
      </c>
      <c r="CA207" t="s">
        <v>1194</v>
      </c>
      <c r="CB207" t="s">
        <v>2941</v>
      </c>
    </row>
    <row r="208" spans="1:80" x14ac:dyDescent="0.25">
      <c r="A208">
        <v>206</v>
      </c>
      <c r="B208" t="s">
        <v>2225</v>
      </c>
      <c r="C208" s="1">
        <v>44834</v>
      </c>
      <c r="D208" s="2">
        <v>27</v>
      </c>
      <c r="E208" t="s">
        <v>4</v>
      </c>
      <c r="F208" t="s">
        <v>1311</v>
      </c>
      <c r="G208">
        <v>1</v>
      </c>
      <c r="H208" s="3">
        <v>2200000</v>
      </c>
      <c r="I208" s="3">
        <v>200000</v>
      </c>
      <c r="J208" s="3">
        <v>0</v>
      </c>
      <c r="K208" s="3">
        <v>0</v>
      </c>
      <c r="L208" s="3" t="s">
        <v>1191</v>
      </c>
      <c r="M208">
        <v>1994579</v>
      </c>
      <c r="N208" t="s">
        <v>463</v>
      </c>
      <c r="P208" t="s">
        <v>406</v>
      </c>
      <c r="Q208" t="s">
        <v>14</v>
      </c>
      <c r="R208">
        <v>11963</v>
      </c>
      <c r="S208" t="s">
        <v>26</v>
      </c>
      <c r="T208" t="s">
        <v>963</v>
      </c>
      <c r="U208">
        <v>0</v>
      </c>
      <c r="V208" t="s">
        <v>1086</v>
      </c>
      <c r="W208" t="s">
        <v>1194</v>
      </c>
      <c r="X208" t="s">
        <v>973</v>
      </c>
      <c r="Y208">
        <v>10000</v>
      </c>
      <c r="Z208" s="2">
        <v>2</v>
      </c>
      <c r="AA208" s="2" t="s">
        <v>1238</v>
      </c>
      <c r="AB208" t="s">
        <v>1238</v>
      </c>
      <c r="AC208">
        <v>761</v>
      </c>
      <c r="AD208" t="s">
        <v>1279</v>
      </c>
      <c r="AE208">
        <v>3</v>
      </c>
      <c r="AF208" t="s">
        <v>1290</v>
      </c>
      <c r="AG208">
        <v>0</v>
      </c>
      <c r="AH208">
        <v>0</v>
      </c>
      <c r="AI208">
        <v>0</v>
      </c>
      <c r="AJ208">
        <v>2022</v>
      </c>
      <c r="AK208" t="s">
        <v>1194</v>
      </c>
      <c r="AL208" t="s">
        <v>1194</v>
      </c>
      <c r="AM208" s="4" t="s">
        <v>1238</v>
      </c>
      <c r="AN208">
        <v>0</v>
      </c>
      <c r="AO208" t="s">
        <v>1316</v>
      </c>
      <c r="AP208">
        <f t="shared" si="6"/>
        <v>0</v>
      </c>
      <c r="AQ208">
        <v>0</v>
      </c>
      <c r="AR208" t="s">
        <v>1993</v>
      </c>
      <c r="AS208" t="s">
        <v>1995</v>
      </c>
      <c r="AT208" t="s">
        <v>1995</v>
      </c>
      <c r="AU208" t="s">
        <v>1995</v>
      </c>
      <c r="AV208" t="s">
        <v>1995</v>
      </c>
      <c r="AW208" t="s">
        <v>1995</v>
      </c>
      <c r="AX208" t="s">
        <v>2006</v>
      </c>
      <c r="AY208" t="s">
        <v>1996</v>
      </c>
      <c r="AZ208">
        <v>2708</v>
      </c>
      <c r="BA208" t="s">
        <v>1194</v>
      </c>
      <c r="BB208" t="s">
        <v>1194</v>
      </c>
      <c r="BC208" s="3">
        <v>6281.8762999999999</v>
      </c>
      <c r="BD208" s="3">
        <v>6598.8</v>
      </c>
      <c r="BE208" s="3">
        <v>0</v>
      </c>
      <c r="BF208" s="3">
        <v>0</v>
      </c>
      <c r="BG208" s="3">
        <v>0</v>
      </c>
      <c r="BH208" s="3">
        <v>0</v>
      </c>
      <c r="BI208" s="3">
        <v>2810</v>
      </c>
      <c r="BJ208" s="3">
        <v>15691</v>
      </c>
      <c r="BK208" s="3">
        <v>100</v>
      </c>
      <c r="BL208" s="3">
        <v>15791</v>
      </c>
      <c r="BM208" s="2">
        <f t="shared" ca="1" si="7"/>
        <v>5</v>
      </c>
      <c r="BN208" s="3">
        <v>500000</v>
      </c>
      <c r="BO208" s="3">
        <v>2000000</v>
      </c>
      <c r="BP208" s="3">
        <v>50000</v>
      </c>
      <c r="BQ208" s="3">
        <v>1000000</v>
      </c>
      <c r="BR208" s="3">
        <v>2000000</v>
      </c>
      <c r="BS208">
        <v>1000000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 t="s">
        <v>2942</v>
      </c>
      <c r="CA208" t="s">
        <v>2006</v>
      </c>
      <c r="CB208" t="s">
        <v>2006</v>
      </c>
    </row>
    <row r="209" spans="1:80" x14ac:dyDescent="0.25">
      <c r="A209">
        <v>207</v>
      </c>
      <c r="B209" t="s">
        <v>2226</v>
      </c>
      <c r="C209" s="1">
        <v>44816</v>
      </c>
      <c r="D209" s="2">
        <v>27</v>
      </c>
      <c r="E209" t="s">
        <v>4</v>
      </c>
      <c r="F209" t="s">
        <v>1311</v>
      </c>
      <c r="G209">
        <v>0</v>
      </c>
      <c r="H209" s="3">
        <v>2400000</v>
      </c>
      <c r="I209" s="3">
        <v>95000</v>
      </c>
      <c r="J209" s="3">
        <v>0</v>
      </c>
      <c r="K209" s="3">
        <v>0</v>
      </c>
      <c r="L209" s="3" t="s">
        <v>1191</v>
      </c>
      <c r="M209">
        <v>315417</v>
      </c>
      <c r="N209" t="s">
        <v>464</v>
      </c>
      <c r="P209" t="s">
        <v>465</v>
      </c>
      <c r="Q209" t="s">
        <v>14</v>
      </c>
      <c r="R209">
        <v>11930</v>
      </c>
      <c r="S209" t="s">
        <v>26</v>
      </c>
      <c r="T209" t="s">
        <v>970</v>
      </c>
      <c r="U209">
        <v>1</v>
      </c>
      <c r="V209" t="s">
        <v>1087</v>
      </c>
      <c r="W209" t="s">
        <v>1194</v>
      </c>
      <c r="X209" t="s">
        <v>1309</v>
      </c>
      <c r="Y209">
        <v>10000</v>
      </c>
      <c r="Z209" s="2">
        <v>5</v>
      </c>
      <c r="AA209" s="2" t="s">
        <v>1238</v>
      </c>
      <c r="AB209" t="s">
        <v>1238</v>
      </c>
      <c r="AC209">
        <v>704</v>
      </c>
      <c r="AD209" t="s">
        <v>1279</v>
      </c>
      <c r="AE209">
        <v>4</v>
      </c>
      <c r="AF209" t="s">
        <v>1292</v>
      </c>
      <c r="AG209">
        <v>0</v>
      </c>
      <c r="AH209">
        <v>0</v>
      </c>
      <c r="AI209">
        <v>0</v>
      </c>
      <c r="AJ209">
        <v>2002</v>
      </c>
      <c r="AK209" t="s">
        <v>1194</v>
      </c>
      <c r="AL209" t="s">
        <v>1194</v>
      </c>
      <c r="AM209" s="4" t="s">
        <v>1238</v>
      </c>
      <c r="AN209">
        <v>1</v>
      </c>
      <c r="AO209" t="s">
        <v>1316</v>
      </c>
      <c r="AP209">
        <f t="shared" si="6"/>
        <v>0</v>
      </c>
      <c r="AQ209">
        <v>1</v>
      </c>
      <c r="AR209" t="s">
        <v>1992</v>
      </c>
      <c r="AS209" t="s">
        <v>1996</v>
      </c>
      <c r="AT209" t="s">
        <v>1995</v>
      </c>
      <c r="AU209" t="s">
        <v>1996</v>
      </c>
      <c r="AV209" t="s">
        <v>1995</v>
      </c>
      <c r="AW209" t="s">
        <v>1996</v>
      </c>
      <c r="AX209" t="s">
        <v>2006</v>
      </c>
      <c r="AY209" t="s">
        <v>1996</v>
      </c>
      <c r="AZ209">
        <v>2980</v>
      </c>
      <c r="BA209" t="s">
        <v>1194</v>
      </c>
      <c r="BB209" t="s">
        <v>1194</v>
      </c>
      <c r="BC209" s="3">
        <v>9224.7099999999991</v>
      </c>
      <c r="BD209" s="3">
        <v>16991.48</v>
      </c>
      <c r="BE209" s="3">
        <v>0</v>
      </c>
      <c r="BF209" s="3">
        <v>0</v>
      </c>
      <c r="BG209" s="3">
        <v>0</v>
      </c>
      <c r="BH209" s="3">
        <v>0</v>
      </c>
      <c r="BI209" s="3">
        <v>-2763</v>
      </c>
      <c r="BJ209" s="3">
        <v>23453</v>
      </c>
      <c r="BK209" s="3">
        <v>0</v>
      </c>
      <c r="BL209" s="3">
        <v>23453</v>
      </c>
      <c r="BM209" s="2">
        <f t="shared" ca="1" si="7"/>
        <v>0</v>
      </c>
      <c r="BN209" s="3">
        <v>50000</v>
      </c>
      <c r="BO209" s="3">
        <v>500000</v>
      </c>
      <c r="BP209" s="3" t="s">
        <v>2922</v>
      </c>
      <c r="BQ209" s="3">
        <v>25000</v>
      </c>
      <c r="BR209" s="3">
        <v>500000</v>
      </c>
      <c r="BS209">
        <v>1000000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 t="s">
        <v>2942</v>
      </c>
      <c r="CA209" t="s">
        <v>2006</v>
      </c>
      <c r="CB209" t="s">
        <v>2941</v>
      </c>
    </row>
    <row r="210" spans="1:80" x14ac:dyDescent="0.25">
      <c r="A210">
        <v>208</v>
      </c>
      <c r="B210" t="s">
        <v>2227</v>
      </c>
      <c r="C210" s="1">
        <v>44789</v>
      </c>
      <c r="D210" s="2">
        <v>24</v>
      </c>
      <c r="E210" t="s">
        <v>4</v>
      </c>
      <c r="F210" t="s">
        <v>1311</v>
      </c>
      <c r="G210">
        <v>1</v>
      </c>
      <c r="H210" s="3">
        <v>3000000</v>
      </c>
      <c r="I210" s="3">
        <v>350000</v>
      </c>
      <c r="J210" s="3">
        <v>0</v>
      </c>
      <c r="K210" s="3">
        <v>0</v>
      </c>
      <c r="L210" s="3" t="s">
        <v>1191</v>
      </c>
      <c r="M210">
        <v>1048696</v>
      </c>
      <c r="N210" t="s">
        <v>466</v>
      </c>
      <c r="P210" t="s">
        <v>46</v>
      </c>
      <c r="Q210" t="s">
        <v>19</v>
      </c>
      <c r="R210">
        <v>90004</v>
      </c>
      <c r="S210" t="s">
        <v>46</v>
      </c>
      <c r="T210" t="s">
        <v>965</v>
      </c>
      <c r="U210">
        <v>0</v>
      </c>
      <c r="V210">
        <v>41</v>
      </c>
      <c r="W210" t="s">
        <v>1210</v>
      </c>
      <c r="X210" t="s">
        <v>973</v>
      </c>
      <c r="Y210">
        <v>10000</v>
      </c>
      <c r="Z210" s="2" t="s">
        <v>1194</v>
      </c>
      <c r="AA210" s="2" t="s">
        <v>1238</v>
      </c>
      <c r="AB210" t="s">
        <v>1238</v>
      </c>
      <c r="AC210" t="s">
        <v>1194</v>
      </c>
      <c r="AD210" t="s">
        <v>1279</v>
      </c>
      <c r="AE210">
        <v>1</v>
      </c>
      <c r="AF210" t="s">
        <v>1290</v>
      </c>
      <c r="AG210">
        <v>0</v>
      </c>
      <c r="AH210">
        <v>0</v>
      </c>
      <c r="AI210">
        <v>0</v>
      </c>
      <c r="AJ210">
        <v>2020</v>
      </c>
      <c r="AK210" t="s">
        <v>1194</v>
      </c>
      <c r="AL210" t="s">
        <v>1194</v>
      </c>
      <c r="AM210" s="4" t="s">
        <v>1238</v>
      </c>
      <c r="AN210">
        <v>1</v>
      </c>
      <c r="AO210" t="s">
        <v>1315</v>
      </c>
      <c r="AP210">
        <f t="shared" si="6"/>
        <v>0</v>
      </c>
      <c r="AQ210">
        <v>1</v>
      </c>
      <c r="AR210" t="s">
        <v>1992</v>
      </c>
      <c r="AS210" t="s">
        <v>1995</v>
      </c>
      <c r="AT210" t="s">
        <v>1996</v>
      </c>
      <c r="AU210" t="s">
        <v>1995</v>
      </c>
      <c r="AV210" t="s">
        <v>1996</v>
      </c>
      <c r="AW210" t="s">
        <v>1996</v>
      </c>
      <c r="AX210" t="s">
        <v>1194</v>
      </c>
      <c r="AY210" t="s">
        <v>1996</v>
      </c>
      <c r="AZ210">
        <v>4532</v>
      </c>
      <c r="BA210">
        <v>1</v>
      </c>
      <c r="BB210" t="s">
        <v>2014</v>
      </c>
      <c r="BC210" s="3">
        <v>0</v>
      </c>
      <c r="BD210" s="3">
        <v>0</v>
      </c>
      <c r="BE210" s="3">
        <v>4870.24</v>
      </c>
      <c r="BF210" s="3">
        <v>5707.39</v>
      </c>
      <c r="BG210" s="3">
        <v>150</v>
      </c>
      <c r="BH210" s="3">
        <v>0</v>
      </c>
      <c r="BI210" s="3">
        <v>10000</v>
      </c>
      <c r="BJ210" s="3">
        <v>20727.63</v>
      </c>
      <c r="BK210" s="3">
        <v>0</v>
      </c>
      <c r="BL210" s="3">
        <v>20727.63</v>
      </c>
      <c r="BM210" s="2">
        <f t="shared" ca="1" si="7"/>
        <v>6</v>
      </c>
      <c r="BN210" s="3">
        <v>50000</v>
      </c>
      <c r="BO210" s="3">
        <v>50000</v>
      </c>
      <c r="BP210" s="3" t="s">
        <v>2922</v>
      </c>
      <c r="BQ210" s="3">
        <v>1000000</v>
      </c>
      <c r="BR210" s="3">
        <v>250000</v>
      </c>
      <c r="BS210">
        <v>50000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 t="s">
        <v>2950</v>
      </c>
      <c r="CA210" t="s">
        <v>1194</v>
      </c>
      <c r="CB210" t="s">
        <v>2949</v>
      </c>
    </row>
    <row r="211" spans="1:80" x14ac:dyDescent="0.25">
      <c r="A211">
        <v>209</v>
      </c>
      <c r="B211" t="s">
        <v>2228</v>
      </c>
      <c r="C211" s="1">
        <v>44728</v>
      </c>
      <c r="D211" s="2">
        <v>18</v>
      </c>
      <c r="E211" t="s">
        <v>4</v>
      </c>
      <c r="F211" t="s">
        <v>1311</v>
      </c>
      <c r="G211">
        <v>0</v>
      </c>
      <c r="H211" s="3">
        <v>6850000</v>
      </c>
      <c r="I211" s="3">
        <v>600000</v>
      </c>
      <c r="J211" s="3">
        <v>0</v>
      </c>
      <c r="K211" s="3">
        <v>0</v>
      </c>
      <c r="L211" s="3" t="s">
        <v>1191</v>
      </c>
      <c r="M211">
        <v>1926611</v>
      </c>
      <c r="N211" t="s">
        <v>467</v>
      </c>
      <c r="P211" t="s">
        <v>134</v>
      </c>
      <c r="Q211" t="s">
        <v>17</v>
      </c>
      <c r="R211">
        <v>29455</v>
      </c>
      <c r="S211" t="s">
        <v>31</v>
      </c>
      <c r="T211" t="s">
        <v>969</v>
      </c>
      <c r="U211">
        <v>0</v>
      </c>
      <c r="V211" t="s">
        <v>1040</v>
      </c>
      <c r="W211" t="s">
        <v>1194</v>
      </c>
      <c r="X211" t="s">
        <v>973</v>
      </c>
      <c r="Y211">
        <v>10000</v>
      </c>
      <c r="Z211" s="2">
        <v>5</v>
      </c>
      <c r="AA211" s="2" t="s">
        <v>1238</v>
      </c>
      <c r="AB211" t="s">
        <v>1238</v>
      </c>
      <c r="AC211">
        <v>689</v>
      </c>
      <c r="AD211" t="s">
        <v>1279</v>
      </c>
      <c r="AE211">
        <v>2</v>
      </c>
      <c r="AF211" t="s">
        <v>1291</v>
      </c>
      <c r="AG211">
        <v>0</v>
      </c>
      <c r="AH211">
        <v>0</v>
      </c>
      <c r="AI211">
        <v>0</v>
      </c>
      <c r="AJ211">
        <v>2022</v>
      </c>
      <c r="AK211" t="s">
        <v>1194</v>
      </c>
      <c r="AL211" t="s">
        <v>1194</v>
      </c>
      <c r="AM211" s="4" t="s">
        <v>1238</v>
      </c>
      <c r="AN211">
        <v>0</v>
      </c>
      <c r="AO211" t="s">
        <v>1315</v>
      </c>
      <c r="AP211">
        <f t="shared" si="6"/>
        <v>0</v>
      </c>
      <c r="AQ211">
        <v>0</v>
      </c>
      <c r="AR211" t="s">
        <v>1993</v>
      </c>
      <c r="AS211" t="s">
        <v>1996</v>
      </c>
      <c r="AT211" t="s">
        <v>1995</v>
      </c>
      <c r="AU211" t="s">
        <v>1996</v>
      </c>
      <c r="AV211" t="s">
        <v>1995</v>
      </c>
      <c r="AW211" t="s">
        <v>1995</v>
      </c>
      <c r="AX211" t="s">
        <v>2008</v>
      </c>
      <c r="AY211" t="s">
        <v>1995</v>
      </c>
      <c r="AZ211">
        <v>6000</v>
      </c>
      <c r="BA211" t="s">
        <v>1194</v>
      </c>
      <c r="BB211" t="s">
        <v>1194</v>
      </c>
      <c r="BC211" s="3">
        <v>10175.304599999999</v>
      </c>
      <c r="BD211" s="3">
        <v>22511.97</v>
      </c>
      <c r="BE211" s="3">
        <v>0</v>
      </c>
      <c r="BF211" s="3">
        <v>0</v>
      </c>
      <c r="BG211" s="3">
        <v>0</v>
      </c>
      <c r="BH211" s="3">
        <v>0</v>
      </c>
      <c r="BI211" s="3">
        <v>15758</v>
      </c>
      <c r="BJ211" s="3">
        <v>48445</v>
      </c>
      <c r="BK211" s="3">
        <v>400</v>
      </c>
      <c r="BL211" s="3">
        <v>48845</v>
      </c>
      <c r="BM211" s="2">
        <f t="shared" ca="1" si="7"/>
        <v>3</v>
      </c>
      <c r="BN211" s="3">
        <v>250000</v>
      </c>
      <c r="BO211" s="3">
        <v>250000</v>
      </c>
      <c r="BP211" s="3">
        <v>100000</v>
      </c>
      <c r="BQ211" s="3">
        <v>250000</v>
      </c>
      <c r="BR211" s="3">
        <v>50000</v>
      </c>
      <c r="BS211">
        <v>100000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 t="s">
        <v>2940</v>
      </c>
      <c r="CA211" t="s">
        <v>2944</v>
      </c>
      <c r="CB211" t="s">
        <v>2945</v>
      </c>
    </row>
    <row r="212" spans="1:80" x14ac:dyDescent="0.25">
      <c r="A212">
        <v>210</v>
      </c>
      <c r="B212" t="s">
        <v>2229</v>
      </c>
      <c r="C212" s="1">
        <v>44697</v>
      </c>
      <c r="D212" s="2">
        <v>15</v>
      </c>
      <c r="E212" t="s">
        <v>4</v>
      </c>
      <c r="F212" t="s">
        <v>1311</v>
      </c>
      <c r="G212">
        <v>1</v>
      </c>
      <c r="H212" s="3">
        <v>0</v>
      </c>
      <c r="I212" s="3">
        <v>0</v>
      </c>
      <c r="J212" s="3">
        <v>1800000</v>
      </c>
      <c r="K212" s="3">
        <v>0</v>
      </c>
      <c r="L212" s="3" t="s">
        <v>1192</v>
      </c>
      <c r="M212">
        <v>1907636</v>
      </c>
      <c r="N212" t="s">
        <v>468</v>
      </c>
      <c r="O212" t="s">
        <v>469</v>
      </c>
      <c r="P212" t="s">
        <v>310</v>
      </c>
      <c r="Q212" t="s">
        <v>15</v>
      </c>
      <c r="R212">
        <v>33139</v>
      </c>
      <c r="S212" t="s">
        <v>33</v>
      </c>
      <c r="T212" t="s">
        <v>967</v>
      </c>
      <c r="U212">
        <v>1</v>
      </c>
      <c r="V212" t="s">
        <v>1056</v>
      </c>
      <c r="W212" t="s">
        <v>1194</v>
      </c>
      <c r="X212" t="s">
        <v>1309</v>
      </c>
      <c r="Y212">
        <v>10000</v>
      </c>
      <c r="Z212" s="2">
        <v>5</v>
      </c>
      <c r="AA212" s="2" t="s">
        <v>1238</v>
      </c>
      <c r="AB212" t="s">
        <v>1238</v>
      </c>
      <c r="AC212">
        <v>812</v>
      </c>
      <c r="AD212" t="s">
        <v>1282</v>
      </c>
      <c r="AE212">
        <v>1</v>
      </c>
      <c r="AF212" t="s">
        <v>1291</v>
      </c>
      <c r="AG212">
        <v>0</v>
      </c>
      <c r="AH212">
        <v>0</v>
      </c>
      <c r="AI212">
        <v>0</v>
      </c>
      <c r="AJ212">
        <v>2003</v>
      </c>
      <c r="AK212" t="s">
        <v>1194</v>
      </c>
      <c r="AL212" t="s">
        <v>1194</v>
      </c>
      <c r="AM212" s="4" t="s">
        <v>1238</v>
      </c>
      <c r="AN212">
        <v>1</v>
      </c>
      <c r="AO212" t="s">
        <v>1316</v>
      </c>
      <c r="AP212">
        <f t="shared" si="6"/>
        <v>0</v>
      </c>
      <c r="AQ212">
        <v>1</v>
      </c>
      <c r="AR212" t="s">
        <v>1992</v>
      </c>
      <c r="AS212" t="s">
        <v>1995</v>
      </c>
      <c r="AT212" t="s">
        <v>1995</v>
      </c>
      <c r="AU212" t="s">
        <v>1995</v>
      </c>
      <c r="AV212" t="s">
        <v>1995</v>
      </c>
      <c r="AW212" t="s">
        <v>1996</v>
      </c>
      <c r="AX212" t="s">
        <v>2007</v>
      </c>
      <c r="AY212" t="s">
        <v>1995</v>
      </c>
      <c r="AZ212">
        <v>3058</v>
      </c>
      <c r="BA212" t="s">
        <v>1194</v>
      </c>
      <c r="BB212" t="s">
        <v>1194</v>
      </c>
      <c r="BC212" s="3">
        <v>3459.1327999999999</v>
      </c>
      <c r="BD212" s="3">
        <v>19539.759999999998</v>
      </c>
      <c r="BE212" s="3">
        <v>0</v>
      </c>
      <c r="BF212" s="3">
        <v>0</v>
      </c>
      <c r="BG212" s="3">
        <v>300</v>
      </c>
      <c r="BH212" s="3">
        <v>0</v>
      </c>
      <c r="BI212" s="3">
        <v>850</v>
      </c>
      <c r="BJ212" s="3">
        <v>24149</v>
      </c>
      <c r="BK212" s="3">
        <v>150</v>
      </c>
      <c r="BL212" s="3">
        <v>24299</v>
      </c>
      <c r="BM212" s="2">
        <f t="shared" ca="1" si="7"/>
        <v>5</v>
      </c>
      <c r="BN212" s="3">
        <v>250000</v>
      </c>
      <c r="BO212" s="3">
        <v>500000</v>
      </c>
      <c r="BP212" s="3">
        <v>50000</v>
      </c>
      <c r="BQ212" s="3">
        <v>2000000</v>
      </c>
      <c r="BR212" s="3">
        <v>50000</v>
      </c>
      <c r="BS212">
        <v>250000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 t="s">
        <v>2938</v>
      </c>
      <c r="CA212" t="s">
        <v>2939</v>
      </c>
      <c r="CB212" t="s">
        <v>2946</v>
      </c>
    </row>
    <row r="213" spans="1:80" x14ac:dyDescent="0.25">
      <c r="A213">
        <v>211</v>
      </c>
      <c r="B213" t="s">
        <v>2230</v>
      </c>
      <c r="C213" s="1">
        <v>44712</v>
      </c>
      <c r="D213" s="2">
        <v>15</v>
      </c>
      <c r="E213" t="s">
        <v>4</v>
      </c>
      <c r="F213" t="s">
        <v>1311</v>
      </c>
      <c r="G213">
        <v>1</v>
      </c>
      <c r="H213" s="3">
        <v>0</v>
      </c>
      <c r="I213" s="3">
        <v>0</v>
      </c>
      <c r="J213" s="3">
        <v>800000</v>
      </c>
      <c r="K213" s="3">
        <v>0</v>
      </c>
      <c r="L213" s="3" t="s">
        <v>1192</v>
      </c>
      <c r="M213">
        <v>1067091</v>
      </c>
      <c r="N213" t="s">
        <v>470</v>
      </c>
      <c r="O213" t="s">
        <v>471</v>
      </c>
      <c r="P213" t="s">
        <v>290</v>
      </c>
      <c r="Q213" t="s">
        <v>15</v>
      </c>
      <c r="R213">
        <v>32459</v>
      </c>
      <c r="S213" t="s">
        <v>71</v>
      </c>
      <c r="T213" t="s">
        <v>964</v>
      </c>
      <c r="U213">
        <v>1</v>
      </c>
      <c r="V213" t="s">
        <v>1051</v>
      </c>
      <c r="W213" t="s">
        <v>1194</v>
      </c>
      <c r="X213" t="s">
        <v>1309</v>
      </c>
      <c r="Y213">
        <v>10000</v>
      </c>
      <c r="Z213" s="2">
        <v>5</v>
      </c>
      <c r="AA213" s="2" t="s">
        <v>1238</v>
      </c>
      <c r="AB213" t="s">
        <v>1238</v>
      </c>
      <c r="AC213">
        <v>937</v>
      </c>
      <c r="AD213" t="s">
        <v>1279</v>
      </c>
      <c r="AE213">
        <v>3</v>
      </c>
      <c r="AF213" t="s">
        <v>1292</v>
      </c>
      <c r="AG213">
        <v>0</v>
      </c>
      <c r="AH213">
        <v>0</v>
      </c>
      <c r="AI213">
        <v>0</v>
      </c>
      <c r="AJ213">
        <v>1981</v>
      </c>
      <c r="AK213" t="s">
        <v>1194</v>
      </c>
      <c r="AL213" t="s">
        <v>1194</v>
      </c>
      <c r="AM213" s="4" t="s">
        <v>1238</v>
      </c>
      <c r="AN213">
        <v>1</v>
      </c>
      <c r="AO213" t="s">
        <v>1315</v>
      </c>
      <c r="AP213">
        <f t="shared" si="6"/>
        <v>0</v>
      </c>
      <c r="AQ213">
        <v>0</v>
      </c>
      <c r="AR213" t="s">
        <v>1993</v>
      </c>
      <c r="AS213" t="s">
        <v>1995</v>
      </c>
      <c r="AT213" t="s">
        <v>1996</v>
      </c>
      <c r="AU213" t="s">
        <v>1996</v>
      </c>
      <c r="AV213" t="s">
        <v>1996</v>
      </c>
      <c r="AW213" t="s">
        <v>1996</v>
      </c>
      <c r="AX213" t="s">
        <v>2008</v>
      </c>
      <c r="AY213" t="s">
        <v>1995</v>
      </c>
      <c r="AZ213">
        <v>1582</v>
      </c>
      <c r="BA213" t="s">
        <v>1194</v>
      </c>
      <c r="BB213" t="s">
        <v>1194</v>
      </c>
      <c r="BC213" s="3">
        <v>1997.2528</v>
      </c>
      <c r="BD213" s="3">
        <v>8237.33</v>
      </c>
      <c r="BE213" s="3">
        <v>0</v>
      </c>
      <c r="BF213" s="3">
        <v>0</v>
      </c>
      <c r="BG213" s="3">
        <v>300</v>
      </c>
      <c r="BH213" s="3">
        <v>0</v>
      </c>
      <c r="BI213" s="3">
        <v>9305</v>
      </c>
      <c r="BJ213" s="3">
        <v>19840</v>
      </c>
      <c r="BK213" s="3">
        <v>350</v>
      </c>
      <c r="BL213" s="3">
        <v>20190</v>
      </c>
      <c r="BM213" s="2">
        <f t="shared" ca="1" si="7"/>
        <v>2</v>
      </c>
      <c r="BN213" s="3">
        <v>50000</v>
      </c>
      <c r="BO213" s="3">
        <v>1000000</v>
      </c>
      <c r="BP213" s="3" t="s">
        <v>2922</v>
      </c>
      <c r="BQ213" s="3">
        <v>100000</v>
      </c>
      <c r="BR213" s="3" t="s">
        <v>2916</v>
      </c>
      <c r="BS213">
        <v>500000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 t="s">
        <v>2943</v>
      </c>
      <c r="CA213" t="s">
        <v>2006</v>
      </c>
      <c r="CB213" t="s">
        <v>2946</v>
      </c>
    </row>
    <row r="214" spans="1:80" x14ac:dyDescent="0.25">
      <c r="A214">
        <v>212</v>
      </c>
      <c r="B214" t="s">
        <v>2231</v>
      </c>
      <c r="C214" s="1">
        <v>44914</v>
      </c>
      <c r="D214" s="2">
        <v>36</v>
      </c>
      <c r="E214" t="s">
        <v>4</v>
      </c>
      <c r="F214" t="s">
        <v>1311</v>
      </c>
      <c r="G214">
        <v>1</v>
      </c>
      <c r="H214" s="3">
        <v>1800000</v>
      </c>
      <c r="I214" s="3">
        <v>150000</v>
      </c>
      <c r="J214" s="3">
        <v>0</v>
      </c>
      <c r="K214" s="3">
        <v>0</v>
      </c>
      <c r="L214" s="3" t="s">
        <v>1191</v>
      </c>
      <c r="M214">
        <v>2035378</v>
      </c>
      <c r="N214" t="s">
        <v>472</v>
      </c>
      <c r="P214" t="s">
        <v>172</v>
      </c>
      <c r="Q214" t="s">
        <v>17</v>
      </c>
      <c r="R214">
        <v>29928</v>
      </c>
      <c r="S214" t="s">
        <v>42</v>
      </c>
      <c r="T214" t="s">
        <v>962</v>
      </c>
      <c r="U214">
        <v>0</v>
      </c>
      <c r="V214" t="s">
        <v>1006</v>
      </c>
      <c r="W214" t="s">
        <v>1194</v>
      </c>
      <c r="X214" t="s">
        <v>973</v>
      </c>
      <c r="Y214">
        <v>10000</v>
      </c>
      <c r="Z214" s="2">
        <v>5</v>
      </c>
      <c r="AA214" s="2" t="s">
        <v>1238</v>
      </c>
      <c r="AB214" t="s">
        <v>1238</v>
      </c>
      <c r="AC214">
        <v>849</v>
      </c>
      <c r="AD214" t="s">
        <v>1279</v>
      </c>
      <c r="AE214">
        <v>2</v>
      </c>
      <c r="AF214" t="s">
        <v>1290</v>
      </c>
      <c r="AG214">
        <v>0</v>
      </c>
      <c r="AH214">
        <v>0</v>
      </c>
      <c r="AI214">
        <v>0</v>
      </c>
      <c r="AJ214">
        <v>1987</v>
      </c>
      <c r="AK214" t="s">
        <v>1194</v>
      </c>
      <c r="AL214">
        <v>2018</v>
      </c>
      <c r="AM214" s="4" t="s">
        <v>1238</v>
      </c>
      <c r="AN214">
        <v>1</v>
      </c>
      <c r="AO214" t="s">
        <v>1316</v>
      </c>
      <c r="AP214">
        <f t="shared" si="6"/>
        <v>0</v>
      </c>
      <c r="AQ214">
        <v>1</v>
      </c>
      <c r="AR214" t="s">
        <v>1992</v>
      </c>
      <c r="AS214" t="s">
        <v>1995</v>
      </c>
      <c r="AT214" t="s">
        <v>1996</v>
      </c>
      <c r="AU214" t="s">
        <v>1996</v>
      </c>
      <c r="AV214" t="s">
        <v>1996</v>
      </c>
      <c r="AW214" t="s">
        <v>1995</v>
      </c>
      <c r="AX214" t="s">
        <v>2003</v>
      </c>
      <c r="AY214" t="s">
        <v>1996</v>
      </c>
      <c r="AZ214">
        <v>4163</v>
      </c>
      <c r="BA214" t="s">
        <v>1194</v>
      </c>
      <c r="BB214" t="s">
        <v>1194</v>
      </c>
      <c r="BC214" s="3">
        <v>4046.0536999999999</v>
      </c>
      <c r="BD214" s="3">
        <v>8172.9</v>
      </c>
      <c r="BE214" s="3">
        <v>0</v>
      </c>
      <c r="BF214" s="3">
        <v>0</v>
      </c>
      <c r="BG214" s="3">
        <v>0</v>
      </c>
      <c r="BH214" s="3">
        <v>0</v>
      </c>
      <c r="BI214" s="3">
        <v>9231</v>
      </c>
      <c r="BJ214" s="3">
        <v>21450</v>
      </c>
      <c r="BK214" s="3">
        <v>0</v>
      </c>
      <c r="BL214" s="3">
        <v>21450</v>
      </c>
      <c r="BM214" s="2">
        <f t="shared" ca="1" si="7"/>
        <v>6</v>
      </c>
      <c r="BN214" s="3">
        <v>50000</v>
      </c>
      <c r="BO214" s="3">
        <v>25000</v>
      </c>
      <c r="BP214" s="3">
        <v>50000</v>
      </c>
      <c r="BQ214" s="3">
        <v>100000</v>
      </c>
      <c r="BR214" s="3">
        <v>50000</v>
      </c>
      <c r="BS214">
        <v>50000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 t="s">
        <v>2938</v>
      </c>
      <c r="CA214" t="s">
        <v>2944</v>
      </c>
      <c r="CB214" t="s">
        <v>2941</v>
      </c>
    </row>
    <row r="215" spans="1:80" x14ac:dyDescent="0.25">
      <c r="A215">
        <v>213</v>
      </c>
      <c r="B215" t="s">
        <v>2232</v>
      </c>
      <c r="C215" s="1">
        <v>44856</v>
      </c>
      <c r="D215" s="2">
        <v>30</v>
      </c>
      <c r="E215" t="s">
        <v>4</v>
      </c>
      <c r="F215" t="s">
        <v>1311</v>
      </c>
      <c r="G215">
        <v>1</v>
      </c>
      <c r="H215" s="3">
        <v>4000000</v>
      </c>
      <c r="I215" s="3">
        <v>820000</v>
      </c>
      <c r="J215" s="3">
        <v>0</v>
      </c>
      <c r="K215" s="3">
        <v>0</v>
      </c>
      <c r="L215" s="3" t="s">
        <v>1191</v>
      </c>
      <c r="M215">
        <v>1556418</v>
      </c>
      <c r="N215" t="s">
        <v>473</v>
      </c>
      <c r="P215" t="s">
        <v>474</v>
      </c>
      <c r="Q215" t="s">
        <v>14</v>
      </c>
      <c r="R215">
        <v>11030</v>
      </c>
      <c r="S215" t="s">
        <v>38</v>
      </c>
      <c r="T215" t="s">
        <v>962</v>
      </c>
      <c r="U215">
        <v>0</v>
      </c>
      <c r="V215" t="s">
        <v>1088</v>
      </c>
      <c r="W215" t="s">
        <v>1194</v>
      </c>
      <c r="X215" t="s">
        <v>973</v>
      </c>
      <c r="Y215">
        <v>10000</v>
      </c>
      <c r="Z215" s="2">
        <v>1</v>
      </c>
      <c r="AA215" s="2" t="s">
        <v>1238</v>
      </c>
      <c r="AB215" t="s">
        <v>1238</v>
      </c>
      <c r="AC215">
        <v>718</v>
      </c>
      <c r="AD215" t="s">
        <v>1284</v>
      </c>
      <c r="AE215">
        <v>3</v>
      </c>
      <c r="AF215" t="s">
        <v>1290</v>
      </c>
      <c r="AG215">
        <v>0</v>
      </c>
      <c r="AH215">
        <v>0</v>
      </c>
      <c r="AI215">
        <v>0</v>
      </c>
      <c r="AJ215">
        <v>1999</v>
      </c>
      <c r="AK215">
        <v>2020</v>
      </c>
      <c r="AL215">
        <v>2021</v>
      </c>
      <c r="AM215" s="4" t="s">
        <v>1238</v>
      </c>
      <c r="AN215">
        <v>0</v>
      </c>
      <c r="AO215" t="s">
        <v>1317</v>
      </c>
      <c r="AP215">
        <f t="shared" si="6"/>
        <v>0</v>
      </c>
      <c r="AQ215">
        <v>1</v>
      </c>
      <c r="AR215" t="s">
        <v>1992</v>
      </c>
      <c r="AS215" t="s">
        <v>1996</v>
      </c>
      <c r="AT215" t="s">
        <v>1995</v>
      </c>
      <c r="AU215" t="s">
        <v>1996</v>
      </c>
      <c r="AV215" t="s">
        <v>1995</v>
      </c>
      <c r="AW215" t="s">
        <v>1995</v>
      </c>
      <c r="AX215" t="s">
        <v>2006</v>
      </c>
      <c r="AY215" t="s">
        <v>1996</v>
      </c>
      <c r="AZ215">
        <v>5397</v>
      </c>
      <c r="BA215" t="s">
        <v>1194</v>
      </c>
      <c r="BB215" t="s">
        <v>1194</v>
      </c>
      <c r="BC215" s="3">
        <v>13249.6765</v>
      </c>
      <c r="BD215" s="3">
        <v>4525.95</v>
      </c>
      <c r="BE215" s="3">
        <v>0</v>
      </c>
      <c r="BF215" s="3">
        <v>0</v>
      </c>
      <c r="BG215" s="3">
        <v>150</v>
      </c>
      <c r="BH215" s="3">
        <v>0</v>
      </c>
      <c r="BI215" s="3">
        <v>3770</v>
      </c>
      <c r="BJ215" s="3">
        <v>21696</v>
      </c>
      <c r="BK215" s="3">
        <v>0</v>
      </c>
      <c r="BL215" s="3">
        <v>21696</v>
      </c>
      <c r="BM215" s="2">
        <f t="shared" ca="1" si="7"/>
        <v>1</v>
      </c>
      <c r="BN215" s="3">
        <v>100000</v>
      </c>
      <c r="BO215" s="3">
        <v>1000000</v>
      </c>
      <c r="BP215" s="3" t="s">
        <v>2922</v>
      </c>
      <c r="BQ215" s="3">
        <v>100000</v>
      </c>
      <c r="BR215" s="3">
        <v>500000</v>
      </c>
      <c r="BS215" t="s">
        <v>2916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 t="s">
        <v>2938</v>
      </c>
      <c r="CA215" t="s">
        <v>2006</v>
      </c>
      <c r="CB215" t="s">
        <v>2006</v>
      </c>
    </row>
    <row r="216" spans="1:80" x14ac:dyDescent="0.25">
      <c r="A216">
        <v>214</v>
      </c>
      <c r="B216" t="s">
        <v>2233</v>
      </c>
      <c r="C216" s="1">
        <v>44819</v>
      </c>
      <c r="D216" s="2">
        <v>27</v>
      </c>
      <c r="E216" t="s">
        <v>4</v>
      </c>
      <c r="F216" t="s">
        <v>1311</v>
      </c>
      <c r="G216">
        <v>0</v>
      </c>
      <c r="H216" s="3">
        <v>0</v>
      </c>
      <c r="I216" s="3">
        <v>0</v>
      </c>
      <c r="J216" s="3">
        <v>600000</v>
      </c>
      <c r="K216" s="3">
        <v>0</v>
      </c>
      <c r="L216" s="3" t="s">
        <v>1192</v>
      </c>
      <c r="M216">
        <v>1978253</v>
      </c>
      <c r="N216" t="s">
        <v>475</v>
      </c>
      <c r="O216" t="s">
        <v>476</v>
      </c>
      <c r="P216" t="s">
        <v>477</v>
      </c>
      <c r="Q216" t="s">
        <v>21</v>
      </c>
      <c r="R216">
        <v>28747</v>
      </c>
      <c r="S216" t="s">
        <v>84</v>
      </c>
      <c r="T216" t="s">
        <v>973</v>
      </c>
      <c r="U216">
        <v>0</v>
      </c>
      <c r="V216" t="s">
        <v>1089</v>
      </c>
      <c r="W216" t="s">
        <v>1194</v>
      </c>
      <c r="X216" t="s">
        <v>973</v>
      </c>
      <c r="Y216">
        <v>10000</v>
      </c>
      <c r="Z216" s="2" t="s">
        <v>1194</v>
      </c>
      <c r="AA216" s="2" t="s">
        <v>1238</v>
      </c>
      <c r="AB216" t="s">
        <v>1238</v>
      </c>
      <c r="AC216">
        <v>855</v>
      </c>
      <c r="AD216" t="s">
        <v>1279</v>
      </c>
      <c r="AE216">
        <v>5</v>
      </c>
      <c r="AF216" t="s">
        <v>1290</v>
      </c>
      <c r="AG216">
        <v>0</v>
      </c>
      <c r="AH216">
        <v>0</v>
      </c>
      <c r="AI216">
        <v>0</v>
      </c>
      <c r="AJ216">
        <v>1974</v>
      </c>
      <c r="AK216" t="s">
        <v>1194</v>
      </c>
      <c r="AL216" t="s">
        <v>1194</v>
      </c>
      <c r="AM216" s="4" t="s">
        <v>1238</v>
      </c>
      <c r="AN216">
        <v>0</v>
      </c>
      <c r="AO216" t="s">
        <v>1315</v>
      </c>
      <c r="AP216">
        <f t="shared" si="6"/>
        <v>0</v>
      </c>
      <c r="AQ216">
        <v>1</v>
      </c>
      <c r="AR216" t="s">
        <v>1992</v>
      </c>
      <c r="AS216" t="s">
        <v>1996</v>
      </c>
      <c r="AT216" t="s">
        <v>1995</v>
      </c>
      <c r="AU216" t="s">
        <v>1996</v>
      </c>
      <c r="AV216" t="s">
        <v>1996</v>
      </c>
      <c r="AW216" t="s">
        <v>1995</v>
      </c>
      <c r="AX216" t="s">
        <v>2006</v>
      </c>
      <c r="AY216" t="s">
        <v>1996</v>
      </c>
      <c r="AZ216">
        <v>1817</v>
      </c>
      <c r="BA216" t="s">
        <v>1194</v>
      </c>
      <c r="BB216" t="s">
        <v>1194</v>
      </c>
      <c r="BC216" s="3">
        <v>924.39660000000003</v>
      </c>
      <c r="BD216" s="3">
        <v>419.54</v>
      </c>
      <c r="BE216" s="3">
        <v>0</v>
      </c>
      <c r="BF216" s="3">
        <v>0</v>
      </c>
      <c r="BG216" s="3">
        <v>150</v>
      </c>
      <c r="BH216" s="3">
        <v>0</v>
      </c>
      <c r="BI216" s="3">
        <v>1856</v>
      </c>
      <c r="BJ216" s="3">
        <v>3350</v>
      </c>
      <c r="BK216" s="3">
        <v>150</v>
      </c>
      <c r="BL216" s="3">
        <v>3500</v>
      </c>
      <c r="BM216" s="2">
        <f t="shared" ca="1" si="7"/>
        <v>4</v>
      </c>
      <c r="BN216" s="3">
        <v>50000</v>
      </c>
      <c r="BO216" s="3">
        <v>1000000</v>
      </c>
      <c r="BP216" s="3">
        <v>100000</v>
      </c>
      <c r="BQ216" s="3">
        <v>500000</v>
      </c>
      <c r="BR216" s="3">
        <v>100000</v>
      </c>
      <c r="BS216">
        <v>1000000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 t="s">
        <v>2006</v>
      </c>
      <c r="CA216" t="s">
        <v>2006</v>
      </c>
      <c r="CB216" t="s">
        <v>2006</v>
      </c>
    </row>
    <row r="217" spans="1:80" x14ac:dyDescent="0.25">
      <c r="A217">
        <v>215</v>
      </c>
      <c r="B217" t="s">
        <v>2234</v>
      </c>
      <c r="C217" s="1">
        <v>44751</v>
      </c>
      <c r="D217" s="2">
        <v>21</v>
      </c>
      <c r="E217" t="s">
        <v>4</v>
      </c>
      <c r="F217" t="s">
        <v>1311</v>
      </c>
      <c r="G217">
        <v>0</v>
      </c>
      <c r="H217" s="3">
        <v>6609200</v>
      </c>
      <c r="I217" s="3">
        <v>670500</v>
      </c>
      <c r="J217" s="3">
        <v>0</v>
      </c>
      <c r="K217" s="3">
        <v>0</v>
      </c>
      <c r="L217" s="3" t="s">
        <v>1191</v>
      </c>
      <c r="M217">
        <v>1265914</v>
      </c>
      <c r="N217" t="s">
        <v>478</v>
      </c>
      <c r="P217" t="s">
        <v>479</v>
      </c>
      <c r="Q217" t="s">
        <v>19</v>
      </c>
      <c r="R217">
        <v>94010</v>
      </c>
      <c r="S217" t="s">
        <v>66</v>
      </c>
      <c r="T217" t="s">
        <v>975</v>
      </c>
      <c r="U217">
        <v>0</v>
      </c>
      <c r="V217">
        <v>48</v>
      </c>
      <c r="W217" t="s">
        <v>1211</v>
      </c>
      <c r="X217" t="s">
        <v>973</v>
      </c>
      <c r="Y217">
        <v>25000</v>
      </c>
      <c r="Z217" s="2" t="s">
        <v>1194</v>
      </c>
      <c r="AA217" s="2" t="s">
        <v>1238</v>
      </c>
      <c r="AB217" t="s">
        <v>1238</v>
      </c>
      <c r="AC217" t="s">
        <v>1194</v>
      </c>
      <c r="AD217" t="s">
        <v>1279</v>
      </c>
      <c r="AE217">
        <v>2</v>
      </c>
      <c r="AF217" t="s">
        <v>1290</v>
      </c>
      <c r="AG217">
        <v>0</v>
      </c>
      <c r="AH217">
        <v>0</v>
      </c>
      <c r="AI217">
        <v>0</v>
      </c>
      <c r="AJ217">
        <v>1924</v>
      </c>
      <c r="AK217">
        <v>2022</v>
      </c>
      <c r="AL217" t="s">
        <v>1194</v>
      </c>
      <c r="AM217" s="4" t="s">
        <v>1238</v>
      </c>
      <c r="AN217">
        <v>1</v>
      </c>
      <c r="AO217" t="s">
        <v>1315</v>
      </c>
      <c r="AP217">
        <f t="shared" si="6"/>
        <v>0</v>
      </c>
      <c r="AQ217">
        <v>0</v>
      </c>
      <c r="AR217" t="s">
        <v>1993</v>
      </c>
      <c r="AS217" t="s">
        <v>1995</v>
      </c>
      <c r="AT217" t="s">
        <v>1996</v>
      </c>
      <c r="AU217" t="s">
        <v>1995</v>
      </c>
      <c r="AV217" t="s">
        <v>1996</v>
      </c>
      <c r="AW217" t="s">
        <v>1995</v>
      </c>
      <c r="AX217" t="s">
        <v>1194</v>
      </c>
      <c r="AY217" t="s">
        <v>1996</v>
      </c>
      <c r="AZ217">
        <v>3080</v>
      </c>
      <c r="BA217">
        <v>3</v>
      </c>
      <c r="BB217" t="s">
        <v>2014</v>
      </c>
      <c r="BC217" s="3">
        <v>0</v>
      </c>
      <c r="BD217" s="3">
        <v>0</v>
      </c>
      <c r="BE217" s="3">
        <v>17424.810000000001</v>
      </c>
      <c r="BF217" s="3">
        <v>10632.21</v>
      </c>
      <c r="BG217" s="3">
        <v>0</v>
      </c>
      <c r="BH217" s="3">
        <v>0</v>
      </c>
      <c r="BI217" s="3">
        <v>21081</v>
      </c>
      <c r="BJ217" s="3">
        <v>49138.02</v>
      </c>
      <c r="BK217" s="3">
        <v>0</v>
      </c>
      <c r="BL217" s="3">
        <v>49138.02</v>
      </c>
      <c r="BM217" s="2">
        <f t="shared" ca="1" si="7"/>
        <v>2</v>
      </c>
      <c r="BN217" s="3">
        <v>50000</v>
      </c>
      <c r="BO217" s="3">
        <v>250000</v>
      </c>
      <c r="BP217" s="3">
        <v>50000</v>
      </c>
      <c r="BQ217" s="3">
        <v>50000</v>
      </c>
      <c r="BR217" s="3" t="s">
        <v>2916</v>
      </c>
      <c r="BS217">
        <v>1000000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 t="s">
        <v>2949</v>
      </c>
      <c r="CA217" t="s">
        <v>1194</v>
      </c>
      <c r="CB217" t="s">
        <v>2949</v>
      </c>
    </row>
    <row r="218" spans="1:80" x14ac:dyDescent="0.25">
      <c r="A218">
        <v>216</v>
      </c>
      <c r="B218" t="s">
        <v>2235</v>
      </c>
      <c r="C218" s="1">
        <v>44931</v>
      </c>
      <c r="D218" s="2">
        <v>3</v>
      </c>
      <c r="E218" t="s">
        <v>4</v>
      </c>
      <c r="F218" t="s">
        <v>1310</v>
      </c>
      <c r="G218">
        <v>0</v>
      </c>
      <c r="H218" s="3">
        <v>5500000</v>
      </c>
      <c r="I218" s="3">
        <v>650000</v>
      </c>
      <c r="J218" s="3">
        <v>0</v>
      </c>
      <c r="K218" s="3">
        <v>0</v>
      </c>
      <c r="L218" s="3" t="s">
        <v>1191</v>
      </c>
      <c r="M218">
        <v>1832527</v>
      </c>
      <c r="N218" t="s">
        <v>480</v>
      </c>
      <c r="P218" t="s">
        <v>462</v>
      </c>
      <c r="Q218" t="s">
        <v>19</v>
      </c>
      <c r="R218">
        <v>90402</v>
      </c>
      <c r="S218" t="s">
        <v>46</v>
      </c>
      <c r="T218" t="s">
        <v>975</v>
      </c>
      <c r="U218">
        <v>0</v>
      </c>
      <c r="V218">
        <v>32</v>
      </c>
      <c r="W218" t="s">
        <v>1200</v>
      </c>
      <c r="X218" t="s">
        <v>973</v>
      </c>
      <c r="Y218">
        <v>10000</v>
      </c>
      <c r="Z218" s="2" t="s">
        <v>1194</v>
      </c>
      <c r="AA218" s="2" t="s">
        <v>1238</v>
      </c>
      <c r="AB218" t="s">
        <v>1238</v>
      </c>
      <c r="AC218" t="s">
        <v>1194</v>
      </c>
      <c r="AD218" t="s">
        <v>1280</v>
      </c>
      <c r="AE218">
        <v>1</v>
      </c>
      <c r="AF218" t="s">
        <v>1290</v>
      </c>
      <c r="AG218">
        <v>0</v>
      </c>
      <c r="AH218">
        <v>0</v>
      </c>
      <c r="AI218">
        <v>0</v>
      </c>
      <c r="AJ218">
        <v>1998</v>
      </c>
      <c r="AK218" t="s">
        <v>1194</v>
      </c>
      <c r="AL218" t="s">
        <v>1194</v>
      </c>
      <c r="AM218" s="4" t="s">
        <v>1305</v>
      </c>
      <c r="AN218">
        <v>1</v>
      </c>
      <c r="AO218" t="s">
        <v>1316</v>
      </c>
      <c r="AP218">
        <f t="shared" si="6"/>
        <v>0</v>
      </c>
      <c r="AQ218">
        <v>0</v>
      </c>
      <c r="AR218" t="s">
        <v>1993</v>
      </c>
      <c r="AS218" t="s">
        <v>1995</v>
      </c>
      <c r="AT218" t="s">
        <v>1996</v>
      </c>
      <c r="AU218" t="s">
        <v>1996</v>
      </c>
      <c r="AV218" t="s">
        <v>1995</v>
      </c>
      <c r="AW218" t="s">
        <v>1996</v>
      </c>
      <c r="AX218" t="s">
        <v>1194</v>
      </c>
      <c r="AY218" t="s">
        <v>1996</v>
      </c>
      <c r="AZ218">
        <v>5068</v>
      </c>
      <c r="BA218">
        <v>2</v>
      </c>
      <c r="BB218" t="s">
        <v>2016</v>
      </c>
      <c r="BC218" s="3">
        <v>0</v>
      </c>
      <c r="BD218" s="3">
        <v>0</v>
      </c>
      <c r="BE218" s="3">
        <v>9444.4699999999993</v>
      </c>
      <c r="BF218" s="3">
        <v>10543.45</v>
      </c>
      <c r="BG218" s="3">
        <v>150</v>
      </c>
      <c r="BH218" s="3">
        <v>0</v>
      </c>
      <c r="BI218" s="3">
        <v>27850</v>
      </c>
      <c r="BJ218" s="3">
        <v>47987.92</v>
      </c>
      <c r="BK218" s="3">
        <v>0</v>
      </c>
      <c r="BL218" s="3">
        <v>47987.92</v>
      </c>
      <c r="BM218" s="2">
        <f t="shared" ca="1" si="7"/>
        <v>3</v>
      </c>
      <c r="BN218" s="3">
        <v>250000</v>
      </c>
      <c r="BO218" s="3">
        <v>20000</v>
      </c>
      <c r="BP218" s="3" t="s">
        <v>2922</v>
      </c>
      <c r="BQ218" s="3">
        <v>500000</v>
      </c>
      <c r="BR218" s="3">
        <v>250000</v>
      </c>
      <c r="BS218">
        <v>50000</v>
      </c>
      <c r="BT218">
        <v>0</v>
      </c>
      <c r="BU218">
        <v>0</v>
      </c>
      <c r="BV218">
        <v>1</v>
      </c>
      <c r="BW218">
        <v>0</v>
      </c>
      <c r="BX218">
        <v>0</v>
      </c>
      <c r="BY218">
        <v>0</v>
      </c>
      <c r="BZ218" t="s">
        <v>2948</v>
      </c>
      <c r="CA218" t="s">
        <v>1194</v>
      </c>
      <c r="CB218" t="s">
        <v>2949</v>
      </c>
    </row>
    <row r="219" spans="1:80" x14ac:dyDescent="0.25">
      <c r="A219">
        <v>217</v>
      </c>
      <c r="B219" t="s">
        <v>2236</v>
      </c>
      <c r="C219" s="1">
        <v>44854</v>
      </c>
      <c r="D219" s="2">
        <v>30</v>
      </c>
      <c r="E219" t="s">
        <v>4</v>
      </c>
      <c r="F219" t="s">
        <v>1311</v>
      </c>
      <c r="G219">
        <v>0</v>
      </c>
      <c r="H219" s="3">
        <v>2500000</v>
      </c>
      <c r="I219" s="3">
        <v>438462</v>
      </c>
      <c r="J219" s="3">
        <v>300000</v>
      </c>
      <c r="K219" s="3">
        <v>0</v>
      </c>
      <c r="L219" s="3" t="s">
        <v>1191</v>
      </c>
      <c r="M219">
        <v>1093403</v>
      </c>
      <c r="N219" t="s">
        <v>481</v>
      </c>
      <c r="P219" t="s">
        <v>482</v>
      </c>
      <c r="Q219" t="s">
        <v>18</v>
      </c>
      <c r="R219">
        <v>76262</v>
      </c>
      <c r="S219" t="s">
        <v>85</v>
      </c>
      <c r="T219" t="s">
        <v>973</v>
      </c>
      <c r="U219">
        <v>0</v>
      </c>
      <c r="V219">
        <v>2000</v>
      </c>
      <c r="W219" t="s">
        <v>1195</v>
      </c>
      <c r="X219" t="s">
        <v>973</v>
      </c>
      <c r="Y219">
        <v>10000</v>
      </c>
      <c r="Z219" s="2" t="s">
        <v>1194</v>
      </c>
      <c r="AA219" s="2">
        <v>0</v>
      </c>
      <c r="AB219" t="s">
        <v>1238</v>
      </c>
      <c r="AC219">
        <v>820</v>
      </c>
      <c r="AD219" t="s">
        <v>1284</v>
      </c>
      <c r="AE219">
        <v>2</v>
      </c>
      <c r="AF219" t="s">
        <v>1290</v>
      </c>
      <c r="AG219">
        <v>0</v>
      </c>
      <c r="AH219">
        <v>1</v>
      </c>
      <c r="AI219">
        <v>1</v>
      </c>
      <c r="AJ219">
        <v>2002</v>
      </c>
      <c r="AK219" t="s">
        <v>1194</v>
      </c>
      <c r="AL219">
        <v>2021</v>
      </c>
      <c r="AM219" s="4" t="s">
        <v>1238</v>
      </c>
      <c r="AN219">
        <v>1</v>
      </c>
      <c r="AO219" t="s">
        <v>1315</v>
      </c>
      <c r="AP219">
        <f t="shared" si="6"/>
        <v>1</v>
      </c>
      <c r="AQ219">
        <v>1</v>
      </c>
      <c r="AR219" t="s">
        <v>1992</v>
      </c>
      <c r="AS219" t="s">
        <v>1995</v>
      </c>
      <c r="AT219" t="s">
        <v>1995</v>
      </c>
      <c r="AU219" t="s">
        <v>1996</v>
      </c>
      <c r="AV219" t="s">
        <v>1995</v>
      </c>
      <c r="AW219" t="s">
        <v>1995</v>
      </c>
      <c r="AX219" t="s">
        <v>2006</v>
      </c>
      <c r="AY219" t="s">
        <v>1996</v>
      </c>
      <c r="AZ219">
        <v>5663</v>
      </c>
      <c r="BA219" t="s">
        <v>1194</v>
      </c>
      <c r="BB219" t="s">
        <v>1194</v>
      </c>
      <c r="BC219" s="3">
        <v>12693.2176</v>
      </c>
      <c r="BD219" s="3">
        <v>3483.6</v>
      </c>
      <c r="BE219" s="3">
        <v>0</v>
      </c>
      <c r="BF219" s="3">
        <v>0</v>
      </c>
      <c r="BG219" s="3">
        <v>0</v>
      </c>
      <c r="BH219" s="3">
        <v>0</v>
      </c>
      <c r="BI219" s="3">
        <v>2726</v>
      </c>
      <c r="BJ219" s="3">
        <v>18903</v>
      </c>
      <c r="BK219" s="3">
        <v>0</v>
      </c>
      <c r="BL219" s="3">
        <v>18903</v>
      </c>
      <c r="BM219" s="2">
        <f t="shared" ca="1" si="7"/>
        <v>4</v>
      </c>
      <c r="BN219" s="3">
        <v>500000</v>
      </c>
      <c r="BO219" s="3">
        <v>1000000</v>
      </c>
      <c r="BP219" s="3">
        <v>100000</v>
      </c>
      <c r="BQ219" s="3">
        <v>100000</v>
      </c>
      <c r="BR219" s="3">
        <v>1000000</v>
      </c>
      <c r="BS219">
        <v>100000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0</v>
      </c>
      <c r="BZ219" t="s">
        <v>2943</v>
      </c>
      <c r="CA219" t="s">
        <v>2006</v>
      </c>
      <c r="CB219" t="s">
        <v>2941</v>
      </c>
    </row>
    <row r="220" spans="1:80" x14ac:dyDescent="0.25">
      <c r="A220">
        <v>218</v>
      </c>
      <c r="B220" t="s">
        <v>2237</v>
      </c>
      <c r="C220" s="1">
        <v>44701</v>
      </c>
      <c r="D220" s="2">
        <v>15</v>
      </c>
      <c r="E220" t="s">
        <v>4</v>
      </c>
      <c r="F220" t="s">
        <v>1311</v>
      </c>
      <c r="G220">
        <v>1</v>
      </c>
      <c r="H220" s="3">
        <v>4328450</v>
      </c>
      <c r="I220" s="3">
        <v>375000</v>
      </c>
      <c r="J220" s="3">
        <v>0</v>
      </c>
      <c r="K220" s="3">
        <v>0</v>
      </c>
      <c r="L220" s="3" t="s">
        <v>1191</v>
      </c>
      <c r="M220">
        <v>1095360</v>
      </c>
      <c r="N220" t="s">
        <v>483</v>
      </c>
      <c r="P220" t="s">
        <v>403</v>
      </c>
      <c r="Q220" t="s">
        <v>14</v>
      </c>
      <c r="R220">
        <v>11976</v>
      </c>
      <c r="S220" t="s">
        <v>26</v>
      </c>
      <c r="T220" t="s">
        <v>962</v>
      </c>
      <c r="U220">
        <v>0</v>
      </c>
      <c r="V220" t="s">
        <v>1076</v>
      </c>
      <c r="W220" t="s">
        <v>1194</v>
      </c>
      <c r="X220" t="s">
        <v>973</v>
      </c>
      <c r="Y220">
        <v>10000</v>
      </c>
      <c r="Z220" s="2">
        <v>2</v>
      </c>
      <c r="AA220" s="2" t="s">
        <v>1238</v>
      </c>
      <c r="AB220" t="s">
        <v>1238</v>
      </c>
      <c r="AC220">
        <v>782</v>
      </c>
      <c r="AD220" t="s">
        <v>1279</v>
      </c>
      <c r="AE220">
        <v>4</v>
      </c>
      <c r="AF220" t="s">
        <v>1290</v>
      </c>
      <c r="AG220">
        <v>0</v>
      </c>
      <c r="AH220">
        <v>0</v>
      </c>
      <c r="AI220">
        <v>0</v>
      </c>
      <c r="AJ220">
        <v>2022</v>
      </c>
      <c r="AK220" t="s">
        <v>1194</v>
      </c>
      <c r="AL220" t="s">
        <v>1194</v>
      </c>
      <c r="AM220" s="4" t="s">
        <v>1238</v>
      </c>
      <c r="AN220">
        <v>0</v>
      </c>
      <c r="AO220" t="s">
        <v>1315</v>
      </c>
      <c r="AP220">
        <f t="shared" si="6"/>
        <v>0</v>
      </c>
      <c r="AQ220">
        <v>0</v>
      </c>
      <c r="AR220" t="s">
        <v>1993</v>
      </c>
      <c r="AS220" t="s">
        <v>1996</v>
      </c>
      <c r="AT220" t="s">
        <v>1996</v>
      </c>
      <c r="AU220" t="s">
        <v>1995</v>
      </c>
      <c r="AV220" t="s">
        <v>1996</v>
      </c>
      <c r="AW220" t="s">
        <v>1996</v>
      </c>
      <c r="AX220" t="s">
        <v>2006</v>
      </c>
      <c r="AY220" t="s">
        <v>1996</v>
      </c>
      <c r="AZ220">
        <v>5899</v>
      </c>
      <c r="BA220" t="s">
        <v>1194</v>
      </c>
      <c r="BB220" t="s">
        <v>1194</v>
      </c>
      <c r="BC220" s="3">
        <v>10312.5476</v>
      </c>
      <c r="BD220" s="3">
        <v>8602.75</v>
      </c>
      <c r="BE220" s="3">
        <v>0</v>
      </c>
      <c r="BF220" s="3">
        <v>0</v>
      </c>
      <c r="BG220" s="3">
        <v>150</v>
      </c>
      <c r="BH220" s="3">
        <v>0</v>
      </c>
      <c r="BI220" s="3">
        <v>4452.25</v>
      </c>
      <c r="BJ220" s="3">
        <v>23518</v>
      </c>
      <c r="BK220" s="3">
        <v>400</v>
      </c>
      <c r="BL220" s="3">
        <v>23918</v>
      </c>
      <c r="BM220" s="2">
        <f t="shared" ca="1" si="7"/>
        <v>1</v>
      </c>
      <c r="BN220" s="3" t="s">
        <v>2916</v>
      </c>
      <c r="BO220" s="3">
        <v>50000</v>
      </c>
      <c r="BP220" s="3">
        <v>200000</v>
      </c>
      <c r="BQ220" s="3">
        <v>50000</v>
      </c>
      <c r="BR220" s="3">
        <v>250000</v>
      </c>
      <c r="BS220">
        <v>500000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 t="s">
        <v>2942</v>
      </c>
      <c r="CA220" t="s">
        <v>2006</v>
      </c>
      <c r="CB220" t="s">
        <v>2006</v>
      </c>
    </row>
    <row r="221" spans="1:80" x14ac:dyDescent="0.25">
      <c r="A221">
        <v>219</v>
      </c>
      <c r="B221" t="s">
        <v>2238</v>
      </c>
      <c r="C221" s="1">
        <v>44826</v>
      </c>
      <c r="D221" s="2">
        <v>27</v>
      </c>
      <c r="E221" t="s">
        <v>4</v>
      </c>
      <c r="F221" t="s">
        <v>1311</v>
      </c>
      <c r="G221">
        <v>1</v>
      </c>
      <c r="H221" s="3">
        <v>4914798</v>
      </c>
      <c r="I221" s="3">
        <v>0</v>
      </c>
      <c r="J221" s="3">
        <v>0</v>
      </c>
      <c r="K221" s="3">
        <v>0</v>
      </c>
      <c r="L221" s="3" t="s">
        <v>1191</v>
      </c>
      <c r="M221">
        <v>996944</v>
      </c>
      <c r="N221" t="s">
        <v>484</v>
      </c>
      <c r="P221" t="s">
        <v>29</v>
      </c>
      <c r="Q221" t="s">
        <v>14</v>
      </c>
      <c r="R221">
        <v>10022</v>
      </c>
      <c r="S221" t="s">
        <v>29</v>
      </c>
      <c r="T221" t="s">
        <v>962</v>
      </c>
      <c r="U221">
        <v>0</v>
      </c>
      <c r="V221" t="s">
        <v>1090</v>
      </c>
      <c r="W221" t="s">
        <v>1194</v>
      </c>
      <c r="X221" t="s">
        <v>973</v>
      </c>
      <c r="Y221">
        <v>10000</v>
      </c>
      <c r="Z221" s="2">
        <v>1.0000004069999999</v>
      </c>
      <c r="AA221" s="2" t="s">
        <v>1238</v>
      </c>
      <c r="AB221" t="s">
        <v>1238</v>
      </c>
      <c r="AC221">
        <v>817</v>
      </c>
      <c r="AD221" t="s">
        <v>1280</v>
      </c>
      <c r="AE221">
        <v>1</v>
      </c>
      <c r="AF221" t="s">
        <v>1290</v>
      </c>
      <c r="AG221">
        <v>0</v>
      </c>
      <c r="AH221">
        <v>0</v>
      </c>
      <c r="AI221">
        <v>0</v>
      </c>
      <c r="AJ221">
        <v>1920</v>
      </c>
      <c r="AK221">
        <v>2007</v>
      </c>
      <c r="AL221">
        <v>2003</v>
      </c>
      <c r="AM221" s="4" t="s">
        <v>1238</v>
      </c>
      <c r="AN221">
        <v>1</v>
      </c>
      <c r="AO221" t="s">
        <v>1315</v>
      </c>
      <c r="AP221">
        <f t="shared" si="6"/>
        <v>0</v>
      </c>
      <c r="AQ221">
        <v>1</v>
      </c>
      <c r="AR221" t="s">
        <v>1992</v>
      </c>
      <c r="AS221" t="s">
        <v>1996</v>
      </c>
      <c r="AT221" t="s">
        <v>1996</v>
      </c>
      <c r="AU221" t="s">
        <v>1995</v>
      </c>
      <c r="AV221" t="s">
        <v>1996</v>
      </c>
      <c r="AW221" t="s">
        <v>1996</v>
      </c>
      <c r="AX221" t="s">
        <v>2006</v>
      </c>
      <c r="AY221" t="s">
        <v>1996</v>
      </c>
      <c r="AZ221">
        <v>3825</v>
      </c>
      <c r="BA221" t="s">
        <v>1194</v>
      </c>
      <c r="BB221" t="s">
        <v>1194</v>
      </c>
      <c r="BC221" s="3">
        <v>17575.588100000001</v>
      </c>
      <c r="BD221" s="3">
        <v>3729.95</v>
      </c>
      <c r="BE221" s="3">
        <v>0</v>
      </c>
      <c r="BF221" s="3">
        <v>0</v>
      </c>
      <c r="BG221" s="3">
        <v>150</v>
      </c>
      <c r="BH221" s="3">
        <v>0</v>
      </c>
      <c r="BI221" s="3">
        <v>5084.37</v>
      </c>
      <c r="BJ221" s="3">
        <v>26540</v>
      </c>
      <c r="BK221" s="3">
        <v>0</v>
      </c>
      <c r="BL221" s="3">
        <v>26540</v>
      </c>
      <c r="BM221" s="2">
        <f t="shared" ca="1" si="7"/>
        <v>1</v>
      </c>
      <c r="BN221" s="3">
        <v>50000</v>
      </c>
      <c r="BO221" s="3">
        <v>1000000</v>
      </c>
      <c r="BP221" s="3">
        <v>50000</v>
      </c>
      <c r="BQ221" s="3">
        <v>50000</v>
      </c>
      <c r="BR221" s="3">
        <v>250000</v>
      </c>
      <c r="BS221">
        <v>500000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 t="s">
        <v>2942</v>
      </c>
      <c r="CA221" t="s">
        <v>2006</v>
      </c>
      <c r="CB221" t="s">
        <v>2946</v>
      </c>
    </row>
    <row r="222" spans="1:80" x14ac:dyDescent="0.25">
      <c r="A222">
        <v>220</v>
      </c>
      <c r="B222" t="s">
        <v>2239</v>
      </c>
      <c r="C222" s="1">
        <v>44910</v>
      </c>
      <c r="D222" s="2">
        <v>36</v>
      </c>
      <c r="E222" t="s">
        <v>4</v>
      </c>
      <c r="F222" t="s">
        <v>1311</v>
      </c>
      <c r="G222">
        <v>0</v>
      </c>
      <c r="H222" s="3">
        <v>3200000</v>
      </c>
      <c r="I222" s="3">
        <v>250000</v>
      </c>
      <c r="J222" s="3">
        <v>0</v>
      </c>
      <c r="K222" s="3">
        <v>0</v>
      </c>
      <c r="L222" s="3" t="s">
        <v>1191</v>
      </c>
      <c r="M222">
        <v>1108545</v>
      </c>
      <c r="N222" t="s">
        <v>485</v>
      </c>
      <c r="P222" t="s">
        <v>406</v>
      </c>
      <c r="Q222" t="s">
        <v>14</v>
      </c>
      <c r="R222">
        <v>11963</v>
      </c>
      <c r="S222" t="s">
        <v>26</v>
      </c>
      <c r="T222" t="s">
        <v>963</v>
      </c>
      <c r="U222">
        <v>0</v>
      </c>
      <c r="V222" t="s">
        <v>1086</v>
      </c>
      <c r="W222" t="s">
        <v>1194</v>
      </c>
      <c r="X222" t="s">
        <v>973</v>
      </c>
      <c r="Y222">
        <v>10000</v>
      </c>
      <c r="Z222" s="2">
        <v>2</v>
      </c>
      <c r="AA222" s="2" t="s">
        <v>1238</v>
      </c>
      <c r="AB222" t="s">
        <v>1238</v>
      </c>
      <c r="AC222">
        <v>804</v>
      </c>
      <c r="AD222" t="s">
        <v>1279</v>
      </c>
      <c r="AE222">
        <v>3</v>
      </c>
      <c r="AF222" t="s">
        <v>1290</v>
      </c>
      <c r="AG222">
        <v>0</v>
      </c>
      <c r="AH222">
        <v>0</v>
      </c>
      <c r="AI222">
        <v>0</v>
      </c>
      <c r="AJ222">
        <v>1870</v>
      </c>
      <c r="AK222">
        <v>2022</v>
      </c>
      <c r="AL222">
        <v>2022</v>
      </c>
      <c r="AM222" s="4" t="s">
        <v>1238</v>
      </c>
      <c r="AN222">
        <v>0</v>
      </c>
      <c r="AO222" t="s">
        <v>1316</v>
      </c>
      <c r="AP222">
        <f t="shared" si="6"/>
        <v>0</v>
      </c>
      <c r="AQ222">
        <v>0</v>
      </c>
      <c r="AR222" t="s">
        <v>1993</v>
      </c>
      <c r="AS222" t="s">
        <v>1996</v>
      </c>
      <c r="AT222" t="s">
        <v>1995</v>
      </c>
      <c r="AU222" t="s">
        <v>1996</v>
      </c>
      <c r="AV222" t="s">
        <v>1996</v>
      </c>
      <c r="AW222" t="s">
        <v>1996</v>
      </c>
      <c r="AX222" t="s">
        <v>2006</v>
      </c>
      <c r="AY222" t="s">
        <v>1996</v>
      </c>
      <c r="AZ222">
        <v>4729</v>
      </c>
      <c r="BA222" t="s">
        <v>1194</v>
      </c>
      <c r="BB222" t="s">
        <v>1194</v>
      </c>
      <c r="BC222" s="3">
        <v>8181.3977000000004</v>
      </c>
      <c r="BD222" s="3">
        <v>13709.14</v>
      </c>
      <c r="BE222" s="3">
        <v>0</v>
      </c>
      <c r="BF222" s="3">
        <v>0</v>
      </c>
      <c r="BG222" s="3">
        <v>120</v>
      </c>
      <c r="BH222" s="3">
        <v>0</v>
      </c>
      <c r="BI222" s="3">
        <v>6279</v>
      </c>
      <c r="BJ222" s="3">
        <v>28290</v>
      </c>
      <c r="BK222" s="3">
        <v>0</v>
      </c>
      <c r="BL222" s="3">
        <v>28290</v>
      </c>
      <c r="BM222" s="2">
        <f t="shared" ca="1" si="7"/>
        <v>4</v>
      </c>
      <c r="BN222" s="3">
        <v>250000</v>
      </c>
      <c r="BO222" s="3">
        <v>500000</v>
      </c>
      <c r="BP222" s="3">
        <v>50000</v>
      </c>
      <c r="BQ222" s="3">
        <v>2000000</v>
      </c>
      <c r="BR222" s="3">
        <v>50000</v>
      </c>
      <c r="BS222">
        <v>1000000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 t="s">
        <v>2942</v>
      </c>
      <c r="CA222" t="s">
        <v>2006</v>
      </c>
      <c r="CB222" t="s">
        <v>2006</v>
      </c>
    </row>
    <row r="223" spans="1:80" x14ac:dyDescent="0.25">
      <c r="A223">
        <v>221</v>
      </c>
      <c r="B223" t="s">
        <v>2240</v>
      </c>
      <c r="C223" s="1">
        <v>44880</v>
      </c>
      <c r="D223" s="2">
        <v>33</v>
      </c>
      <c r="E223" t="s">
        <v>4</v>
      </c>
      <c r="F223" t="s">
        <v>1311</v>
      </c>
      <c r="G223">
        <v>0</v>
      </c>
      <c r="H223" s="3">
        <v>1932500</v>
      </c>
      <c r="I223" s="3">
        <v>158250</v>
      </c>
      <c r="J223" s="3">
        <v>0</v>
      </c>
      <c r="K223" s="3">
        <v>0</v>
      </c>
      <c r="L223" s="3" t="s">
        <v>1191</v>
      </c>
      <c r="M223">
        <v>1110050</v>
      </c>
      <c r="N223" t="s">
        <v>486</v>
      </c>
      <c r="P223" t="s">
        <v>487</v>
      </c>
      <c r="Q223" t="s">
        <v>15</v>
      </c>
      <c r="R223">
        <v>32903</v>
      </c>
      <c r="S223" t="s">
        <v>86</v>
      </c>
      <c r="T223" t="s">
        <v>967</v>
      </c>
      <c r="U223">
        <v>1</v>
      </c>
      <c r="V223" t="s">
        <v>1091</v>
      </c>
      <c r="W223" t="s">
        <v>1194</v>
      </c>
      <c r="X223" t="s">
        <v>1309</v>
      </c>
      <c r="Y223">
        <v>5000</v>
      </c>
      <c r="Z223" s="2">
        <v>2</v>
      </c>
      <c r="AA223" s="2" t="s">
        <v>1238</v>
      </c>
      <c r="AB223" t="s">
        <v>1238</v>
      </c>
      <c r="AC223">
        <v>769</v>
      </c>
      <c r="AD223" t="s">
        <v>1280</v>
      </c>
      <c r="AE223">
        <v>3</v>
      </c>
      <c r="AF223" t="s">
        <v>1291</v>
      </c>
      <c r="AG223">
        <v>0</v>
      </c>
      <c r="AH223">
        <v>1</v>
      </c>
      <c r="AI223">
        <v>1</v>
      </c>
      <c r="AJ223">
        <v>1957</v>
      </c>
      <c r="AK223">
        <v>1994</v>
      </c>
      <c r="AL223">
        <v>2008</v>
      </c>
      <c r="AM223" s="4" t="s">
        <v>1238</v>
      </c>
      <c r="AN223">
        <v>0</v>
      </c>
      <c r="AO223" t="s">
        <v>1316</v>
      </c>
      <c r="AP223">
        <f t="shared" si="6"/>
        <v>1</v>
      </c>
      <c r="AQ223">
        <v>0</v>
      </c>
      <c r="AR223" t="s">
        <v>1993</v>
      </c>
      <c r="AS223" t="s">
        <v>1996</v>
      </c>
      <c r="AT223" t="s">
        <v>1995</v>
      </c>
      <c r="AU223" t="s">
        <v>1996</v>
      </c>
      <c r="AV223" t="s">
        <v>1995</v>
      </c>
      <c r="AW223" t="s">
        <v>1996</v>
      </c>
      <c r="AX223" t="s">
        <v>2003</v>
      </c>
      <c r="AY223" t="s">
        <v>1996</v>
      </c>
      <c r="AZ223">
        <v>4709</v>
      </c>
      <c r="BA223" t="s">
        <v>1194</v>
      </c>
      <c r="BB223" t="s">
        <v>1194</v>
      </c>
      <c r="BC223" s="3">
        <v>9702.2153999999991</v>
      </c>
      <c r="BD223" s="3">
        <v>13541.68</v>
      </c>
      <c r="BE223" s="3">
        <v>0</v>
      </c>
      <c r="BF223" s="3">
        <v>0</v>
      </c>
      <c r="BG223" s="3">
        <v>300</v>
      </c>
      <c r="BH223" s="3">
        <v>0</v>
      </c>
      <c r="BI223" s="3">
        <v>10758</v>
      </c>
      <c r="BJ223" s="3">
        <v>34302</v>
      </c>
      <c r="BK223" s="3">
        <v>0</v>
      </c>
      <c r="BL223" s="3">
        <v>34302</v>
      </c>
      <c r="BM223" s="2">
        <f t="shared" ca="1" si="7"/>
        <v>4</v>
      </c>
      <c r="BN223" s="3">
        <v>100000</v>
      </c>
      <c r="BO223" s="3">
        <v>25000</v>
      </c>
      <c r="BP223" s="3">
        <v>50000</v>
      </c>
      <c r="BQ223" s="3">
        <v>250000</v>
      </c>
      <c r="BR223" s="3">
        <v>100000</v>
      </c>
      <c r="BS223">
        <v>500000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 t="s">
        <v>2940</v>
      </c>
      <c r="CA223" t="s">
        <v>2939</v>
      </c>
      <c r="CB223" t="s">
        <v>2941</v>
      </c>
    </row>
    <row r="224" spans="1:80" x14ac:dyDescent="0.25">
      <c r="A224">
        <v>222</v>
      </c>
      <c r="B224" t="s">
        <v>2241</v>
      </c>
      <c r="C224" s="1">
        <v>44866</v>
      </c>
      <c r="D224" s="2">
        <v>33</v>
      </c>
      <c r="E224" t="s">
        <v>4</v>
      </c>
      <c r="F224" t="s">
        <v>1311</v>
      </c>
      <c r="G224">
        <v>1</v>
      </c>
      <c r="H224" s="3">
        <v>3612500</v>
      </c>
      <c r="I224" s="3">
        <v>100000</v>
      </c>
      <c r="J224" s="3">
        <v>0</v>
      </c>
      <c r="K224" s="3">
        <v>0</v>
      </c>
      <c r="L224" s="3" t="s">
        <v>1191</v>
      </c>
      <c r="M224">
        <v>1118321</v>
      </c>
      <c r="N224" t="s">
        <v>488</v>
      </c>
      <c r="P224" t="s">
        <v>489</v>
      </c>
      <c r="Q224" t="s">
        <v>19</v>
      </c>
      <c r="R224">
        <v>90292</v>
      </c>
      <c r="S224" t="s">
        <v>46</v>
      </c>
      <c r="T224" t="s">
        <v>974</v>
      </c>
      <c r="U224">
        <v>0</v>
      </c>
      <c r="V224">
        <v>40</v>
      </c>
      <c r="W224" t="s">
        <v>1210</v>
      </c>
      <c r="X224" t="s">
        <v>973</v>
      </c>
      <c r="Y224">
        <v>25000</v>
      </c>
      <c r="Z224" s="2" t="s">
        <v>1194</v>
      </c>
      <c r="AA224" s="2" t="s">
        <v>1238</v>
      </c>
      <c r="AB224" t="s">
        <v>1238</v>
      </c>
      <c r="AC224" t="s">
        <v>1194</v>
      </c>
      <c r="AD224" t="s">
        <v>1279</v>
      </c>
      <c r="AE224">
        <v>1</v>
      </c>
      <c r="AF224" t="s">
        <v>1290</v>
      </c>
      <c r="AG224">
        <v>0</v>
      </c>
      <c r="AH224">
        <v>0</v>
      </c>
      <c r="AI224">
        <v>0</v>
      </c>
      <c r="AJ224">
        <v>1983</v>
      </c>
      <c r="AK224">
        <v>2019</v>
      </c>
      <c r="AL224">
        <v>2019</v>
      </c>
      <c r="AM224" s="4" t="s">
        <v>1238</v>
      </c>
      <c r="AN224">
        <v>1</v>
      </c>
      <c r="AO224" t="s">
        <v>1316</v>
      </c>
      <c r="AP224">
        <f t="shared" si="6"/>
        <v>0</v>
      </c>
      <c r="AQ224">
        <v>1</v>
      </c>
      <c r="AR224" t="s">
        <v>1992</v>
      </c>
      <c r="AS224" t="s">
        <v>1995</v>
      </c>
      <c r="AT224" t="s">
        <v>1995</v>
      </c>
      <c r="AU224" t="s">
        <v>1996</v>
      </c>
      <c r="AV224" t="s">
        <v>1996</v>
      </c>
      <c r="AW224" t="s">
        <v>1996</v>
      </c>
      <c r="AX224" t="s">
        <v>1194</v>
      </c>
      <c r="AY224" t="s">
        <v>1996</v>
      </c>
      <c r="AZ224">
        <v>3158</v>
      </c>
      <c r="BA224">
        <v>3</v>
      </c>
      <c r="BB224" t="s">
        <v>2014</v>
      </c>
      <c r="BC224" s="3">
        <v>0</v>
      </c>
      <c r="BD224" s="3">
        <v>0</v>
      </c>
      <c r="BE224" s="3">
        <v>11808.54</v>
      </c>
      <c r="BF224" s="3">
        <v>7444.94</v>
      </c>
      <c r="BG224" s="3">
        <v>150</v>
      </c>
      <c r="BH224" s="3">
        <v>0</v>
      </c>
      <c r="BI224" s="3">
        <v>4841.5</v>
      </c>
      <c r="BJ224" s="3">
        <v>24244.98</v>
      </c>
      <c r="BK224" s="3">
        <v>0</v>
      </c>
      <c r="BL224" s="3">
        <v>24244.98</v>
      </c>
      <c r="BM224" s="2">
        <f t="shared" ca="1" si="7"/>
        <v>3</v>
      </c>
      <c r="BN224" s="3">
        <v>500000</v>
      </c>
      <c r="BO224" s="3">
        <v>50000</v>
      </c>
      <c r="BP224" s="3" t="s">
        <v>2922</v>
      </c>
      <c r="BQ224" s="3">
        <v>50000</v>
      </c>
      <c r="BR224" s="3">
        <v>250000</v>
      </c>
      <c r="BS224">
        <v>100000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 t="s">
        <v>2950</v>
      </c>
      <c r="CA224" t="s">
        <v>1194</v>
      </c>
      <c r="CB224" t="s">
        <v>2949</v>
      </c>
    </row>
    <row r="225" spans="1:80" x14ac:dyDescent="0.25">
      <c r="A225">
        <v>223</v>
      </c>
      <c r="B225" t="s">
        <v>2242</v>
      </c>
      <c r="C225" s="1">
        <v>44858</v>
      </c>
      <c r="D225" s="2">
        <v>30</v>
      </c>
      <c r="E225" t="s">
        <v>4</v>
      </c>
      <c r="F225" t="s">
        <v>1311</v>
      </c>
      <c r="G225">
        <v>0</v>
      </c>
      <c r="H225" s="3">
        <v>2226050</v>
      </c>
      <c r="I225" s="3">
        <v>0</v>
      </c>
      <c r="J225" s="3">
        <v>0</v>
      </c>
      <c r="K225" s="3">
        <v>0</v>
      </c>
      <c r="L225" s="3" t="s">
        <v>1191</v>
      </c>
      <c r="M225">
        <v>1119566</v>
      </c>
      <c r="N225" t="s">
        <v>490</v>
      </c>
      <c r="P225" t="s">
        <v>271</v>
      </c>
      <c r="Q225" t="s">
        <v>14</v>
      </c>
      <c r="R225">
        <v>11238</v>
      </c>
      <c r="S225" t="s">
        <v>67</v>
      </c>
      <c r="T225" t="s">
        <v>962</v>
      </c>
      <c r="U225">
        <v>0</v>
      </c>
      <c r="V225" t="s">
        <v>1092</v>
      </c>
      <c r="W225" t="s">
        <v>1194</v>
      </c>
      <c r="X225" t="s">
        <v>973</v>
      </c>
      <c r="Y225">
        <v>10000</v>
      </c>
      <c r="Z225" s="2">
        <v>1.0000224609999999</v>
      </c>
      <c r="AA225" s="2" t="s">
        <v>1238</v>
      </c>
      <c r="AB225" t="s">
        <v>1238</v>
      </c>
      <c r="AC225">
        <v>883</v>
      </c>
      <c r="AD225" t="s">
        <v>1280</v>
      </c>
      <c r="AE225">
        <v>1</v>
      </c>
      <c r="AF225" t="s">
        <v>1290</v>
      </c>
      <c r="AG225">
        <v>0</v>
      </c>
      <c r="AH225">
        <v>0</v>
      </c>
      <c r="AI225">
        <v>0</v>
      </c>
      <c r="AJ225">
        <v>1900</v>
      </c>
      <c r="AK225">
        <v>2021</v>
      </c>
      <c r="AL225">
        <v>2000</v>
      </c>
      <c r="AM225" s="4" t="s">
        <v>1238</v>
      </c>
      <c r="AN225">
        <v>0</v>
      </c>
      <c r="AO225" t="s">
        <v>1315</v>
      </c>
      <c r="AP225">
        <f t="shared" si="6"/>
        <v>0</v>
      </c>
      <c r="AQ225">
        <v>1</v>
      </c>
      <c r="AR225" t="s">
        <v>1992</v>
      </c>
      <c r="AS225" t="s">
        <v>1996</v>
      </c>
      <c r="AT225" t="s">
        <v>1995</v>
      </c>
      <c r="AU225" t="s">
        <v>1996</v>
      </c>
      <c r="AV225" t="s">
        <v>1996</v>
      </c>
      <c r="AW225" t="s">
        <v>1996</v>
      </c>
      <c r="AX225" t="s">
        <v>2006</v>
      </c>
      <c r="AY225" t="s">
        <v>1996</v>
      </c>
      <c r="AZ225">
        <v>2560</v>
      </c>
      <c r="BA225" t="s">
        <v>1194</v>
      </c>
      <c r="BB225" t="s">
        <v>1194</v>
      </c>
      <c r="BC225" s="3">
        <v>8105.1716999999999</v>
      </c>
      <c r="BD225" s="3">
        <v>1560.3</v>
      </c>
      <c r="BE225" s="3">
        <v>0</v>
      </c>
      <c r="BF225" s="3">
        <v>0</v>
      </c>
      <c r="BG225" s="3">
        <v>150</v>
      </c>
      <c r="BH225" s="3">
        <v>0</v>
      </c>
      <c r="BI225" s="3">
        <v>6830</v>
      </c>
      <c r="BJ225" s="3">
        <v>16645</v>
      </c>
      <c r="BK225" s="3">
        <v>0</v>
      </c>
      <c r="BL225" s="3">
        <v>16645</v>
      </c>
      <c r="BM225" s="2">
        <f t="shared" ca="1" si="7"/>
        <v>1</v>
      </c>
      <c r="BN225" s="3">
        <v>100000</v>
      </c>
      <c r="BO225" s="3">
        <v>500000</v>
      </c>
      <c r="BP225" s="3" t="s">
        <v>2922</v>
      </c>
      <c r="BQ225" s="3">
        <v>250000</v>
      </c>
      <c r="BR225" s="3" t="s">
        <v>2916</v>
      </c>
      <c r="BS225">
        <v>100000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 t="s">
        <v>2943</v>
      </c>
      <c r="CA225" t="s">
        <v>2939</v>
      </c>
      <c r="CB225" t="s">
        <v>2946</v>
      </c>
    </row>
    <row r="226" spans="1:80" x14ac:dyDescent="0.25">
      <c r="A226">
        <v>224</v>
      </c>
      <c r="B226" t="s">
        <v>2243</v>
      </c>
      <c r="C226" s="1">
        <v>44892</v>
      </c>
      <c r="D226" s="2">
        <v>33</v>
      </c>
      <c r="E226" t="s">
        <v>4</v>
      </c>
      <c r="F226" t="s">
        <v>1311</v>
      </c>
      <c r="G226">
        <v>0</v>
      </c>
      <c r="H226" s="3">
        <v>1846250</v>
      </c>
      <c r="I226" s="3">
        <v>211000</v>
      </c>
      <c r="J226" s="3">
        <v>0</v>
      </c>
      <c r="K226" s="3">
        <v>0</v>
      </c>
      <c r="L226" s="3" t="s">
        <v>1191</v>
      </c>
      <c r="M226">
        <v>915700</v>
      </c>
      <c r="N226" t="s">
        <v>491</v>
      </c>
      <c r="P226" t="s">
        <v>271</v>
      </c>
      <c r="Q226" t="s">
        <v>14</v>
      </c>
      <c r="R226">
        <v>11231</v>
      </c>
      <c r="S226" t="s">
        <v>67</v>
      </c>
      <c r="T226" t="s">
        <v>963</v>
      </c>
      <c r="U226">
        <v>0</v>
      </c>
      <c r="V226" t="s">
        <v>1093</v>
      </c>
      <c r="W226" t="s">
        <v>1194</v>
      </c>
      <c r="X226" t="s">
        <v>973</v>
      </c>
      <c r="Y226">
        <v>5000</v>
      </c>
      <c r="Z226" s="2">
        <v>1.0000270819999999</v>
      </c>
      <c r="AA226" s="2" t="s">
        <v>1238</v>
      </c>
      <c r="AB226" t="s">
        <v>1238</v>
      </c>
      <c r="AC226">
        <v>894</v>
      </c>
      <c r="AD226" t="s">
        <v>1280</v>
      </c>
      <c r="AE226">
        <v>1</v>
      </c>
      <c r="AF226" t="s">
        <v>1290</v>
      </c>
      <c r="AG226">
        <v>0</v>
      </c>
      <c r="AH226">
        <v>0</v>
      </c>
      <c r="AI226">
        <v>0</v>
      </c>
      <c r="AJ226">
        <v>1899</v>
      </c>
      <c r="AK226">
        <v>2017</v>
      </c>
      <c r="AL226">
        <v>2017</v>
      </c>
      <c r="AM226" s="4" t="s">
        <v>1238</v>
      </c>
      <c r="AN226">
        <v>1</v>
      </c>
      <c r="AO226" t="s">
        <v>1316</v>
      </c>
      <c r="AP226">
        <f t="shared" si="6"/>
        <v>0</v>
      </c>
      <c r="AQ226">
        <v>1</v>
      </c>
      <c r="AR226" t="s">
        <v>1992</v>
      </c>
      <c r="AS226" t="s">
        <v>1995</v>
      </c>
      <c r="AT226" t="s">
        <v>1995</v>
      </c>
      <c r="AU226" t="s">
        <v>1996</v>
      </c>
      <c r="AV226" t="s">
        <v>1996</v>
      </c>
      <c r="AW226" t="s">
        <v>1996</v>
      </c>
      <c r="AX226" t="s">
        <v>2006</v>
      </c>
      <c r="AY226" t="s">
        <v>1996</v>
      </c>
      <c r="AZ226">
        <v>2160</v>
      </c>
      <c r="BA226" t="s">
        <v>1194</v>
      </c>
      <c r="BB226" t="s">
        <v>1194</v>
      </c>
      <c r="BC226" s="3">
        <v>11362.055899999999</v>
      </c>
      <c r="BD226" s="3">
        <v>2361.02</v>
      </c>
      <c r="BE226" s="3">
        <v>0</v>
      </c>
      <c r="BF226" s="3">
        <v>0</v>
      </c>
      <c r="BG226" s="3">
        <v>150</v>
      </c>
      <c r="BH226" s="3">
        <v>0</v>
      </c>
      <c r="BI226" s="3">
        <v>1583</v>
      </c>
      <c r="BJ226" s="3">
        <v>15456</v>
      </c>
      <c r="BK226" s="3">
        <v>0</v>
      </c>
      <c r="BL226" s="3">
        <v>15456</v>
      </c>
      <c r="BM226" s="2">
        <f t="shared" ca="1" si="7"/>
        <v>5</v>
      </c>
      <c r="BN226" s="3" t="s">
        <v>2916</v>
      </c>
      <c r="BO226" s="3">
        <v>25000</v>
      </c>
      <c r="BP226" s="3">
        <v>100000</v>
      </c>
      <c r="BQ226" s="3">
        <v>50000</v>
      </c>
      <c r="BR226" s="3">
        <v>250000</v>
      </c>
      <c r="BS226">
        <v>100000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 t="s">
        <v>2006</v>
      </c>
      <c r="CA226" t="s">
        <v>2006</v>
      </c>
      <c r="CB226" t="s">
        <v>2946</v>
      </c>
    </row>
    <row r="227" spans="1:80" x14ac:dyDescent="0.25">
      <c r="A227">
        <v>225</v>
      </c>
      <c r="B227" t="s">
        <v>2244</v>
      </c>
      <c r="C227" s="1">
        <v>44936</v>
      </c>
      <c r="D227" s="2">
        <v>3</v>
      </c>
      <c r="E227" t="s">
        <v>4</v>
      </c>
      <c r="F227" t="s">
        <v>1310</v>
      </c>
      <c r="G227">
        <v>0</v>
      </c>
      <c r="H227" s="3">
        <v>9538965</v>
      </c>
      <c r="I227" s="3">
        <v>435000</v>
      </c>
      <c r="J227" s="3">
        <v>0</v>
      </c>
      <c r="K227" s="3">
        <v>0</v>
      </c>
      <c r="L227" s="3" t="s">
        <v>1191</v>
      </c>
      <c r="M227">
        <v>1499503</v>
      </c>
      <c r="N227" t="s">
        <v>492</v>
      </c>
      <c r="P227" t="s">
        <v>46</v>
      </c>
      <c r="Q227" t="s">
        <v>19</v>
      </c>
      <c r="R227">
        <v>90049</v>
      </c>
      <c r="S227" t="s">
        <v>46</v>
      </c>
      <c r="T227" t="s">
        <v>965</v>
      </c>
      <c r="U227">
        <v>0</v>
      </c>
      <c r="V227">
        <v>51</v>
      </c>
      <c r="W227" t="s">
        <v>1200</v>
      </c>
      <c r="X227" t="s">
        <v>973</v>
      </c>
      <c r="Y227">
        <v>10000</v>
      </c>
      <c r="Z227" s="2" t="s">
        <v>1194</v>
      </c>
      <c r="AA227" s="2" t="s">
        <v>1238</v>
      </c>
      <c r="AB227" t="s">
        <v>1238</v>
      </c>
      <c r="AC227" t="s">
        <v>1194</v>
      </c>
      <c r="AD227" t="s">
        <v>1279</v>
      </c>
      <c r="AE227">
        <v>1</v>
      </c>
      <c r="AF227" t="s">
        <v>1290</v>
      </c>
      <c r="AG227">
        <v>0</v>
      </c>
      <c r="AH227">
        <v>0</v>
      </c>
      <c r="AI227">
        <v>0</v>
      </c>
      <c r="AJ227">
        <v>2022</v>
      </c>
      <c r="AK227" t="s">
        <v>1194</v>
      </c>
      <c r="AL227">
        <v>2022</v>
      </c>
      <c r="AM227" s="4" t="s">
        <v>1304</v>
      </c>
      <c r="AN227">
        <v>1</v>
      </c>
      <c r="AO227" t="s">
        <v>1315</v>
      </c>
      <c r="AP227">
        <f t="shared" si="6"/>
        <v>0</v>
      </c>
      <c r="AQ227">
        <v>1</v>
      </c>
      <c r="AR227" t="s">
        <v>1992</v>
      </c>
      <c r="AS227" t="s">
        <v>1995</v>
      </c>
      <c r="AT227" t="s">
        <v>1995</v>
      </c>
      <c r="AU227" t="s">
        <v>1996</v>
      </c>
      <c r="AV227" t="s">
        <v>1996</v>
      </c>
      <c r="AW227" t="s">
        <v>1996</v>
      </c>
      <c r="AX227" t="s">
        <v>1194</v>
      </c>
      <c r="AY227" t="s">
        <v>1996</v>
      </c>
      <c r="AZ227">
        <v>9076</v>
      </c>
      <c r="BA227" t="s">
        <v>1194</v>
      </c>
      <c r="BB227" t="s">
        <v>2014</v>
      </c>
      <c r="BC227" s="3">
        <v>0</v>
      </c>
      <c r="BD227" s="3">
        <v>0</v>
      </c>
      <c r="BE227" s="3">
        <v>24661.89</v>
      </c>
      <c r="BF227" s="3">
        <v>11946.87</v>
      </c>
      <c r="BG227" s="3">
        <v>150</v>
      </c>
      <c r="BH227" s="3">
        <v>0</v>
      </c>
      <c r="BI227" s="3">
        <v>10318.35</v>
      </c>
      <c r="BJ227" s="3">
        <v>47077.11</v>
      </c>
      <c r="BK227" s="3">
        <v>17155.46</v>
      </c>
      <c r="BL227" s="3">
        <v>64232.57</v>
      </c>
      <c r="BM227" s="2">
        <f t="shared" ca="1" si="7"/>
        <v>6</v>
      </c>
      <c r="BN227" s="3" t="s">
        <v>2916</v>
      </c>
      <c r="BO227" s="3">
        <v>100000</v>
      </c>
      <c r="BP227" s="3">
        <v>50000</v>
      </c>
      <c r="BQ227" s="3">
        <v>100000</v>
      </c>
      <c r="BR227" s="3">
        <v>1000000</v>
      </c>
      <c r="BS227">
        <v>500000</v>
      </c>
      <c r="BT227">
        <v>0</v>
      </c>
      <c r="BU227">
        <v>1</v>
      </c>
      <c r="BV227">
        <v>0</v>
      </c>
      <c r="BW227">
        <v>0</v>
      </c>
      <c r="BX227">
        <v>1</v>
      </c>
      <c r="BY227">
        <v>0</v>
      </c>
      <c r="BZ227" t="s">
        <v>2949</v>
      </c>
      <c r="CA227" t="s">
        <v>1194</v>
      </c>
      <c r="CB227" t="s">
        <v>2952</v>
      </c>
    </row>
    <row r="228" spans="1:80" x14ac:dyDescent="0.25">
      <c r="A228">
        <v>226</v>
      </c>
      <c r="B228" t="s">
        <v>2245</v>
      </c>
      <c r="C228" s="1">
        <v>44684</v>
      </c>
      <c r="D228" s="2">
        <v>15</v>
      </c>
      <c r="E228" t="s">
        <v>4</v>
      </c>
      <c r="F228" t="s">
        <v>1311</v>
      </c>
      <c r="G228">
        <v>1</v>
      </c>
      <c r="H228" s="3">
        <v>1600000</v>
      </c>
      <c r="I228" s="3">
        <v>200000</v>
      </c>
      <c r="J228" s="3">
        <v>0</v>
      </c>
      <c r="K228" s="3">
        <v>0</v>
      </c>
      <c r="L228" s="3" t="s">
        <v>1191</v>
      </c>
      <c r="M228">
        <v>1762499</v>
      </c>
      <c r="N228" t="s">
        <v>493</v>
      </c>
      <c r="P228" t="s">
        <v>494</v>
      </c>
      <c r="Q228" t="s">
        <v>14</v>
      </c>
      <c r="R228">
        <v>11954</v>
      </c>
      <c r="S228" t="s">
        <v>26</v>
      </c>
      <c r="T228" t="s">
        <v>963</v>
      </c>
      <c r="U228">
        <v>0</v>
      </c>
      <c r="V228" t="s">
        <v>1094</v>
      </c>
      <c r="W228" t="s">
        <v>1194</v>
      </c>
      <c r="X228" t="s">
        <v>973</v>
      </c>
      <c r="Y228">
        <v>10000</v>
      </c>
      <c r="Z228" s="2">
        <v>2</v>
      </c>
      <c r="AA228" s="2" t="s">
        <v>1238</v>
      </c>
      <c r="AB228" t="s">
        <v>1238</v>
      </c>
      <c r="AC228">
        <v>752</v>
      </c>
      <c r="AD228" t="s">
        <v>1279</v>
      </c>
      <c r="AE228">
        <v>3</v>
      </c>
      <c r="AF228" t="s">
        <v>1290</v>
      </c>
      <c r="AG228">
        <v>0</v>
      </c>
      <c r="AH228">
        <v>0</v>
      </c>
      <c r="AI228">
        <v>0</v>
      </c>
      <c r="AJ228">
        <v>2022</v>
      </c>
      <c r="AK228" t="s">
        <v>1194</v>
      </c>
      <c r="AL228" t="s">
        <v>1194</v>
      </c>
      <c r="AM228" s="4" t="s">
        <v>1238</v>
      </c>
      <c r="AN228">
        <v>1</v>
      </c>
      <c r="AO228" t="s">
        <v>1316</v>
      </c>
      <c r="AP228">
        <f t="shared" si="6"/>
        <v>0</v>
      </c>
      <c r="AQ228">
        <v>1</v>
      </c>
      <c r="AR228" t="s">
        <v>1992</v>
      </c>
      <c r="AS228" t="s">
        <v>1996</v>
      </c>
      <c r="AT228" t="s">
        <v>1996</v>
      </c>
      <c r="AU228" t="s">
        <v>1996</v>
      </c>
      <c r="AV228" t="s">
        <v>1995</v>
      </c>
      <c r="AW228" t="s">
        <v>1995</v>
      </c>
      <c r="AX228" t="s">
        <v>2006</v>
      </c>
      <c r="AY228" t="s">
        <v>1996</v>
      </c>
      <c r="AZ228">
        <v>3000</v>
      </c>
      <c r="BA228" t="s">
        <v>1194</v>
      </c>
      <c r="BB228" t="s">
        <v>1194</v>
      </c>
      <c r="BC228" s="3">
        <v>5007.2755999999999</v>
      </c>
      <c r="BD228" s="3">
        <v>11430.01</v>
      </c>
      <c r="BE228" s="3">
        <v>0</v>
      </c>
      <c r="BF228" s="3">
        <v>0</v>
      </c>
      <c r="BG228" s="3">
        <v>150</v>
      </c>
      <c r="BH228" s="3">
        <v>0</v>
      </c>
      <c r="BI228" s="3">
        <v>-3933</v>
      </c>
      <c r="BJ228" s="3">
        <v>12654</v>
      </c>
      <c r="BK228" s="3">
        <v>150</v>
      </c>
      <c r="BL228" s="3">
        <v>12804</v>
      </c>
      <c r="BM228" s="2">
        <f t="shared" ca="1" si="7"/>
        <v>3</v>
      </c>
      <c r="BN228" s="3">
        <v>2000000</v>
      </c>
      <c r="BO228" s="3">
        <v>50000</v>
      </c>
      <c r="BP228" s="3">
        <v>100000</v>
      </c>
      <c r="BQ228" s="3">
        <v>25000</v>
      </c>
      <c r="BR228" s="3">
        <v>100000</v>
      </c>
      <c r="BS228">
        <v>50000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 t="s">
        <v>2942</v>
      </c>
      <c r="CA228" t="s">
        <v>2006</v>
      </c>
      <c r="CB228" t="s">
        <v>2006</v>
      </c>
    </row>
    <row r="229" spans="1:80" x14ac:dyDescent="0.25">
      <c r="A229">
        <v>227</v>
      </c>
      <c r="B229" t="s">
        <v>2246</v>
      </c>
      <c r="C229" s="1">
        <v>44950</v>
      </c>
      <c r="D229" s="2">
        <v>3</v>
      </c>
      <c r="E229" t="s">
        <v>4</v>
      </c>
      <c r="F229" t="s">
        <v>1310</v>
      </c>
      <c r="G229">
        <v>0</v>
      </c>
      <c r="H229" s="3">
        <v>5000000</v>
      </c>
      <c r="I229" s="3">
        <v>50000</v>
      </c>
      <c r="J229" s="3">
        <v>0</v>
      </c>
      <c r="K229" s="3">
        <v>0</v>
      </c>
      <c r="L229" s="3" t="s">
        <v>1191</v>
      </c>
      <c r="M229">
        <v>1131093</v>
      </c>
      <c r="N229" t="s">
        <v>495</v>
      </c>
      <c r="P229" t="s">
        <v>271</v>
      </c>
      <c r="Q229" t="s">
        <v>14</v>
      </c>
      <c r="R229">
        <v>11217</v>
      </c>
      <c r="S229" t="s">
        <v>67</v>
      </c>
      <c r="T229" t="s">
        <v>963</v>
      </c>
      <c r="U229">
        <v>0</v>
      </c>
      <c r="V229" t="s">
        <v>1095</v>
      </c>
      <c r="W229" t="s">
        <v>1194</v>
      </c>
      <c r="X229" t="s">
        <v>973</v>
      </c>
      <c r="Y229">
        <v>10000</v>
      </c>
      <c r="Z229" s="2">
        <v>1</v>
      </c>
      <c r="AA229" s="2" t="s">
        <v>1238</v>
      </c>
      <c r="AB229" t="s">
        <v>1238</v>
      </c>
      <c r="AC229">
        <v>796</v>
      </c>
      <c r="AD229" t="s">
        <v>1280</v>
      </c>
      <c r="AE229">
        <v>1</v>
      </c>
      <c r="AF229" t="s">
        <v>1290</v>
      </c>
      <c r="AG229">
        <v>0</v>
      </c>
      <c r="AH229">
        <v>0</v>
      </c>
      <c r="AI229">
        <v>0</v>
      </c>
      <c r="AJ229">
        <v>1915</v>
      </c>
      <c r="AK229" t="s">
        <v>1194</v>
      </c>
      <c r="AL229" t="s">
        <v>1194</v>
      </c>
      <c r="AM229" s="4" t="s">
        <v>1308</v>
      </c>
      <c r="AN229">
        <v>1</v>
      </c>
      <c r="AO229" t="s">
        <v>1316</v>
      </c>
      <c r="AP229">
        <f t="shared" si="6"/>
        <v>0</v>
      </c>
      <c r="AQ229">
        <v>0</v>
      </c>
      <c r="AR229" t="s">
        <v>1993</v>
      </c>
      <c r="AS229" t="s">
        <v>1996</v>
      </c>
      <c r="AT229" t="s">
        <v>1996</v>
      </c>
      <c r="AU229" t="s">
        <v>1995</v>
      </c>
      <c r="AV229" t="s">
        <v>1996</v>
      </c>
      <c r="AW229" t="s">
        <v>1996</v>
      </c>
      <c r="AX229" t="s">
        <v>2003</v>
      </c>
      <c r="AY229" t="s">
        <v>1996</v>
      </c>
      <c r="AZ229">
        <v>3256</v>
      </c>
      <c r="BA229" t="s">
        <v>1194</v>
      </c>
      <c r="BB229" t="s">
        <v>1194</v>
      </c>
      <c r="BC229" s="3">
        <v>24187.403300000002</v>
      </c>
      <c r="BD229" s="3">
        <v>4221.8</v>
      </c>
      <c r="BE229" s="3">
        <v>0</v>
      </c>
      <c r="BF229" s="3">
        <v>0</v>
      </c>
      <c r="BG229" s="3">
        <v>150</v>
      </c>
      <c r="BH229" s="3">
        <v>0</v>
      </c>
      <c r="BI229" s="3">
        <v>2936</v>
      </c>
      <c r="BJ229" s="3">
        <v>31495</v>
      </c>
      <c r="BK229" s="3">
        <v>0</v>
      </c>
      <c r="BL229" s="3">
        <v>31495</v>
      </c>
      <c r="BM229" s="2">
        <f t="shared" ca="1" si="7"/>
        <v>5</v>
      </c>
      <c r="BN229" s="3">
        <v>2000000</v>
      </c>
      <c r="BO229" s="3">
        <v>25000</v>
      </c>
      <c r="BP229" s="3">
        <v>100000</v>
      </c>
      <c r="BQ229" s="3">
        <v>250000</v>
      </c>
      <c r="BR229" s="3">
        <v>100000</v>
      </c>
      <c r="BS229">
        <v>100000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 t="s">
        <v>2938</v>
      </c>
      <c r="CA229" t="s">
        <v>2006</v>
      </c>
      <c r="CB229" t="s">
        <v>2946</v>
      </c>
    </row>
    <row r="230" spans="1:80" x14ac:dyDescent="0.25">
      <c r="A230">
        <v>228</v>
      </c>
      <c r="B230" t="s">
        <v>2247</v>
      </c>
      <c r="C230" s="1">
        <v>44896</v>
      </c>
      <c r="D230" s="2">
        <v>36</v>
      </c>
      <c r="E230" t="s">
        <v>4</v>
      </c>
      <c r="F230" t="s">
        <v>1311</v>
      </c>
      <c r="G230">
        <v>1</v>
      </c>
      <c r="H230" s="3">
        <v>20000000</v>
      </c>
      <c r="I230" s="3">
        <v>0</v>
      </c>
      <c r="J230" s="3">
        <v>0</v>
      </c>
      <c r="K230" s="3">
        <v>0</v>
      </c>
      <c r="L230" s="3" t="s">
        <v>1191</v>
      </c>
      <c r="M230">
        <v>1132968</v>
      </c>
      <c r="N230" t="s">
        <v>496</v>
      </c>
      <c r="P230" t="s">
        <v>497</v>
      </c>
      <c r="Q230" t="s">
        <v>13</v>
      </c>
      <c r="R230">
        <v>1266</v>
      </c>
      <c r="S230" t="s">
        <v>80</v>
      </c>
      <c r="T230" t="s">
        <v>973</v>
      </c>
      <c r="U230">
        <v>0</v>
      </c>
      <c r="V230" t="s">
        <v>1067</v>
      </c>
      <c r="W230" t="s">
        <v>1194</v>
      </c>
      <c r="X230" t="s">
        <v>973</v>
      </c>
      <c r="Y230">
        <v>100000</v>
      </c>
      <c r="Z230" s="2" t="s">
        <v>1194</v>
      </c>
      <c r="AA230" s="2" t="s">
        <v>1238</v>
      </c>
      <c r="AB230" t="s">
        <v>1238</v>
      </c>
      <c r="AC230">
        <v>0</v>
      </c>
      <c r="AD230" t="s">
        <v>1279</v>
      </c>
      <c r="AE230">
        <v>8</v>
      </c>
      <c r="AF230" t="s">
        <v>1290</v>
      </c>
      <c r="AG230">
        <v>0</v>
      </c>
      <c r="AH230">
        <v>0</v>
      </c>
      <c r="AI230">
        <v>0</v>
      </c>
      <c r="AJ230">
        <v>2018</v>
      </c>
      <c r="AK230" t="s">
        <v>1194</v>
      </c>
      <c r="AL230" t="s">
        <v>1194</v>
      </c>
      <c r="AM230" s="4" t="s">
        <v>1238</v>
      </c>
      <c r="AN230">
        <v>0</v>
      </c>
      <c r="AO230" t="s">
        <v>1316</v>
      </c>
      <c r="AP230">
        <f t="shared" si="6"/>
        <v>0</v>
      </c>
      <c r="AQ230">
        <v>0</v>
      </c>
      <c r="AR230" t="s">
        <v>1993</v>
      </c>
      <c r="AS230" t="s">
        <v>1996</v>
      </c>
      <c r="AT230" t="s">
        <v>1996</v>
      </c>
      <c r="AU230" t="s">
        <v>1995</v>
      </c>
      <c r="AV230" t="s">
        <v>1995</v>
      </c>
      <c r="AW230" t="s">
        <v>1995</v>
      </c>
      <c r="AX230" t="s">
        <v>2006</v>
      </c>
      <c r="AY230" t="s">
        <v>1996</v>
      </c>
      <c r="AZ230">
        <v>12000</v>
      </c>
      <c r="BA230" t="s">
        <v>1194</v>
      </c>
      <c r="BB230" t="s">
        <v>1194</v>
      </c>
      <c r="BC230" s="3">
        <v>32803.858999999997</v>
      </c>
      <c r="BD230" s="3">
        <v>2003.23</v>
      </c>
      <c r="BE230" s="3">
        <v>0</v>
      </c>
      <c r="BF230" s="3">
        <v>0</v>
      </c>
      <c r="BG230" s="3">
        <v>150</v>
      </c>
      <c r="BH230" s="3">
        <v>0</v>
      </c>
      <c r="BI230" s="3">
        <v>195493</v>
      </c>
      <c r="BJ230" s="3">
        <v>230450</v>
      </c>
      <c r="BK230" s="3">
        <v>0</v>
      </c>
      <c r="BL230" s="3">
        <v>230450</v>
      </c>
      <c r="BM230" s="2">
        <f t="shared" ca="1" si="7"/>
        <v>6</v>
      </c>
      <c r="BN230" s="3">
        <v>50000</v>
      </c>
      <c r="BO230" s="3">
        <v>25000</v>
      </c>
      <c r="BP230" s="3">
        <v>200000</v>
      </c>
      <c r="BQ230" s="3">
        <v>100000</v>
      </c>
      <c r="BR230" s="3">
        <v>500000</v>
      </c>
      <c r="BS230">
        <v>100000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 t="s">
        <v>2942</v>
      </c>
      <c r="CA230" t="s">
        <v>2939</v>
      </c>
      <c r="CB230" t="s">
        <v>2945</v>
      </c>
    </row>
    <row r="231" spans="1:80" x14ac:dyDescent="0.25">
      <c r="A231">
        <v>229</v>
      </c>
      <c r="B231" t="s">
        <v>2248</v>
      </c>
      <c r="C231" s="1">
        <v>44680</v>
      </c>
      <c r="D231" s="2">
        <v>12</v>
      </c>
      <c r="E231" t="s">
        <v>4</v>
      </c>
      <c r="F231" t="s">
        <v>1311</v>
      </c>
      <c r="G231">
        <v>0</v>
      </c>
      <c r="H231" s="3">
        <v>2120000</v>
      </c>
      <c r="I231" s="3">
        <v>505800</v>
      </c>
      <c r="J231" s="3">
        <v>0</v>
      </c>
      <c r="K231" s="3">
        <v>0</v>
      </c>
      <c r="L231" s="3" t="s">
        <v>1191</v>
      </c>
      <c r="M231">
        <v>1890822</v>
      </c>
      <c r="N231" t="s">
        <v>498</v>
      </c>
      <c r="P231" t="s">
        <v>87</v>
      </c>
      <c r="Q231" t="s">
        <v>19</v>
      </c>
      <c r="R231">
        <v>95060</v>
      </c>
      <c r="S231" t="s">
        <v>87</v>
      </c>
      <c r="T231" t="s">
        <v>976</v>
      </c>
      <c r="U231">
        <v>1</v>
      </c>
      <c r="V231">
        <v>20</v>
      </c>
      <c r="W231" t="s">
        <v>1212</v>
      </c>
      <c r="X231" t="s">
        <v>1309</v>
      </c>
      <c r="Y231">
        <v>10000</v>
      </c>
      <c r="Z231" s="2" t="s">
        <v>1194</v>
      </c>
      <c r="AA231" s="2" t="s">
        <v>1238</v>
      </c>
      <c r="AB231" t="s">
        <v>1238</v>
      </c>
      <c r="AC231" t="s">
        <v>1194</v>
      </c>
      <c r="AD231" t="s">
        <v>1279</v>
      </c>
      <c r="AE231">
        <v>2</v>
      </c>
      <c r="AF231" t="s">
        <v>1290</v>
      </c>
      <c r="AG231">
        <v>0</v>
      </c>
      <c r="AH231">
        <v>0</v>
      </c>
      <c r="AI231">
        <v>0</v>
      </c>
      <c r="AJ231">
        <v>2022</v>
      </c>
      <c r="AK231" t="s">
        <v>1194</v>
      </c>
      <c r="AL231">
        <v>2022</v>
      </c>
      <c r="AM231" s="4" t="s">
        <v>1238</v>
      </c>
      <c r="AN231">
        <v>1</v>
      </c>
      <c r="AO231" t="s">
        <v>1317</v>
      </c>
      <c r="AP231">
        <f t="shared" si="6"/>
        <v>0</v>
      </c>
      <c r="AQ231">
        <v>0</v>
      </c>
      <c r="AR231" t="s">
        <v>1993</v>
      </c>
      <c r="AS231" t="s">
        <v>1996</v>
      </c>
      <c r="AT231" t="s">
        <v>1995</v>
      </c>
      <c r="AU231" t="s">
        <v>1996</v>
      </c>
      <c r="AV231" t="s">
        <v>1995</v>
      </c>
      <c r="AW231" t="s">
        <v>1995</v>
      </c>
      <c r="AX231" t="s">
        <v>1194</v>
      </c>
      <c r="AY231" t="s">
        <v>1996</v>
      </c>
      <c r="AZ231">
        <v>2310</v>
      </c>
      <c r="BA231" t="s">
        <v>1194</v>
      </c>
      <c r="BB231" t="s">
        <v>2014</v>
      </c>
      <c r="BC231" s="3">
        <v>0</v>
      </c>
      <c r="BD231" s="3">
        <v>0</v>
      </c>
      <c r="BE231" s="3">
        <v>11017.42</v>
      </c>
      <c r="BF231" s="3">
        <v>4596.13</v>
      </c>
      <c r="BG231" s="3">
        <v>150</v>
      </c>
      <c r="BH231" s="3">
        <v>0</v>
      </c>
      <c r="BI231" s="3">
        <v>0</v>
      </c>
      <c r="BJ231" s="3">
        <v>15763.55</v>
      </c>
      <c r="BK231" s="3">
        <v>0</v>
      </c>
      <c r="BL231" s="3">
        <v>15763.55</v>
      </c>
      <c r="BM231" s="2">
        <f t="shared" ca="1" si="7"/>
        <v>1</v>
      </c>
      <c r="BN231" s="3">
        <v>1000000</v>
      </c>
      <c r="BO231" s="3">
        <v>500000</v>
      </c>
      <c r="BP231" s="3">
        <v>100000</v>
      </c>
      <c r="BQ231" s="3">
        <v>250000</v>
      </c>
      <c r="BR231" s="3">
        <v>50000</v>
      </c>
      <c r="BS231">
        <v>50000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 t="s">
        <v>2953</v>
      </c>
      <c r="CA231" t="s">
        <v>1194</v>
      </c>
      <c r="CB231" t="s">
        <v>2941</v>
      </c>
    </row>
    <row r="232" spans="1:80" x14ac:dyDescent="0.25">
      <c r="A232">
        <v>230</v>
      </c>
      <c r="B232" t="s">
        <v>2249</v>
      </c>
      <c r="C232" s="1">
        <v>44788</v>
      </c>
      <c r="D232" s="2">
        <v>24</v>
      </c>
      <c r="E232" t="s">
        <v>4</v>
      </c>
      <c r="F232" t="s">
        <v>1311</v>
      </c>
      <c r="G232">
        <v>1</v>
      </c>
      <c r="H232" s="3">
        <v>1300000</v>
      </c>
      <c r="I232" s="3">
        <v>0</v>
      </c>
      <c r="J232" s="3">
        <v>0</v>
      </c>
      <c r="K232" s="3">
        <v>0</v>
      </c>
      <c r="L232" s="3" t="s">
        <v>1191</v>
      </c>
      <c r="M232">
        <v>1769064</v>
      </c>
      <c r="N232" t="s">
        <v>499</v>
      </c>
      <c r="P232" t="s">
        <v>500</v>
      </c>
      <c r="Q232" t="s">
        <v>14</v>
      </c>
      <c r="R232">
        <v>14850</v>
      </c>
      <c r="S232" t="s">
        <v>88</v>
      </c>
      <c r="T232" t="s">
        <v>973</v>
      </c>
      <c r="U232">
        <v>0</v>
      </c>
      <c r="V232" t="s">
        <v>1096</v>
      </c>
      <c r="W232" t="s">
        <v>1194</v>
      </c>
      <c r="X232" t="s">
        <v>973</v>
      </c>
      <c r="Y232">
        <v>10000</v>
      </c>
      <c r="Z232" s="2" t="s">
        <v>1194</v>
      </c>
      <c r="AA232" s="2" t="s">
        <v>1238</v>
      </c>
      <c r="AB232" t="s">
        <v>1238</v>
      </c>
      <c r="AC232">
        <v>782</v>
      </c>
      <c r="AD232" t="s">
        <v>1279</v>
      </c>
      <c r="AE232">
        <v>2</v>
      </c>
      <c r="AF232" t="s">
        <v>1290</v>
      </c>
      <c r="AG232">
        <v>0</v>
      </c>
      <c r="AH232">
        <v>0</v>
      </c>
      <c r="AI232">
        <v>0</v>
      </c>
      <c r="AJ232">
        <v>2022</v>
      </c>
      <c r="AK232" t="s">
        <v>1194</v>
      </c>
      <c r="AL232" t="s">
        <v>1194</v>
      </c>
      <c r="AM232" s="4" t="s">
        <v>1238</v>
      </c>
      <c r="AN232">
        <v>1</v>
      </c>
      <c r="AO232" t="s">
        <v>1317</v>
      </c>
      <c r="AP232">
        <f t="shared" si="6"/>
        <v>0</v>
      </c>
      <c r="AQ232">
        <v>0</v>
      </c>
      <c r="AR232" t="s">
        <v>1993</v>
      </c>
      <c r="AS232" t="s">
        <v>1996</v>
      </c>
      <c r="AT232" t="s">
        <v>1996</v>
      </c>
      <c r="AU232" t="s">
        <v>1996</v>
      </c>
      <c r="AV232" t="s">
        <v>1995</v>
      </c>
      <c r="AW232" t="s">
        <v>1995</v>
      </c>
      <c r="AX232" t="s">
        <v>2006</v>
      </c>
      <c r="AY232" t="s">
        <v>1996</v>
      </c>
      <c r="AZ232">
        <v>3627</v>
      </c>
      <c r="BA232" t="s">
        <v>1194</v>
      </c>
      <c r="BB232" t="s">
        <v>1194</v>
      </c>
      <c r="BC232" s="3">
        <v>2517.0848000000001</v>
      </c>
      <c r="BD232" s="3">
        <v>92.59</v>
      </c>
      <c r="BE232" s="3">
        <v>0</v>
      </c>
      <c r="BF232" s="3">
        <v>0</v>
      </c>
      <c r="BG232" s="3">
        <v>0</v>
      </c>
      <c r="BH232" s="3">
        <v>0</v>
      </c>
      <c r="BI232" s="3">
        <v>1940</v>
      </c>
      <c r="BJ232" s="3">
        <v>4550</v>
      </c>
      <c r="BK232" s="3">
        <v>700</v>
      </c>
      <c r="BL232" s="3">
        <v>5250</v>
      </c>
      <c r="BM232" s="2">
        <f t="shared" ca="1" si="7"/>
        <v>2</v>
      </c>
      <c r="BN232" s="3" t="s">
        <v>2916</v>
      </c>
      <c r="BO232" s="3">
        <v>250000</v>
      </c>
      <c r="BP232" s="3">
        <v>50000</v>
      </c>
      <c r="BQ232" s="3">
        <v>1000000</v>
      </c>
      <c r="BR232" s="3">
        <v>50000</v>
      </c>
      <c r="BS232">
        <v>1000000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 t="s">
        <v>2942</v>
      </c>
      <c r="CA232" t="s">
        <v>2006</v>
      </c>
      <c r="CB232" t="s">
        <v>2945</v>
      </c>
    </row>
    <row r="233" spans="1:80" x14ac:dyDescent="0.25">
      <c r="A233">
        <v>231</v>
      </c>
      <c r="B233" t="s">
        <v>2250</v>
      </c>
      <c r="C233" s="1">
        <v>44952</v>
      </c>
      <c r="D233" s="2">
        <v>3</v>
      </c>
      <c r="E233" t="s">
        <v>4</v>
      </c>
      <c r="F233" t="s">
        <v>1310</v>
      </c>
      <c r="G233">
        <v>0</v>
      </c>
      <c r="H233" s="3">
        <v>1308100</v>
      </c>
      <c r="I233" s="3">
        <v>250000</v>
      </c>
      <c r="J233" s="3">
        <v>0</v>
      </c>
      <c r="K233" s="3">
        <v>0</v>
      </c>
      <c r="L233" s="3" t="s">
        <v>1191</v>
      </c>
      <c r="M233">
        <v>1613894</v>
      </c>
      <c r="N233" t="s">
        <v>501</v>
      </c>
      <c r="P233" t="s">
        <v>502</v>
      </c>
      <c r="Q233" t="s">
        <v>15</v>
      </c>
      <c r="R233">
        <v>32456</v>
      </c>
      <c r="S233" t="s">
        <v>89</v>
      </c>
      <c r="T233" t="s">
        <v>964</v>
      </c>
      <c r="U233">
        <v>0</v>
      </c>
      <c r="V233" t="s">
        <v>1097</v>
      </c>
      <c r="W233" t="s">
        <v>1194</v>
      </c>
      <c r="X233" t="s">
        <v>973</v>
      </c>
      <c r="Y233">
        <v>10000</v>
      </c>
      <c r="Z233" s="2">
        <v>2</v>
      </c>
      <c r="AA233" s="2" t="s">
        <v>1238</v>
      </c>
      <c r="AB233" t="s">
        <v>1238</v>
      </c>
      <c r="AC233">
        <v>1</v>
      </c>
      <c r="AD233" t="s">
        <v>1279</v>
      </c>
      <c r="AE233">
        <v>5</v>
      </c>
      <c r="AF233" t="s">
        <v>1290</v>
      </c>
      <c r="AG233">
        <v>0</v>
      </c>
      <c r="AH233">
        <v>0</v>
      </c>
      <c r="AI233">
        <v>0</v>
      </c>
      <c r="AJ233">
        <v>2021</v>
      </c>
      <c r="AK233" t="s">
        <v>1194</v>
      </c>
      <c r="AL233" t="s">
        <v>1194</v>
      </c>
      <c r="AM233" s="4" t="s">
        <v>1304</v>
      </c>
      <c r="AN233">
        <v>1</v>
      </c>
      <c r="AO233" t="s">
        <v>1316</v>
      </c>
      <c r="AP233">
        <f t="shared" si="6"/>
        <v>0</v>
      </c>
      <c r="AQ233">
        <v>1</v>
      </c>
      <c r="AR233" t="s">
        <v>1992</v>
      </c>
      <c r="AS233" t="s">
        <v>1996</v>
      </c>
      <c r="AT233" t="s">
        <v>1995</v>
      </c>
      <c r="AU233" t="s">
        <v>1995</v>
      </c>
      <c r="AV233" t="s">
        <v>1995</v>
      </c>
      <c r="AW233" t="s">
        <v>1996</v>
      </c>
      <c r="AX233" t="s">
        <v>2007</v>
      </c>
      <c r="AY233" t="s">
        <v>1995</v>
      </c>
      <c r="AZ233">
        <v>4620</v>
      </c>
      <c r="BA233" t="s">
        <v>1194</v>
      </c>
      <c r="BB233" t="s">
        <v>1194</v>
      </c>
      <c r="BC233" s="3">
        <v>1879.8642</v>
      </c>
      <c r="BD233" s="3">
        <v>1622.46</v>
      </c>
      <c r="BE233" s="3">
        <v>0</v>
      </c>
      <c r="BF233" s="3">
        <v>0</v>
      </c>
      <c r="BG233" s="3">
        <v>300</v>
      </c>
      <c r="BH233" s="3">
        <v>0</v>
      </c>
      <c r="BI233" s="3">
        <v>7955</v>
      </c>
      <c r="BJ233" s="3">
        <v>11757</v>
      </c>
      <c r="BK233" s="3">
        <v>0</v>
      </c>
      <c r="BL233" s="3">
        <v>11757</v>
      </c>
      <c r="BM233" s="2">
        <f t="shared" ca="1" si="7"/>
        <v>2</v>
      </c>
      <c r="BN233" s="3">
        <v>100000</v>
      </c>
      <c r="BO233" s="3">
        <v>25000</v>
      </c>
      <c r="BP233" s="3" t="s">
        <v>2922</v>
      </c>
      <c r="BQ233" s="3">
        <v>250000</v>
      </c>
      <c r="BR233" s="3">
        <v>250000</v>
      </c>
      <c r="BS233">
        <v>50000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 t="s">
        <v>2947</v>
      </c>
      <c r="CA233" t="s">
        <v>2939</v>
      </c>
      <c r="CB233" t="s">
        <v>2941</v>
      </c>
    </row>
    <row r="234" spans="1:80" x14ac:dyDescent="0.25">
      <c r="A234">
        <v>232</v>
      </c>
      <c r="B234" t="s">
        <v>2251</v>
      </c>
      <c r="C234" s="1">
        <v>44958</v>
      </c>
      <c r="D234" s="2">
        <v>6</v>
      </c>
      <c r="E234" t="s">
        <v>4</v>
      </c>
      <c r="F234" t="s">
        <v>1310</v>
      </c>
      <c r="G234">
        <v>0</v>
      </c>
      <c r="H234" s="3">
        <v>1900000</v>
      </c>
      <c r="I234" s="3">
        <v>0</v>
      </c>
      <c r="J234" s="3">
        <v>0</v>
      </c>
      <c r="K234" s="3">
        <v>0</v>
      </c>
      <c r="L234" s="3" t="s">
        <v>1191</v>
      </c>
      <c r="M234">
        <v>1667703</v>
      </c>
      <c r="N234" t="s">
        <v>503</v>
      </c>
      <c r="P234" t="s">
        <v>504</v>
      </c>
      <c r="Q234" t="s">
        <v>14</v>
      </c>
      <c r="R234">
        <v>12496</v>
      </c>
      <c r="S234" t="s">
        <v>90</v>
      </c>
      <c r="T234" t="s">
        <v>973</v>
      </c>
      <c r="U234">
        <v>0</v>
      </c>
      <c r="V234" t="s">
        <v>1098</v>
      </c>
      <c r="W234" t="s">
        <v>1194</v>
      </c>
      <c r="X234" t="s">
        <v>973</v>
      </c>
      <c r="Y234">
        <v>5000</v>
      </c>
      <c r="Z234" s="2" t="s">
        <v>1194</v>
      </c>
      <c r="AA234" s="2" t="s">
        <v>1238</v>
      </c>
      <c r="AB234" t="s">
        <v>1238</v>
      </c>
      <c r="AC234">
        <v>740</v>
      </c>
      <c r="AD234" t="s">
        <v>1279</v>
      </c>
      <c r="AE234">
        <v>9</v>
      </c>
      <c r="AF234" t="s">
        <v>1291</v>
      </c>
      <c r="AG234">
        <v>0</v>
      </c>
      <c r="AH234">
        <v>0</v>
      </c>
      <c r="AI234">
        <v>0</v>
      </c>
      <c r="AJ234">
        <v>2020</v>
      </c>
      <c r="AK234" t="s">
        <v>1194</v>
      </c>
      <c r="AL234" t="s">
        <v>1194</v>
      </c>
      <c r="AM234" s="4" t="s">
        <v>1304</v>
      </c>
      <c r="AN234">
        <v>1</v>
      </c>
      <c r="AO234" t="s">
        <v>1317</v>
      </c>
      <c r="AP234">
        <f t="shared" si="6"/>
        <v>0</v>
      </c>
      <c r="AQ234">
        <v>1</v>
      </c>
      <c r="AR234" t="s">
        <v>1992</v>
      </c>
      <c r="AS234" t="s">
        <v>1996</v>
      </c>
      <c r="AT234" t="s">
        <v>1996</v>
      </c>
      <c r="AU234" t="s">
        <v>1995</v>
      </c>
      <c r="AV234" t="s">
        <v>1996</v>
      </c>
      <c r="AW234" t="s">
        <v>1995</v>
      </c>
      <c r="AX234" t="s">
        <v>2006</v>
      </c>
      <c r="AY234" t="s">
        <v>1996</v>
      </c>
      <c r="AZ234">
        <v>3800</v>
      </c>
      <c r="BA234" t="s">
        <v>1194</v>
      </c>
      <c r="BB234" t="s">
        <v>1194</v>
      </c>
      <c r="BC234" s="3">
        <v>8968.3256000000001</v>
      </c>
      <c r="BD234" s="3">
        <v>369.46</v>
      </c>
      <c r="BE234" s="3">
        <v>0</v>
      </c>
      <c r="BF234" s="3">
        <v>0</v>
      </c>
      <c r="BG234" s="3">
        <v>150</v>
      </c>
      <c r="BH234" s="3">
        <v>0</v>
      </c>
      <c r="BI234" s="3">
        <v>2862</v>
      </c>
      <c r="BJ234" s="3">
        <v>12350</v>
      </c>
      <c r="BK234" s="3">
        <v>0</v>
      </c>
      <c r="BL234" s="3">
        <v>12350</v>
      </c>
      <c r="BM234" s="2">
        <f t="shared" ca="1" si="7"/>
        <v>0</v>
      </c>
      <c r="BN234" s="3">
        <v>2000000</v>
      </c>
      <c r="BO234" s="3">
        <v>500000</v>
      </c>
      <c r="BP234" s="3">
        <v>200000</v>
      </c>
      <c r="BQ234" s="3">
        <v>1000000</v>
      </c>
      <c r="BR234" s="3">
        <v>50000</v>
      </c>
      <c r="BS234">
        <v>2000000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 t="s">
        <v>2938</v>
      </c>
      <c r="CA234" t="s">
        <v>2939</v>
      </c>
      <c r="CB234" t="s">
        <v>2006</v>
      </c>
    </row>
    <row r="235" spans="1:80" x14ac:dyDescent="0.25">
      <c r="A235">
        <v>233</v>
      </c>
      <c r="B235" t="s">
        <v>2252</v>
      </c>
      <c r="C235" s="1">
        <v>44936</v>
      </c>
      <c r="D235" s="2">
        <v>3</v>
      </c>
      <c r="E235" t="s">
        <v>4</v>
      </c>
      <c r="F235" t="s">
        <v>1310</v>
      </c>
      <c r="G235">
        <v>0</v>
      </c>
      <c r="H235" s="3">
        <v>2000000</v>
      </c>
      <c r="I235" s="3">
        <v>150000</v>
      </c>
      <c r="J235" s="3">
        <v>100000</v>
      </c>
      <c r="K235" s="3">
        <v>0</v>
      </c>
      <c r="L235" s="3" t="s">
        <v>1191</v>
      </c>
      <c r="M235">
        <v>1154904</v>
      </c>
      <c r="N235" t="s">
        <v>505</v>
      </c>
      <c r="P235" t="s">
        <v>233</v>
      </c>
      <c r="Q235" t="s">
        <v>13</v>
      </c>
      <c r="R235">
        <v>2118</v>
      </c>
      <c r="S235" t="s">
        <v>26</v>
      </c>
      <c r="T235" t="s">
        <v>968</v>
      </c>
      <c r="U235">
        <v>0</v>
      </c>
      <c r="V235" t="s">
        <v>1084</v>
      </c>
      <c r="W235" t="s">
        <v>1194</v>
      </c>
      <c r="X235" t="s">
        <v>973</v>
      </c>
      <c r="Y235">
        <v>10000</v>
      </c>
      <c r="Z235" s="2" t="s">
        <v>1194</v>
      </c>
      <c r="AA235" s="2" t="s">
        <v>1238</v>
      </c>
      <c r="AB235" t="s">
        <v>1238</v>
      </c>
      <c r="AC235">
        <v>711</v>
      </c>
      <c r="AD235" t="s">
        <v>1283</v>
      </c>
      <c r="AE235">
        <v>1</v>
      </c>
      <c r="AF235" t="s">
        <v>1290</v>
      </c>
      <c r="AG235">
        <v>0</v>
      </c>
      <c r="AH235">
        <v>0</v>
      </c>
      <c r="AI235">
        <v>0</v>
      </c>
      <c r="AJ235">
        <v>1840</v>
      </c>
      <c r="AK235">
        <v>2018</v>
      </c>
      <c r="AL235" t="s">
        <v>1194</v>
      </c>
      <c r="AM235" s="4" t="s">
        <v>1304</v>
      </c>
      <c r="AN235">
        <v>1</v>
      </c>
      <c r="AO235" t="s">
        <v>1317</v>
      </c>
      <c r="AP235">
        <f t="shared" si="6"/>
        <v>0</v>
      </c>
      <c r="AQ235">
        <v>0</v>
      </c>
      <c r="AR235" t="s">
        <v>1993</v>
      </c>
      <c r="AS235" t="s">
        <v>1996</v>
      </c>
      <c r="AT235" t="s">
        <v>1995</v>
      </c>
      <c r="AU235" t="s">
        <v>1996</v>
      </c>
      <c r="AV235" t="s">
        <v>1996</v>
      </c>
      <c r="AW235" t="s">
        <v>1995</v>
      </c>
      <c r="AX235" t="s">
        <v>2006</v>
      </c>
      <c r="AY235" t="s">
        <v>1996</v>
      </c>
      <c r="AZ235">
        <v>1942</v>
      </c>
      <c r="BA235" t="s">
        <v>1194</v>
      </c>
      <c r="BB235" t="s">
        <v>1194</v>
      </c>
      <c r="BC235" s="3">
        <v>3907.8939</v>
      </c>
      <c r="BD235" s="3">
        <v>2583.62</v>
      </c>
      <c r="BE235" s="3">
        <v>0</v>
      </c>
      <c r="BF235" s="3">
        <v>0</v>
      </c>
      <c r="BG235" s="3">
        <v>120</v>
      </c>
      <c r="BH235" s="3">
        <v>0</v>
      </c>
      <c r="BI235" s="3">
        <v>3288</v>
      </c>
      <c r="BJ235" s="3">
        <v>9900</v>
      </c>
      <c r="BK235" s="3">
        <v>0</v>
      </c>
      <c r="BL235" s="3">
        <v>9900</v>
      </c>
      <c r="BM235" s="2">
        <f t="shared" ca="1" si="7"/>
        <v>6</v>
      </c>
      <c r="BN235" s="3">
        <v>250000</v>
      </c>
      <c r="BO235" s="3">
        <v>50000</v>
      </c>
      <c r="BP235" s="3">
        <v>50000</v>
      </c>
      <c r="BQ235" s="3">
        <v>500000</v>
      </c>
      <c r="BR235" s="3">
        <v>1000000</v>
      </c>
      <c r="BS235">
        <v>250000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 t="s">
        <v>2006</v>
      </c>
      <c r="CA235" t="s">
        <v>2006</v>
      </c>
      <c r="CB235" t="s">
        <v>2946</v>
      </c>
    </row>
    <row r="236" spans="1:80" x14ac:dyDescent="0.25">
      <c r="A236">
        <v>234</v>
      </c>
      <c r="B236" t="s">
        <v>2253</v>
      </c>
      <c r="C236" s="1">
        <v>44827</v>
      </c>
      <c r="D236" s="2">
        <v>27</v>
      </c>
      <c r="E236" t="s">
        <v>4</v>
      </c>
      <c r="F236" t="s">
        <v>1311</v>
      </c>
      <c r="G236">
        <v>1</v>
      </c>
      <c r="H236" s="3">
        <v>9000000</v>
      </c>
      <c r="I236" s="3">
        <v>1000000</v>
      </c>
      <c r="J236" s="3">
        <v>0</v>
      </c>
      <c r="K236" s="3">
        <v>0</v>
      </c>
      <c r="L236" s="3" t="s">
        <v>1191</v>
      </c>
      <c r="M236">
        <v>1413947</v>
      </c>
      <c r="N236" t="s">
        <v>506</v>
      </c>
      <c r="P236" t="s">
        <v>46</v>
      </c>
      <c r="Q236" t="s">
        <v>19</v>
      </c>
      <c r="R236">
        <v>90049</v>
      </c>
      <c r="S236" t="s">
        <v>46</v>
      </c>
      <c r="T236" t="s">
        <v>965</v>
      </c>
      <c r="U236">
        <v>0</v>
      </c>
      <c r="V236">
        <v>51</v>
      </c>
      <c r="W236" t="s">
        <v>1213</v>
      </c>
      <c r="X236" t="s">
        <v>973</v>
      </c>
      <c r="Y236">
        <v>50000</v>
      </c>
      <c r="Z236" s="2" t="s">
        <v>1194</v>
      </c>
      <c r="AA236" s="2" t="s">
        <v>1238</v>
      </c>
      <c r="AB236" t="s">
        <v>1238</v>
      </c>
      <c r="AC236" t="s">
        <v>1194</v>
      </c>
      <c r="AD236" t="s">
        <v>1279</v>
      </c>
      <c r="AE236">
        <v>1</v>
      </c>
      <c r="AF236" t="s">
        <v>1290</v>
      </c>
      <c r="AG236">
        <v>0</v>
      </c>
      <c r="AH236">
        <v>0</v>
      </c>
      <c r="AI236">
        <v>0</v>
      </c>
      <c r="AJ236">
        <v>2008</v>
      </c>
      <c r="AK236" t="s">
        <v>1194</v>
      </c>
      <c r="AL236" t="s">
        <v>1194</v>
      </c>
      <c r="AM236" s="4" t="s">
        <v>1238</v>
      </c>
      <c r="AN236">
        <v>1</v>
      </c>
      <c r="AO236" t="s">
        <v>1315</v>
      </c>
      <c r="AP236">
        <f t="shared" si="6"/>
        <v>0</v>
      </c>
      <c r="AQ236">
        <v>0</v>
      </c>
      <c r="AR236" t="s">
        <v>1993</v>
      </c>
      <c r="AS236" t="s">
        <v>1996</v>
      </c>
      <c r="AT236" t="s">
        <v>1995</v>
      </c>
      <c r="AU236" t="s">
        <v>1996</v>
      </c>
      <c r="AV236" t="s">
        <v>1996</v>
      </c>
      <c r="AW236" t="s">
        <v>1995</v>
      </c>
      <c r="AX236" t="s">
        <v>1194</v>
      </c>
      <c r="AY236" t="s">
        <v>1996</v>
      </c>
      <c r="AZ236">
        <v>8693</v>
      </c>
      <c r="BA236">
        <v>-2</v>
      </c>
      <c r="BB236" t="s">
        <v>2015</v>
      </c>
      <c r="BC236" s="3">
        <v>0</v>
      </c>
      <c r="BD236" s="3">
        <v>0</v>
      </c>
      <c r="BE236" s="3">
        <v>13364.76</v>
      </c>
      <c r="BF236" s="3">
        <v>71490.19</v>
      </c>
      <c r="BG236" s="3">
        <v>150</v>
      </c>
      <c r="BH236" s="3">
        <v>0</v>
      </c>
      <c r="BI236" s="3">
        <v>72450</v>
      </c>
      <c r="BJ236" s="3">
        <v>157454.95000000001</v>
      </c>
      <c r="BK236" s="3">
        <v>0</v>
      </c>
      <c r="BL236" s="3">
        <v>157454.95000000001</v>
      </c>
      <c r="BM236" s="2">
        <f t="shared" ca="1" si="7"/>
        <v>3</v>
      </c>
      <c r="BN236" s="3">
        <v>250000</v>
      </c>
      <c r="BO236" s="3">
        <v>50000</v>
      </c>
      <c r="BP236" s="3">
        <v>100000</v>
      </c>
      <c r="BQ236" s="3">
        <v>2000000</v>
      </c>
      <c r="BR236" s="3">
        <v>500000</v>
      </c>
      <c r="BS236" t="s">
        <v>2916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 t="s">
        <v>2951</v>
      </c>
      <c r="CA236" t="s">
        <v>1194</v>
      </c>
      <c r="CB236" t="s">
        <v>2952</v>
      </c>
    </row>
    <row r="237" spans="1:80" x14ac:dyDescent="0.25">
      <c r="A237">
        <v>235</v>
      </c>
      <c r="B237" t="s">
        <v>2254</v>
      </c>
      <c r="C237" s="1">
        <v>44755</v>
      </c>
      <c r="D237" s="2">
        <v>21</v>
      </c>
      <c r="E237" t="s">
        <v>6</v>
      </c>
      <c r="F237" t="s">
        <v>1310</v>
      </c>
      <c r="G237">
        <v>0</v>
      </c>
      <c r="H237" s="3">
        <v>2450000</v>
      </c>
      <c r="I237" s="3">
        <v>0</v>
      </c>
      <c r="J237" s="3">
        <v>100000</v>
      </c>
      <c r="K237" s="3">
        <v>0</v>
      </c>
      <c r="L237" s="3" t="s">
        <v>1191</v>
      </c>
      <c r="M237">
        <v>1130247</v>
      </c>
      <c r="N237" t="s">
        <v>507</v>
      </c>
      <c r="P237" t="s">
        <v>180</v>
      </c>
      <c r="Q237" t="s">
        <v>21</v>
      </c>
      <c r="R237">
        <v>28210</v>
      </c>
      <c r="S237" t="s">
        <v>45</v>
      </c>
      <c r="T237" t="s">
        <v>973</v>
      </c>
      <c r="U237">
        <v>0</v>
      </c>
      <c r="V237" t="s">
        <v>1008</v>
      </c>
      <c r="W237" t="s">
        <v>1194</v>
      </c>
      <c r="X237" t="s">
        <v>973</v>
      </c>
      <c r="Y237">
        <v>25000</v>
      </c>
      <c r="Z237" s="2" t="s">
        <v>1194</v>
      </c>
      <c r="AA237" s="2" t="s">
        <v>1238</v>
      </c>
      <c r="AB237" t="s">
        <v>1238</v>
      </c>
      <c r="AC237">
        <v>773</v>
      </c>
      <c r="AD237" t="s">
        <v>1284</v>
      </c>
      <c r="AE237">
        <v>1</v>
      </c>
      <c r="AF237" t="s">
        <v>1290</v>
      </c>
      <c r="AG237">
        <v>0</v>
      </c>
      <c r="AH237">
        <v>0</v>
      </c>
      <c r="AI237">
        <v>0</v>
      </c>
      <c r="AJ237">
        <v>1989</v>
      </c>
      <c r="AK237" t="s">
        <v>1194</v>
      </c>
      <c r="AL237">
        <v>2018</v>
      </c>
      <c r="AM237" s="4" t="s">
        <v>1306</v>
      </c>
      <c r="AN237">
        <v>1</v>
      </c>
      <c r="AO237" t="s">
        <v>1315</v>
      </c>
      <c r="AP237">
        <f t="shared" si="6"/>
        <v>0</v>
      </c>
      <c r="AQ237">
        <v>0</v>
      </c>
      <c r="AR237" t="s">
        <v>1993</v>
      </c>
      <c r="AS237" t="s">
        <v>1996</v>
      </c>
      <c r="AT237" t="s">
        <v>1995</v>
      </c>
      <c r="AU237" t="s">
        <v>1996</v>
      </c>
      <c r="AV237" t="s">
        <v>1995</v>
      </c>
      <c r="AW237" t="s">
        <v>1995</v>
      </c>
      <c r="AX237" t="s">
        <v>2006</v>
      </c>
      <c r="AY237" t="s">
        <v>1996</v>
      </c>
      <c r="AZ237">
        <v>5661</v>
      </c>
      <c r="BA237" t="s">
        <v>1194</v>
      </c>
      <c r="BB237" t="s">
        <v>1194</v>
      </c>
      <c r="BC237" s="3">
        <v>4048.3523</v>
      </c>
      <c r="BD237" s="3">
        <v>2254.16</v>
      </c>
      <c r="BE237" s="3">
        <v>0</v>
      </c>
      <c r="BF237" s="3">
        <v>0</v>
      </c>
      <c r="BG237" s="3">
        <v>120</v>
      </c>
      <c r="BH237" s="3">
        <v>0</v>
      </c>
      <c r="BI237" s="3">
        <v>2594</v>
      </c>
      <c r="BJ237" s="3">
        <v>9017</v>
      </c>
      <c r="BK237" s="3">
        <v>125</v>
      </c>
      <c r="BL237" s="3">
        <v>9142</v>
      </c>
      <c r="BM237" s="2">
        <f t="shared" ca="1" si="7"/>
        <v>1</v>
      </c>
      <c r="BN237" s="3">
        <v>50000</v>
      </c>
      <c r="BO237" s="3">
        <v>50000</v>
      </c>
      <c r="BP237" s="3" t="s">
        <v>2922</v>
      </c>
      <c r="BQ237" s="3">
        <v>50000</v>
      </c>
      <c r="BR237" s="3">
        <v>500000</v>
      </c>
      <c r="BS237">
        <v>50000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 t="s">
        <v>2942</v>
      </c>
      <c r="CA237" t="s">
        <v>2006</v>
      </c>
      <c r="CB237" t="s">
        <v>2941</v>
      </c>
    </row>
    <row r="238" spans="1:80" x14ac:dyDescent="0.25">
      <c r="A238">
        <v>236</v>
      </c>
      <c r="B238" t="s">
        <v>2255</v>
      </c>
      <c r="C238" s="1">
        <v>44679</v>
      </c>
      <c r="D238" s="2">
        <v>12</v>
      </c>
      <c r="E238" t="s">
        <v>4</v>
      </c>
      <c r="F238" t="s">
        <v>1311</v>
      </c>
      <c r="G238">
        <v>1</v>
      </c>
      <c r="H238" s="3">
        <v>0</v>
      </c>
      <c r="I238" s="3">
        <v>0</v>
      </c>
      <c r="J238" s="3">
        <v>1400000</v>
      </c>
      <c r="K238" s="3">
        <v>0</v>
      </c>
      <c r="L238" s="3" t="s">
        <v>1192</v>
      </c>
      <c r="M238">
        <v>1675445</v>
      </c>
      <c r="N238" t="s">
        <v>508</v>
      </c>
      <c r="O238" t="s">
        <v>509</v>
      </c>
      <c r="P238" t="s">
        <v>256</v>
      </c>
      <c r="Q238" t="s">
        <v>15</v>
      </c>
      <c r="R238">
        <v>34103</v>
      </c>
      <c r="S238" t="s">
        <v>63</v>
      </c>
      <c r="T238" t="s">
        <v>967</v>
      </c>
      <c r="U238">
        <v>0</v>
      </c>
      <c r="V238" t="s">
        <v>1044</v>
      </c>
      <c r="W238" t="s">
        <v>1194</v>
      </c>
      <c r="X238" t="s">
        <v>973</v>
      </c>
      <c r="Y238">
        <v>25000</v>
      </c>
      <c r="Z238" s="2">
        <v>5</v>
      </c>
      <c r="AA238" s="2" t="s">
        <v>1238</v>
      </c>
      <c r="AB238" t="s">
        <v>1238</v>
      </c>
      <c r="AC238">
        <v>862</v>
      </c>
      <c r="AD238" t="s">
        <v>1282</v>
      </c>
      <c r="AE238">
        <v>1</v>
      </c>
      <c r="AF238" t="s">
        <v>1292</v>
      </c>
      <c r="AG238">
        <v>0</v>
      </c>
      <c r="AH238">
        <v>0</v>
      </c>
      <c r="AI238">
        <v>0</v>
      </c>
      <c r="AJ238">
        <v>1998</v>
      </c>
      <c r="AK238" t="s">
        <v>1194</v>
      </c>
      <c r="AL238" t="s">
        <v>1194</v>
      </c>
      <c r="AM238" s="4" t="s">
        <v>1238</v>
      </c>
      <c r="AN238">
        <v>0</v>
      </c>
      <c r="AO238" t="s">
        <v>1317</v>
      </c>
      <c r="AP238">
        <f t="shared" si="6"/>
        <v>0</v>
      </c>
      <c r="AQ238">
        <v>0</v>
      </c>
      <c r="AR238" t="s">
        <v>1993</v>
      </c>
      <c r="AS238" t="s">
        <v>1995</v>
      </c>
      <c r="AT238" t="s">
        <v>1996</v>
      </c>
      <c r="AU238" t="s">
        <v>1996</v>
      </c>
      <c r="AV238" t="s">
        <v>1995</v>
      </c>
      <c r="AW238" t="s">
        <v>1995</v>
      </c>
      <c r="AX238" t="s">
        <v>2007</v>
      </c>
      <c r="AY238" t="s">
        <v>1995</v>
      </c>
      <c r="AZ238">
        <v>3880</v>
      </c>
      <c r="BA238" t="s">
        <v>1194</v>
      </c>
      <c r="BB238" t="s">
        <v>1194</v>
      </c>
      <c r="BC238" s="3">
        <v>2558.5996</v>
      </c>
      <c r="BD238" s="3">
        <v>8915.6299999999992</v>
      </c>
      <c r="BE238" s="3">
        <v>0</v>
      </c>
      <c r="BF238" s="3">
        <v>0</v>
      </c>
      <c r="BG238" s="3">
        <v>300</v>
      </c>
      <c r="BH238" s="3">
        <v>0</v>
      </c>
      <c r="BI238" s="3">
        <v>3525</v>
      </c>
      <c r="BJ238" s="3">
        <v>15299</v>
      </c>
      <c r="BK238" s="3">
        <v>1400</v>
      </c>
      <c r="BL238" s="3">
        <v>16699</v>
      </c>
      <c r="BM238" s="2">
        <f t="shared" ca="1" si="7"/>
        <v>5</v>
      </c>
      <c r="BN238" s="3">
        <v>500000</v>
      </c>
      <c r="BO238" s="3">
        <v>2000000</v>
      </c>
      <c r="BP238" s="3">
        <v>50000</v>
      </c>
      <c r="BQ238" s="3">
        <v>250000</v>
      </c>
      <c r="BR238" s="3">
        <v>250000</v>
      </c>
      <c r="BS238">
        <v>250000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 t="s">
        <v>2938</v>
      </c>
      <c r="CA238" t="s">
        <v>2939</v>
      </c>
      <c r="CB238" t="s">
        <v>2946</v>
      </c>
    </row>
    <row r="239" spans="1:80" x14ac:dyDescent="0.25">
      <c r="A239">
        <v>237</v>
      </c>
      <c r="B239" t="s">
        <v>2256</v>
      </c>
      <c r="C239" s="1">
        <v>44714</v>
      </c>
      <c r="D239" s="2">
        <v>18</v>
      </c>
      <c r="E239" t="s">
        <v>4</v>
      </c>
      <c r="F239" t="s">
        <v>1311</v>
      </c>
      <c r="G239">
        <v>1</v>
      </c>
      <c r="H239" s="3">
        <v>0</v>
      </c>
      <c r="I239" s="3">
        <v>0</v>
      </c>
      <c r="J239" s="3">
        <v>1700000</v>
      </c>
      <c r="K239" s="3">
        <v>0</v>
      </c>
      <c r="L239" s="3" t="s">
        <v>1192</v>
      </c>
      <c r="M239">
        <v>1695128</v>
      </c>
      <c r="N239" t="s">
        <v>510</v>
      </c>
      <c r="O239" t="s">
        <v>511</v>
      </c>
      <c r="P239" t="s">
        <v>512</v>
      </c>
      <c r="Q239" t="s">
        <v>14</v>
      </c>
      <c r="R239">
        <v>10012</v>
      </c>
      <c r="S239" t="s">
        <v>29</v>
      </c>
      <c r="T239" t="s">
        <v>962</v>
      </c>
      <c r="U239">
        <v>0</v>
      </c>
      <c r="V239" t="s">
        <v>1099</v>
      </c>
      <c r="W239" t="s">
        <v>1194</v>
      </c>
      <c r="X239" t="s">
        <v>973</v>
      </c>
      <c r="Y239">
        <v>10000</v>
      </c>
      <c r="Z239" s="2">
        <v>2</v>
      </c>
      <c r="AA239" s="2" t="s">
        <v>1238</v>
      </c>
      <c r="AB239" t="s">
        <v>1238</v>
      </c>
      <c r="AC239">
        <v>713</v>
      </c>
      <c r="AD239" t="s">
        <v>1280</v>
      </c>
      <c r="AE239">
        <v>1</v>
      </c>
      <c r="AF239" t="s">
        <v>1290</v>
      </c>
      <c r="AG239">
        <v>0</v>
      </c>
      <c r="AH239">
        <v>0</v>
      </c>
      <c r="AI239">
        <v>0</v>
      </c>
      <c r="AJ239">
        <v>1910</v>
      </c>
      <c r="AK239">
        <v>2022</v>
      </c>
      <c r="AL239" t="s">
        <v>1194</v>
      </c>
      <c r="AM239" s="4" t="s">
        <v>1238</v>
      </c>
      <c r="AN239">
        <v>1</v>
      </c>
      <c r="AO239" t="s">
        <v>1315</v>
      </c>
      <c r="AP239">
        <f t="shared" si="6"/>
        <v>0</v>
      </c>
      <c r="AQ239">
        <v>0</v>
      </c>
      <c r="AR239" t="s">
        <v>1993</v>
      </c>
      <c r="AS239" t="s">
        <v>1995</v>
      </c>
      <c r="AT239" t="s">
        <v>1996</v>
      </c>
      <c r="AU239" t="s">
        <v>1995</v>
      </c>
      <c r="AV239" t="s">
        <v>1995</v>
      </c>
      <c r="AW239" t="s">
        <v>1996</v>
      </c>
      <c r="AX239" t="s">
        <v>2006</v>
      </c>
      <c r="AY239" t="s">
        <v>1996</v>
      </c>
      <c r="AZ239">
        <v>2250</v>
      </c>
      <c r="BA239" t="s">
        <v>1194</v>
      </c>
      <c r="BB239" t="s">
        <v>1194</v>
      </c>
      <c r="BC239" s="3">
        <v>9517.4969999999994</v>
      </c>
      <c r="BD239" s="3">
        <v>1784.65</v>
      </c>
      <c r="BE239" s="3">
        <v>0</v>
      </c>
      <c r="BF239" s="3">
        <v>0</v>
      </c>
      <c r="BG239" s="3">
        <v>150</v>
      </c>
      <c r="BH239" s="3">
        <v>0</v>
      </c>
      <c r="BI239" s="3">
        <v>-122</v>
      </c>
      <c r="BJ239" s="3">
        <v>11330</v>
      </c>
      <c r="BK239" s="3">
        <v>150</v>
      </c>
      <c r="BL239" s="3">
        <v>11480</v>
      </c>
      <c r="BM239" s="2">
        <f t="shared" ca="1" si="7"/>
        <v>2</v>
      </c>
      <c r="BN239" s="3">
        <v>100000</v>
      </c>
      <c r="BO239" s="3">
        <v>500000</v>
      </c>
      <c r="BP239" s="3">
        <v>50000</v>
      </c>
      <c r="BQ239" s="3">
        <v>100000</v>
      </c>
      <c r="BR239" s="3">
        <v>2000000</v>
      </c>
      <c r="BS239">
        <v>100000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 t="s">
        <v>2942</v>
      </c>
      <c r="CA239" t="s">
        <v>2006</v>
      </c>
      <c r="CB239" t="s">
        <v>2946</v>
      </c>
    </row>
    <row r="240" spans="1:80" x14ac:dyDescent="0.25">
      <c r="A240">
        <v>238</v>
      </c>
      <c r="B240" t="s">
        <v>2257</v>
      </c>
      <c r="C240" s="1">
        <v>44893</v>
      </c>
      <c r="D240" s="2">
        <v>33</v>
      </c>
      <c r="E240" t="s">
        <v>4</v>
      </c>
      <c r="F240" t="s">
        <v>1311</v>
      </c>
      <c r="G240">
        <v>0</v>
      </c>
      <c r="H240" s="3">
        <v>5000000</v>
      </c>
      <c r="I240" s="3">
        <v>150000</v>
      </c>
      <c r="J240" s="3">
        <v>0</v>
      </c>
      <c r="K240" s="3">
        <v>0</v>
      </c>
      <c r="L240" s="3" t="s">
        <v>1191</v>
      </c>
      <c r="M240">
        <v>648895</v>
      </c>
      <c r="N240" t="s">
        <v>513</v>
      </c>
      <c r="P240" t="s">
        <v>153</v>
      </c>
      <c r="Q240" t="s">
        <v>15</v>
      </c>
      <c r="R240">
        <v>34786</v>
      </c>
      <c r="S240" t="s">
        <v>37</v>
      </c>
      <c r="T240" t="s">
        <v>965</v>
      </c>
      <c r="U240">
        <v>0</v>
      </c>
      <c r="V240" t="s">
        <v>1002</v>
      </c>
      <c r="W240" t="s">
        <v>1194</v>
      </c>
      <c r="X240" t="s">
        <v>973</v>
      </c>
      <c r="Y240">
        <v>25000</v>
      </c>
      <c r="Z240" s="2">
        <v>5</v>
      </c>
      <c r="AA240" s="2" t="s">
        <v>1238</v>
      </c>
      <c r="AB240" t="s">
        <v>1238</v>
      </c>
      <c r="AC240">
        <v>568</v>
      </c>
      <c r="AD240" t="s">
        <v>1280</v>
      </c>
      <c r="AE240">
        <v>1</v>
      </c>
      <c r="AF240" t="s">
        <v>1290</v>
      </c>
      <c r="AG240">
        <v>0</v>
      </c>
      <c r="AH240">
        <v>0</v>
      </c>
      <c r="AI240">
        <v>0</v>
      </c>
      <c r="AJ240">
        <v>1999</v>
      </c>
      <c r="AK240" t="s">
        <v>1194</v>
      </c>
      <c r="AL240">
        <v>2021</v>
      </c>
      <c r="AM240" s="4" t="s">
        <v>1238</v>
      </c>
      <c r="AN240">
        <v>1</v>
      </c>
      <c r="AO240" t="s">
        <v>1315</v>
      </c>
      <c r="AP240">
        <f t="shared" si="6"/>
        <v>0</v>
      </c>
      <c r="AQ240">
        <v>1</v>
      </c>
      <c r="AR240" t="s">
        <v>1992</v>
      </c>
      <c r="AS240" t="s">
        <v>1995</v>
      </c>
      <c r="AT240" t="s">
        <v>1996</v>
      </c>
      <c r="AU240" t="s">
        <v>1995</v>
      </c>
      <c r="AV240" t="s">
        <v>1996</v>
      </c>
      <c r="AW240" t="s">
        <v>1996</v>
      </c>
      <c r="AX240" t="s">
        <v>2006</v>
      </c>
      <c r="AY240" t="s">
        <v>1996</v>
      </c>
      <c r="AZ240">
        <v>7653</v>
      </c>
      <c r="BA240" t="s">
        <v>1194</v>
      </c>
      <c r="BB240" t="s">
        <v>1194</v>
      </c>
      <c r="BC240" s="3">
        <v>12432.994500000001</v>
      </c>
      <c r="BD240" s="3">
        <v>9300.42</v>
      </c>
      <c r="BE240" s="3">
        <v>0</v>
      </c>
      <c r="BF240" s="3">
        <v>0</v>
      </c>
      <c r="BG240" s="3">
        <v>300</v>
      </c>
      <c r="BH240" s="3">
        <v>0</v>
      </c>
      <c r="BI240" s="3">
        <v>21137</v>
      </c>
      <c r="BJ240" s="3">
        <v>43170</v>
      </c>
      <c r="BK240" s="3">
        <v>0</v>
      </c>
      <c r="BL240" s="3">
        <v>43170</v>
      </c>
      <c r="BM240" s="2">
        <f t="shared" ca="1" si="7"/>
        <v>1</v>
      </c>
      <c r="BN240" s="3">
        <v>500000</v>
      </c>
      <c r="BO240" s="3">
        <v>500000</v>
      </c>
      <c r="BP240" s="3" t="s">
        <v>2922</v>
      </c>
      <c r="BQ240" s="3">
        <v>50000</v>
      </c>
      <c r="BR240" s="3">
        <v>2000000</v>
      </c>
      <c r="BS240">
        <v>2000000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 t="s">
        <v>2940</v>
      </c>
      <c r="CA240" t="s">
        <v>2006</v>
      </c>
      <c r="CB240" t="s">
        <v>2945</v>
      </c>
    </row>
    <row r="241" spans="1:80" x14ac:dyDescent="0.25">
      <c r="A241">
        <v>239</v>
      </c>
      <c r="B241" t="s">
        <v>2258</v>
      </c>
      <c r="C241" s="1">
        <v>44719</v>
      </c>
      <c r="D241" s="2">
        <v>18</v>
      </c>
      <c r="E241" t="s">
        <v>4</v>
      </c>
      <c r="F241" t="s">
        <v>1311</v>
      </c>
      <c r="G241">
        <v>1</v>
      </c>
      <c r="H241" s="3">
        <v>8971571</v>
      </c>
      <c r="I241" s="3">
        <v>1047568</v>
      </c>
      <c r="J241" s="3">
        <v>0</v>
      </c>
      <c r="K241" s="3">
        <v>0</v>
      </c>
      <c r="L241" s="3" t="s">
        <v>1191</v>
      </c>
      <c r="M241">
        <v>1247833</v>
      </c>
      <c r="N241" t="s">
        <v>514</v>
      </c>
      <c r="P241" t="s">
        <v>515</v>
      </c>
      <c r="Q241" t="s">
        <v>19</v>
      </c>
      <c r="R241">
        <v>91750</v>
      </c>
      <c r="S241" t="s">
        <v>46</v>
      </c>
      <c r="T241" t="s">
        <v>965</v>
      </c>
      <c r="U241">
        <v>0</v>
      </c>
      <c r="V241">
        <v>41</v>
      </c>
      <c r="W241" t="s">
        <v>515</v>
      </c>
      <c r="X241" t="s">
        <v>973</v>
      </c>
      <c r="Y241">
        <v>25000</v>
      </c>
      <c r="Z241" s="2" t="s">
        <v>1194</v>
      </c>
      <c r="AA241" s="2" t="s">
        <v>1238</v>
      </c>
      <c r="AB241" t="s">
        <v>1238</v>
      </c>
      <c r="AC241" t="s">
        <v>1194</v>
      </c>
      <c r="AD241" t="s">
        <v>1279</v>
      </c>
      <c r="AE241">
        <v>3</v>
      </c>
      <c r="AF241" t="s">
        <v>1294</v>
      </c>
      <c r="AG241">
        <v>0</v>
      </c>
      <c r="AH241">
        <v>0</v>
      </c>
      <c r="AI241">
        <v>0</v>
      </c>
      <c r="AJ241">
        <v>1963</v>
      </c>
      <c r="AK241">
        <v>2021</v>
      </c>
      <c r="AL241" t="s">
        <v>1194</v>
      </c>
      <c r="AM241" s="4" t="s">
        <v>1238</v>
      </c>
      <c r="AN241">
        <v>0</v>
      </c>
      <c r="AO241" t="s">
        <v>1316</v>
      </c>
      <c r="AP241">
        <f t="shared" si="6"/>
        <v>0</v>
      </c>
      <c r="AQ241">
        <v>1</v>
      </c>
      <c r="AR241" t="s">
        <v>1992</v>
      </c>
      <c r="AS241" t="s">
        <v>1995</v>
      </c>
      <c r="AT241" t="s">
        <v>1995</v>
      </c>
      <c r="AU241" t="s">
        <v>1996</v>
      </c>
      <c r="AV241" t="s">
        <v>1996</v>
      </c>
      <c r="AW241" t="s">
        <v>1996</v>
      </c>
      <c r="AX241" t="s">
        <v>1194</v>
      </c>
      <c r="AY241" t="s">
        <v>1996</v>
      </c>
      <c r="AZ241">
        <v>4491</v>
      </c>
      <c r="BA241">
        <v>0</v>
      </c>
      <c r="BB241" t="s">
        <v>2016</v>
      </c>
      <c r="BC241" s="3">
        <v>0</v>
      </c>
      <c r="BD241" s="3">
        <v>0</v>
      </c>
      <c r="BE241" s="3">
        <v>27904.93</v>
      </c>
      <c r="BF241" s="3">
        <v>27853.01</v>
      </c>
      <c r="BG241" s="3">
        <v>0</v>
      </c>
      <c r="BH241" s="3">
        <v>0</v>
      </c>
      <c r="BI241" s="3">
        <v>34414.07</v>
      </c>
      <c r="BJ241" s="3">
        <v>90172.01</v>
      </c>
      <c r="BK241" s="3">
        <v>0</v>
      </c>
      <c r="BL241" s="3">
        <v>90172.01</v>
      </c>
      <c r="BM241" s="2">
        <f t="shared" ca="1" si="7"/>
        <v>5</v>
      </c>
      <c r="BN241" s="3">
        <v>250000</v>
      </c>
      <c r="BO241" s="3">
        <v>100000</v>
      </c>
      <c r="BP241" s="3">
        <v>200000</v>
      </c>
      <c r="BQ241" s="3">
        <v>250000</v>
      </c>
      <c r="BR241" s="3">
        <v>250000</v>
      </c>
      <c r="BS241">
        <v>50000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 t="s">
        <v>2949</v>
      </c>
      <c r="CA241" t="s">
        <v>1194</v>
      </c>
      <c r="CB241" t="s">
        <v>2952</v>
      </c>
    </row>
    <row r="242" spans="1:80" x14ac:dyDescent="0.25">
      <c r="A242">
        <v>240</v>
      </c>
      <c r="B242" t="s">
        <v>2259</v>
      </c>
      <c r="C242" s="1">
        <v>44835</v>
      </c>
      <c r="D242" s="2">
        <v>30</v>
      </c>
      <c r="E242" t="s">
        <v>5</v>
      </c>
      <c r="F242" t="s">
        <v>1310</v>
      </c>
      <c r="G242">
        <v>0</v>
      </c>
      <c r="H242" s="3">
        <v>2650000</v>
      </c>
      <c r="I242" s="3">
        <v>215000</v>
      </c>
      <c r="J242" s="3">
        <v>0</v>
      </c>
      <c r="K242" s="3">
        <v>0</v>
      </c>
      <c r="L242" s="3" t="s">
        <v>1191</v>
      </c>
      <c r="M242">
        <v>1183388</v>
      </c>
      <c r="N242" t="s">
        <v>516</v>
      </c>
      <c r="P242" t="s">
        <v>248</v>
      </c>
      <c r="Q242" t="s">
        <v>20</v>
      </c>
      <c r="R242">
        <v>30306</v>
      </c>
      <c r="S242" t="s">
        <v>57</v>
      </c>
      <c r="T242" t="s">
        <v>973</v>
      </c>
      <c r="U242">
        <v>0</v>
      </c>
      <c r="V242">
        <v>17</v>
      </c>
      <c r="W242" t="s">
        <v>1195</v>
      </c>
      <c r="X242" t="s">
        <v>973</v>
      </c>
      <c r="Y242">
        <v>10000</v>
      </c>
      <c r="Z242" s="2" t="s">
        <v>1194</v>
      </c>
      <c r="AA242" s="2">
        <v>0</v>
      </c>
      <c r="AB242" t="s">
        <v>1238</v>
      </c>
      <c r="AC242">
        <v>918</v>
      </c>
      <c r="AD242" t="s">
        <v>1284</v>
      </c>
      <c r="AE242">
        <v>1</v>
      </c>
      <c r="AF242" t="s">
        <v>1290</v>
      </c>
      <c r="AG242">
        <v>0</v>
      </c>
      <c r="AH242">
        <v>0</v>
      </c>
      <c r="AI242">
        <v>0</v>
      </c>
      <c r="AJ242">
        <v>1939</v>
      </c>
      <c r="AK242" t="s">
        <v>1194</v>
      </c>
      <c r="AL242">
        <v>2012</v>
      </c>
      <c r="AM242" s="4" t="s">
        <v>1308</v>
      </c>
      <c r="AN242">
        <v>0</v>
      </c>
      <c r="AO242" t="s">
        <v>1315</v>
      </c>
      <c r="AP242">
        <f t="shared" si="6"/>
        <v>0</v>
      </c>
      <c r="AQ242">
        <v>0</v>
      </c>
      <c r="AR242" t="s">
        <v>1993</v>
      </c>
      <c r="AS242" t="s">
        <v>1995</v>
      </c>
      <c r="AT242" t="s">
        <v>1995</v>
      </c>
      <c r="AU242" t="s">
        <v>1996</v>
      </c>
      <c r="AV242" t="s">
        <v>1995</v>
      </c>
      <c r="AW242" t="s">
        <v>1996</v>
      </c>
      <c r="AX242" t="s">
        <v>2003</v>
      </c>
      <c r="AY242" t="s">
        <v>1996</v>
      </c>
      <c r="AZ242">
        <v>4500</v>
      </c>
      <c r="BA242" t="s">
        <v>1194</v>
      </c>
      <c r="BB242" t="s">
        <v>1194</v>
      </c>
      <c r="BC242" s="3">
        <v>5676.4441999999999</v>
      </c>
      <c r="BD242" s="3">
        <v>7239.15</v>
      </c>
      <c r="BE242" s="3">
        <v>0</v>
      </c>
      <c r="BF242" s="3">
        <v>0</v>
      </c>
      <c r="BG242" s="3">
        <v>150</v>
      </c>
      <c r="BH242" s="3">
        <v>0</v>
      </c>
      <c r="BI242" s="3">
        <v>686</v>
      </c>
      <c r="BJ242" s="3">
        <v>13752</v>
      </c>
      <c r="BK242" s="3">
        <v>150</v>
      </c>
      <c r="BL242" s="3">
        <v>13902</v>
      </c>
      <c r="BM242" s="2">
        <f t="shared" ca="1" si="7"/>
        <v>5</v>
      </c>
      <c r="BN242" s="3">
        <v>100000</v>
      </c>
      <c r="BO242" s="3">
        <v>100000</v>
      </c>
      <c r="BP242" s="3">
        <v>50000</v>
      </c>
      <c r="BQ242" s="3">
        <v>1000000</v>
      </c>
      <c r="BR242" s="3">
        <v>50000</v>
      </c>
      <c r="BS242" t="s">
        <v>2916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 t="s">
        <v>2942</v>
      </c>
      <c r="CA242" t="s">
        <v>2006</v>
      </c>
      <c r="CB242" t="s">
        <v>2941</v>
      </c>
    </row>
    <row r="243" spans="1:80" x14ac:dyDescent="0.25">
      <c r="A243">
        <v>241</v>
      </c>
      <c r="B243" t="s">
        <v>2260</v>
      </c>
      <c r="C243" s="1">
        <v>44963</v>
      </c>
      <c r="D243" s="2">
        <v>6</v>
      </c>
      <c r="E243" t="s">
        <v>4</v>
      </c>
      <c r="F243" t="s">
        <v>1310</v>
      </c>
      <c r="G243">
        <v>0</v>
      </c>
      <c r="H243" s="3">
        <v>30000000</v>
      </c>
      <c r="I243" s="3">
        <v>6700000</v>
      </c>
      <c r="J243" s="3">
        <v>0</v>
      </c>
      <c r="K243" s="3">
        <v>0</v>
      </c>
      <c r="L243" s="3" t="s">
        <v>1191</v>
      </c>
      <c r="M243">
        <v>1823665</v>
      </c>
      <c r="N243" t="s">
        <v>517</v>
      </c>
      <c r="P243" t="s">
        <v>518</v>
      </c>
      <c r="Q243" t="s">
        <v>13</v>
      </c>
      <c r="R243">
        <v>2539</v>
      </c>
      <c r="S243" t="s">
        <v>55</v>
      </c>
      <c r="T243" t="s">
        <v>970</v>
      </c>
      <c r="U243">
        <v>0</v>
      </c>
      <c r="V243" t="s">
        <v>1036</v>
      </c>
      <c r="W243" t="s">
        <v>1194</v>
      </c>
      <c r="X243" t="s">
        <v>973</v>
      </c>
      <c r="Y243">
        <v>50000</v>
      </c>
      <c r="Z243" s="2">
        <v>2</v>
      </c>
      <c r="AA243" s="2" t="s">
        <v>1238</v>
      </c>
      <c r="AB243" t="s">
        <v>1238</v>
      </c>
      <c r="AC243">
        <v>738</v>
      </c>
      <c r="AD243" t="s">
        <v>1279</v>
      </c>
      <c r="AE243">
        <v>4</v>
      </c>
      <c r="AF243" t="s">
        <v>1290</v>
      </c>
      <c r="AG243">
        <v>0</v>
      </c>
      <c r="AH243">
        <v>0</v>
      </c>
      <c r="AI243">
        <v>0</v>
      </c>
      <c r="AJ243">
        <v>2022</v>
      </c>
      <c r="AK243" t="s">
        <v>1194</v>
      </c>
      <c r="AL243" t="s">
        <v>1194</v>
      </c>
      <c r="AM243" s="4" t="s">
        <v>1304</v>
      </c>
      <c r="AN243">
        <v>1</v>
      </c>
      <c r="AO243" t="s">
        <v>1316</v>
      </c>
      <c r="AP243">
        <f t="shared" si="6"/>
        <v>0</v>
      </c>
      <c r="AQ243">
        <v>1</v>
      </c>
      <c r="AR243" t="s">
        <v>1992</v>
      </c>
      <c r="AS243" t="s">
        <v>1996</v>
      </c>
      <c r="AT243" t="s">
        <v>1996</v>
      </c>
      <c r="AU243" t="s">
        <v>1996</v>
      </c>
      <c r="AV243" t="s">
        <v>1996</v>
      </c>
      <c r="AW243" t="s">
        <v>1995</v>
      </c>
      <c r="AX243" t="s">
        <v>2006</v>
      </c>
      <c r="AY243" t="s">
        <v>1996</v>
      </c>
      <c r="AZ243">
        <v>20000</v>
      </c>
      <c r="BA243" t="s">
        <v>1194</v>
      </c>
      <c r="BB243" t="s">
        <v>1194</v>
      </c>
      <c r="BC243" s="3">
        <v>47864.9974</v>
      </c>
      <c r="BD243" s="3">
        <v>60507.01</v>
      </c>
      <c r="BE243" s="3">
        <v>0</v>
      </c>
      <c r="BF243" s="3">
        <v>0</v>
      </c>
      <c r="BG243" s="3">
        <v>0</v>
      </c>
      <c r="BH243" s="3">
        <v>0</v>
      </c>
      <c r="BI243" s="3">
        <v>141378</v>
      </c>
      <c r="BJ243" s="3">
        <v>249750</v>
      </c>
      <c r="BK243" s="3">
        <v>0</v>
      </c>
      <c r="BL243" s="3">
        <v>249750</v>
      </c>
      <c r="BM243" s="2">
        <f t="shared" ca="1" si="7"/>
        <v>6</v>
      </c>
      <c r="BN243" s="3" t="s">
        <v>2916</v>
      </c>
      <c r="BO243" s="3">
        <v>1000000</v>
      </c>
      <c r="BP243" s="3">
        <v>100000</v>
      </c>
      <c r="BQ243" s="3">
        <v>250000</v>
      </c>
      <c r="BR243" s="3">
        <v>250000</v>
      </c>
      <c r="BS243">
        <v>50000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 t="s">
        <v>2942</v>
      </c>
      <c r="CA243" t="s">
        <v>2006</v>
      </c>
      <c r="CB243" t="s">
        <v>2006</v>
      </c>
    </row>
    <row r="244" spans="1:80" x14ac:dyDescent="0.25">
      <c r="A244">
        <v>242</v>
      </c>
      <c r="B244" t="s">
        <v>2261</v>
      </c>
      <c r="C244" s="1">
        <v>44671</v>
      </c>
      <c r="D244" s="2">
        <v>12</v>
      </c>
      <c r="E244" t="s">
        <v>4</v>
      </c>
      <c r="F244" t="s">
        <v>1311</v>
      </c>
      <c r="G244">
        <v>1</v>
      </c>
      <c r="H244" s="3">
        <v>0</v>
      </c>
      <c r="I244" s="3">
        <v>0</v>
      </c>
      <c r="J244" s="3">
        <v>13000000</v>
      </c>
      <c r="K244" s="3">
        <v>0</v>
      </c>
      <c r="L244" s="3" t="s">
        <v>1192</v>
      </c>
      <c r="M244">
        <v>1811857</v>
      </c>
      <c r="N244" t="s">
        <v>519</v>
      </c>
      <c r="O244" t="s">
        <v>520</v>
      </c>
      <c r="P244" t="s">
        <v>155</v>
      </c>
      <c r="Q244" t="s">
        <v>15</v>
      </c>
      <c r="R244">
        <v>33109</v>
      </c>
      <c r="S244" t="s">
        <v>33</v>
      </c>
      <c r="T244" t="s">
        <v>967</v>
      </c>
      <c r="U244">
        <v>1</v>
      </c>
      <c r="V244" t="s">
        <v>1056</v>
      </c>
      <c r="W244" t="s">
        <v>1194</v>
      </c>
      <c r="X244" t="s">
        <v>1309</v>
      </c>
      <c r="Y244">
        <v>25000</v>
      </c>
      <c r="Z244" s="2">
        <v>5</v>
      </c>
      <c r="AA244" s="2" t="s">
        <v>1238</v>
      </c>
      <c r="AB244" t="s">
        <v>1238</v>
      </c>
      <c r="AC244">
        <v>758</v>
      </c>
      <c r="AD244" t="s">
        <v>1281</v>
      </c>
      <c r="AE244">
        <v>2</v>
      </c>
      <c r="AF244" t="s">
        <v>1291</v>
      </c>
      <c r="AG244">
        <v>0</v>
      </c>
      <c r="AH244">
        <v>0</v>
      </c>
      <c r="AI244">
        <v>0</v>
      </c>
      <c r="AJ244">
        <v>2019</v>
      </c>
      <c r="AK244" t="s">
        <v>1194</v>
      </c>
      <c r="AL244" t="s">
        <v>1194</v>
      </c>
      <c r="AM244" s="4" t="s">
        <v>1238</v>
      </c>
      <c r="AN244">
        <v>1</v>
      </c>
      <c r="AO244" t="s">
        <v>1317</v>
      </c>
      <c r="AP244">
        <f t="shared" si="6"/>
        <v>0</v>
      </c>
      <c r="AQ244">
        <v>0</v>
      </c>
      <c r="AR244" t="s">
        <v>1993</v>
      </c>
      <c r="AS244" t="s">
        <v>1996</v>
      </c>
      <c r="AT244" t="s">
        <v>1996</v>
      </c>
      <c r="AU244" t="s">
        <v>1996</v>
      </c>
      <c r="AV244" t="s">
        <v>1996</v>
      </c>
      <c r="AW244" t="s">
        <v>1996</v>
      </c>
      <c r="AX244" t="s">
        <v>2007</v>
      </c>
      <c r="AY244" t="s">
        <v>1995</v>
      </c>
      <c r="AZ244">
        <v>10194</v>
      </c>
      <c r="BA244" t="s">
        <v>1194</v>
      </c>
      <c r="BB244" t="s">
        <v>1194</v>
      </c>
      <c r="BC244" s="3">
        <v>22107.922999999999</v>
      </c>
      <c r="BD244" s="3">
        <v>65090.64</v>
      </c>
      <c r="BE244" s="3">
        <v>0</v>
      </c>
      <c r="BF244" s="3">
        <v>0</v>
      </c>
      <c r="BG244" s="3">
        <v>300</v>
      </c>
      <c r="BH244" s="3">
        <v>0</v>
      </c>
      <c r="BI244" s="3">
        <v>75851</v>
      </c>
      <c r="BJ244" s="3">
        <v>163350</v>
      </c>
      <c r="BK244" s="3">
        <v>600</v>
      </c>
      <c r="BL244" s="3">
        <v>163950</v>
      </c>
      <c r="BM244" s="2">
        <f t="shared" ca="1" si="7"/>
        <v>1</v>
      </c>
      <c r="BN244" s="3">
        <v>2000000</v>
      </c>
      <c r="BO244" s="3">
        <v>1000000</v>
      </c>
      <c r="BP244" s="3">
        <v>100000</v>
      </c>
      <c r="BQ244" s="3">
        <v>50000</v>
      </c>
      <c r="BR244" s="3">
        <v>500000</v>
      </c>
      <c r="BS244">
        <v>500000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 t="s">
        <v>2940</v>
      </c>
      <c r="CA244" t="s">
        <v>2939</v>
      </c>
      <c r="CB244" t="s">
        <v>2941</v>
      </c>
    </row>
    <row r="245" spans="1:80" x14ac:dyDescent="0.25">
      <c r="A245">
        <v>243</v>
      </c>
      <c r="B245" t="s">
        <v>2262</v>
      </c>
      <c r="C245" s="1">
        <v>44981</v>
      </c>
      <c r="D245" s="2">
        <v>6</v>
      </c>
      <c r="E245" t="s">
        <v>4</v>
      </c>
      <c r="F245" t="s">
        <v>1310</v>
      </c>
      <c r="G245">
        <v>0</v>
      </c>
      <c r="H245" s="3">
        <v>0</v>
      </c>
      <c r="I245" s="3">
        <v>0</v>
      </c>
      <c r="J245" s="3">
        <v>7643000</v>
      </c>
      <c r="K245" s="3">
        <v>0</v>
      </c>
      <c r="L245" s="3" t="s">
        <v>1192</v>
      </c>
      <c r="M245">
        <v>2070932</v>
      </c>
      <c r="N245" t="s">
        <v>344</v>
      </c>
      <c r="O245" t="s">
        <v>521</v>
      </c>
      <c r="P245" t="s">
        <v>29</v>
      </c>
      <c r="Q245" t="s">
        <v>14</v>
      </c>
      <c r="R245">
        <v>10023</v>
      </c>
      <c r="S245" t="s">
        <v>29</v>
      </c>
      <c r="T245" t="s">
        <v>962</v>
      </c>
      <c r="U245">
        <v>0</v>
      </c>
      <c r="V245" t="s">
        <v>1064</v>
      </c>
      <c r="W245" t="s">
        <v>1194</v>
      </c>
      <c r="X245" t="s">
        <v>973</v>
      </c>
      <c r="Y245">
        <v>25000</v>
      </c>
      <c r="Z245" s="2">
        <v>1</v>
      </c>
      <c r="AA245" s="2" t="s">
        <v>1238</v>
      </c>
      <c r="AB245" t="s">
        <v>1238</v>
      </c>
      <c r="AC245">
        <v>836</v>
      </c>
      <c r="AD245" t="s">
        <v>1281</v>
      </c>
      <c r="AE245">
        <v>1</v>
      </c>
      <c r="AF245" t="s">
        <v>1290</v>
      </c>
      <c r="AG245">
        <v>0</v>
      </c>
      <c r="AH245">
        <v>0</v>
      </c>
      <c r="AI245">
        <v>0</v>
      </c>
      <c r="AJ245">
        <v>2007</v>
      </c>
      <c r="AK245" t="s">
        <v>1194</v>
      </c>
      <c r="AL245" t="s">
        <v>1194</v>
      </c>
      <c r="AM245" s="4" t="s">
        <v>1305</v>
      </c>
      <c r="AN245">
        <v>0</v>
      </c>
      <c r="AO245" t="s">
        <v>1316</v>
      </c>
      <c r="AP245">
        <f t="shared" si="6"/>
        <v>0</v>
      </c>
      <c r="AQ245">
        <v>1</v>
      </c>
      <c r="AR245" t="s">
        <v>1992</v>
      </c>
      <c r="AS245" t="s">
        <v>1995</v>
      </c>
      <c r="AT245" t="s">
        <v>1995</v>
      </c>
      <c r="AU245" t="s">
        <v>1996</v>
      </c>
      <c r="AV245" t="s">
        <v>1996</v>
      </c>
      <c r="AW245" t="s">
        <v>1996</v>
      </c>
      <c r="AX245" t="s">
        <v>2006</v>
      </c>
      <c r="AY245" t="s">
        <v>1996</v>
      </c>
      <c r="AZ245">
        <v>5812</v>
      </c>
      <c r="BA245" t="s">
        <v>1194</v>
      </c>
      <c r="BB245" t="s">
        <v>1194</v>
      </c>
      <c r="BC245" s="3">
        <v>17085.4395</v>
      </c>
      <c r="BD245" s="3">
        <v>2706.03</v>
      </c>
      <c r="BE245" s="3">
        <v>0</v>
      </c>
      <c r="BF245" s="3">
        <v>0</v>
      </c>
      <c r="BG245" s="3">
        <v>150</v>
      </c>
      <c r="BH245" s="3">
        <v>0</v>
      </c>
      <c r="BI245" s="3">
        <v>31214</v>
      </c>
      <c r="BJ245" s="3">
        <v>51155</v>
      </c>
      <c r="BK245" s="3">
        <v>0</v>
      </c>
      <c r="BL245" s="3">
        <v>51155</v>
      </c>
      <c r="BM245" s="2">
        <f t="shared" ca="1" si="7"/>
        <v>4</v>
      </c>
      <c r="BN245" s="3">
        <v>1000000</v>
      </c>
      <c r="BO245" s="3">
        <v>1000000</v>
      </c>
      <c r="BP245" s="3">
        <v>50000</v>
      </c>
      <c r="BQ245" s="3">
        <v>50000</v>
      </c>
      <c r="BR245" s="3">
        <v>50000</v>
      </c>
      <c r="BS245">
        <v>50000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 t="s">
        <v>2006</v>
      </c>
      <c r="CA245" t="s">
        <v>2006</v>
      </c>
      <c r="CB245" t="s">
        <v>2946</v>
      </c>
    </row>
    <row r="246" spans="1:80" x14ac:dyDescent="0.25">
      <c r="A246">
        <v>244</v>
      </c>
      <c r="B246" t="s">
        <v>2263</v>
      </c>
      <c r="C246" s="1">
        <v>44970</v>
      </c>
      <c r="D246" s="2">
        <v>6</v>
      </c>
      <c r="E246" t="s">
        <v>4</v>
      </c>
      <c r="F246" t="s">
        <v>1310</v>
      </c>
      <c r="G246">
        <v>0</v>
      </c>
      <c r="H246" s="3">
        <v>0</v>
      </c>
      <c r="I246" s="3">
        <v>0</v>
      </c>
      <c r="J246" s="3">
        <v>1776000</v>
      </c>
      <c r="K246" s="3">
        <v>0</v>
      </c>
      <c r="L246" s="3" t="s">
        <v>1192</v>
      </c>
      <c r="M246">
        <v>2053205</v>
      </c>
      <c r="N246" t="s">
        <v>522</v>
      </c>
      <c r="O246" t="s">
        <v>523</v>
      </c>
      <c r="P246" t="s">
        <v>233</v>
      </c>
      <c r="Q246" t="s">
        <v>13</v>
      </c>
      <c r="R246">
        <v>2116</v>
      </c>
      <c r="S246" t="s">
        <v>26</v>
      </c>
      <c r="T246" t="s">
        <v>968</v>
      </c>
      <c r="U246">
        <v>0</v>
      </c>
      <c r="V246" t="s">
        <v>1083</v>
      </c>
      <c r="W246" t="s">
        <v>1194</v>
      </c>
      <c r="X246" t="s">
        <v>973</v>
      </c>
      <c r="Y246">
        <v>100000</v>
      </c>
      <c r="Z246" s="2" t="s">
        <v>1194</v>
      </c>
      <c r="AA246" s="2" t="s">
        <v>1238</v>
      </c>
      <c r="AB246" t="s">
        <v>1238</v>
      </c>
      <c r="AC246">
        <v>882</v>
      </c>
      <c r="AD246" t="s">
        <v>1279</v>
      </c>
      <c r="AE246">
        <v>1</v>
      </c>
      <c r="AF246" t="s">
        <v>1290</v>
      </c>
      <c r="AG246">
        <v>0</v>
      </c>
      <c r="AH246">
        <v>0</v>
      </c>
      <c r="AI246">
        <v>0</v>
      </c>
      <c r="AJ246">
        <v>1901</v>
      </c>
      <c r="AK246" t="s">
        <v>1194</v>
      </c>
      <c r="AL246">
        <v>1990</v>
      </c>
      <c r="AM246" s="4" t="s">
        <v>1308</v>
      </c>
      <c r="AN246">
        <v>0</v>
      </c>
      <c r="AO246" t="s">
        <v>1316</v>
      </c>
      <c r="AP246">
        <f t="shared" si="6"/>
        <v>0</v>
      </c>
      <c r="AQ246">
        <v>1</v>
      </c>
      <c r="AR246" t="s">
        <v>1992</v>
      </c>
      <c r="AS246" t="s">
        <v>1995</v>
      </c>
      <c r="AT246" t="s">
        <v>1996</v>
      </c>
      <c r="AU246" t="s">
        <v>1996</v>
      </c>
      <c r="AV246" t="s">
        <v>1995</v>
      </c>
      <c r="AW246" t="s">
        <v>1996</v>
      </c>
      <c r="AX246" t="s">
        <v>2006</v>
      </c>
      <c r="AY246" t="s">
        <v>1996</v>
      </c>
      <c r="AZ246">
        <v>4140</v>
      </c>
      <c r="BA246" t="s">
        <v>1194</v>
      </c>
      <c r="BB246" t="s">
        <v>1194</v>
      </c>
      <c r="BC246" s="3">
        <v>6237.4173000000001</v>
      </c>
      <c r="BD246" s="3">
        <v>1202.1500000000001</v>
      </c>
      <c r="BE246" s="3">
        <v>0</v>
      </c>
      <c r="BF246" s="3">
        <v>0</v>
      </c>
      <c r="BG246" s="3">
        <v>0</v>
      </c>
      <c r="BH246" s="3">
        <v>0</v>
      </c>
      <c r="BI246" s="3">
        <v>3225</v>
      </c>
      <c r="BJ246" s="3">
        <v>10665</v>
      </c>
      <c r="BK246" s="3">
        <v>0</v>
      </c>
      <c r="BL246" s="3">
        <v>10665</v>
      </c>
      <c r="BM246" s="2">
        <f t="shared" ca="1" si="7"/>
        <v>1</v>
      </c>
      <c r="BN246" s="3">
        <v>250000</v>
      </c>
      <c r="BO246" s="3">
        <v>500000</v>
      </c>
      <c r="BP246" s="3">
        <v>100000</v>
      </c>
      <c r="BQ246" s="3">
        <v>1000000</v>
      </c>
      <c r="BR246" s="3">
        <v>50000</v>
      </c>
      <c r="BS246" t="s">
        <v>2916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 t="s">
        <v>2942</v>
      </c>
      <c r="CA246" t="s">
        <v>2006</v>
      </c>
      <c r="CB246" t="s">
        <v>2946</v>
      </c>
    </row>
    <row r="247" spans="1:80" x14ac:dyDescent="0.25">
      <c r="A247">
        <v>245</v>
      </c>
      <c r="B247" t="s">
        <v>2264</v>
      </c>
      <c r="C247" s="1">
        <v>44844</v>
      </c>
      <c r="D247" s="2">
        <v>30</v>
      </c>
      <c r="E247" t="s">
        <v>4</v>
      </c>
      <c r="F247" t="s">
        <v>1311</v>
      </c>
      <c r="G247">
        <v>0</v>
      </c>
      <c r="H247" s="3">
        <v>6200000</v>
      </c>
      <c r="I247" s="3">
        <v>1887203</v>
      </c>
      <c r="J247" s="3">
        <v>0</v>
      </c>
      <c r="K247" s="3">
        <v>0</v>
      </c>
      <c r="L247" s="3" t="s">
        <v>1191</v>
      </c>
      <c r="M247">
        <v>1205514</v>
      </c>
      <c r="N247" t="s">
        <v>524</v>
      </c>
      <c r="P247" t="s">
        <v>366</v>
      </c>
      <c r="Q247" t="s">
        <v>19</v>
      </c>
      <c r="R247">
        <v>92037</v>
      </c>
      <c r="S247" t="s">
        <v>77</v>
      </c>
      <c r="T247" t="s">
        <v>974</v>
      </c>
      <c r="U247">
        <v>0</v>
      </c>
      <c r="V247">
        <v>3</v>
      </c>
      <c r="W247" t="s">
        <v>1206</v>
      </c>
      <c r="X247" t="s">
        <v>973</v>
      </c>
      <c r="Y247">
        <v>25000</v>
      </c>
      <c r="Z247" s="2" t="s">
        <v>1194</v>
      </c>
      <c r="AA247" s="2" t="s">
        <v>1238</v>
      </c>
      <c r="AB247" t="s">
        <v>1238</v>
      </c>
      <c r="AC247" t="s">
        <v>1194</v>
      </c>
      <c r="AD247" t="s">
        <v>1279</v>
      </c>
      <c r="AE247">
        <v>2</v>
      </c>
      <c r="AF247" t="s">
        <v>1290</v>
      </c>
      <c r="AG247">
        <v>0</v>
      </c>
      <c r="AH247">
        <v>0</v>
      </c>
      <c r="AI247">
        <v>0</v>
      </c>
      <c r="AJ247">
        <v>1920</v>
      </c>
      <c r="AK247">
        <v>2012</v>
      </c>
      <c r="AL247">
        <v>2012</v>
      </c>
      <c r="AM247" s="4" t="s">
        <v>1238</v>
      </c>
      <c r="AN247">
        <v>1</v>
      </c>
      <c r="AO247" t="s">
        <v>1315</v>
      </c>
      <c r="AP247">
        <f t="shared" si="6"/>
        <v>0</v>
      </c>
      <c r="AQ247">
        <v>1</v>
      </c>
      <c r="AR247" t="s">
        <v>1992</v>
      </c>
      <c r="AS247" t="s">
        <v>1995</v>
      </c>
      <c r="AT247" t="s">
        <v>1995</v>
      </c>
      <c r="AU247" t="s">
        <v>1995</v>
      </c>
      <c r="AV247" t="s">
        <v>1995</v>
      </c>
      <c r="AW247" t="s">
        <v>1995</v>
      </c>
      <c r="AX247" t="s">
        <v>1194</v>
      </c>
      <c r="AY247" t="s">
        <v>1996</v>
      </c>
      <c r="AZ247">
        <v>4724</v>
      </c>
      <c r="BA247" t="s">
        <v>1194</v>
      </c>
      <c r="BB247" t="s">
        <v>2014</v>
      </c>
      <c r="BC247" s="3">
        <v>0</v>
      </c>
      <c r="BD247" s="3">
        <v>0</v>
      </c>
      <c r="BE247" s="3">
        <v>10438.44</v>
      </c>
      <c r="BF247" s="3">
        <v>10644.54</v>
      </c>
      <c r="BG247" s="3">
        <v>150</v>
      </c>
      <c r="BH247" s="3">
        <v>0</v>
      </c>
      <c r="BI247" s="3">
        <v>32816</v>
      </c>
      <c r="BJ247" s="3">
        <v>54048.98</v>
      </c>
      <c r="BK247" s="3">
        <v>0</v>
      </c>
      <c r="BL247" s="3">
        <v>54048.98</v>
      </c>
      <c r="BM247" s="2">
        <f t="shared" ca="1" si="7"/>
        <v>1</v>
      </c>
      <c r="BN247" s="3">
        <v>50000</v>
      </c>
      <c r="BO247" s="3">
        <v>2000000</v>
      </c>
      <c r="BP247" s="3">
        <v>100000</v>
      </c>
      <c r="BQ247" s="3">
        <v>500000</v>
      </c>
      <c r="BR247" s="3">
        <v>1000000</v>
      </c>
      <c r="BS247">
        <v>100000</v>
      </c>
      <c r="BT247">
        <v>0</v>
      </c>
      <c r="BU247">
        <v>0</v>
      </c>
      <c r="BV247">
        <v>0</v>
      </c>
      <c r="BW247">
        <v>0</v>
      </c>
      <c r="BX247">
        <v>1</v>
      </c>
      <c r="BY247">
        <v>0</v>
      </c>
      <c r="BZ247" t="s">
        <v>2948</v>
      </c>
      <c r="CA247" t="s">
        <v>1194</v>
      </c>
      <c r="CB247" t="s">
        <v>2941</v>
      </c>
    </row>
    <row r="248" spans="1:80" x14ac:dyDescent="0.25">
      <c r="A248">
        <v>246</v>
      </c>
      <c r="B248" t="s">
        <v>2265</v>
      </c>
      <c r="C248" s="1">
        <v>44835</v>
      </c>
      <c r="D248" s="2">
        <v>30</v>
      </c>
      <c r="E248" t="s">
        <v>4</v>
      </c>
      <c r="F248" t="s">
        <v>1311</v>
      </c>
      <c r="G248">
        <v>1</v>
      </c>
      <c r="H248" s="3">
        <v>2278786</v>
      </c>
      <c r="I248" s="3">
        <v>192874</v>
      </c>
      <c r="J248" s="3">
        <v>0</v>
      </c>
      <c r="K248" s="3">
        <v>0</v>
      </c>
      <c r="L248" s="3" t="s">
        <v>1191</v>
      </c>
      <c r="M248">
        <v>1079619</v>
      </c>
      <c r="N248" t="s">
        <v>525</v>
      </c>
      <c r="P248" t="s">
        <v>155</v>
      </c>
      <c r="Q248" t="s">
        <v>15</v>
      </c>
      <c r="R248">
        <v>33156</v>
      </c>
      <c r="S248" t="s">
        <v>33</v>
      </c>
      <c r="T248" t="s">
        <v>964</v>
      </c>
      <c r="U248">
        <v>1</v>
      </c>
      <c r="V248" t="s">
        <v>1046</v>
      </c>
      <c r="W248" t="s">
        <v>1194</v>
      </c>
      <c r="X248" t="s">
        <v>1309</v>
      </c>
      <c r="Y248">
        <v>10000</v>
      </c>
      <c r="Z248" s="2">
        <v>4.9999868349999996</v>
      </c>
      <c r="AA248" s="2" t="s">
        <v>1238</v>
      </c>
      <c r="AB248" t="s">
        <v>1238</v>
      </c>
      <c r="AC248">
        <v>738</v>
      </c>
      <c r="AD248" t="s">
        <v>1280</v>
      </c>
      <c r="AE248">
        <v>1</v>
      </c>
      <c r="AF248" t="s">
        <v>1291</v>
      </c>
      <c r="AG248">
        <v>0</v>
      </c>
      <c r="AH248">
        <v>0</v>
      </c>
      <c r="AI248">
        <v>0</v>
      </c>
      <c r="AJ248">
        <v>1972</v>
      </c>
      <c r="AK248">
        <v>1994</v>
      </c>
      <c r="AL248">
        <v>2009</v>
      </c>
      <c r="AM248" s="4" t="s">
        <v>1238</v>
      </c>
      <c r="AN248">
        <v>0</v>
      </c>
      <c r="AO248" t="s">
        <v>1317</v>
      </c>
      <c r="AP248">
        <f t="shared" si="6"/>
        <v>0</v>
      </c>
      <c r="AQ248">
        <v>0</v>
      </c>
      <c r="AR248" t="s">
        <v>1993</v>
      </c>
      <c r="AS248" t="s">
        <v>1996</v>
      </c>
      <c r="AT248" t="s">
        <v>1996</v>
      </c>
      <c r="AU248" t="s">
        <v>1995</v>
      </c>
      <c r="AV248" t="s">
        <v>1996</v>
      </c>
      <c r="AW248" t="s">
        <v>1995</v>
      </c>
      <c r="AX248" t="s">
        <v>2007</v>
      </c>
      <c r="AY248" t="s">
        <v>1995</v>
      </c>
      <c r="AZ248">
        <v>3720</v>
      </c>
      <c r="BA248" t="s">
        <v>1194</v>
      </c>
      <c r="BB248" t="s">
        <v>1194</v>
      </c>
      <c r="BC248" s="3">
        <v>8555.1808000000001</v>
      </c>
      <c r="BD248" s="3">
        <v>27267.48</v>
      </c>
      <c r="BE248" s="3">
        <v>0</v>
      </c>
      <c r="BF248" s="3">
        <v>0</v>
      </c>
      <c r="BG248" s="3">
        <v>200</v>
      </c>
      <c r="BH248" s="3">
        <v>0</v>
      </c>
      <c r="BI248" s="3">
        <v>3162</v>
      </c>
      <c r="BJ248" s="3">
        <v>39185</v>
      </c>
      <c r="BK248" s="3">
        <v>777.29</v>
      </c>
      <c r="BL248" s="3">
        <v>39962.29</v>
      </c>
      <c r="BM248" s="2">
        <f t="shared" ca="1" si="7"/>
        <v>4</v>
      </c>
      <c r="BN248" s="3">
        <v>100000</v>
      </c>
      <c r="BO248" s="3">
        <v>50000</v>
      </c>
      <c r="BP248" s="3">
        <v>50000</v>
      </c>
      <c r="BQ248" s="3">
        <v>100000</v>
      </c>
      <c r="BR248" s="3">
        <v>500000</v>
      </c>
      <c r="BS248">
        <v>250000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 t="s">
        <v>2940</v>
      </c>
      <c r="CA248" t="s">
        <v>2939</v>
      </c>
      <c r="CB248" t="s">
        <v>2941</v>
      </c>
    </row>
    <row r="249" spans="1:80" x14ac:dyDescent="0.25">
      <c r="A249">
        <v>247</v>
      </c>
      <c r="B249" t="s">
        <v>2266</v>
      </c>
      <c r="C249" s="1">
        <v>44670</v>
      </c>
      <c r="D249" s="2">
        <v>12</v>
      </c>
      <c r="E249" t="s">
        <v>4</v>
      </c>
      <c r="F249" t="s">
        <v>1311</v>
      </c>
      <c r="G249">
        <v>1</v>
      </c>
      <c r="H249" s="3">
        <v>13000000</v>
      </c>
      <c r="I249" s="3">
        <v>1740000</v>
      </c>
      <c r="J249" s="3">
        <v>0</v>
      </c>
      <c r="K249" s="3">
        <v>0</v>
      </c>
      <c r="L249" s="3" t="s">
        <v>1191</v>
      </c>
      <c r="M249">
        <v>1387685</v>
      </c>
      <c r="N249" t="s">
        <v>526</v>
      </c>
      <c r="P249" t="s">
        <v>527</v>
      </c>
      <c r="Q249" t="s">
        <v>13</v>
      </c>
      <c r="R249">
        <v>2493</v>
      </c>
      <c r="S249" t="s">
        <v>53</v>
      </c>
      <c r="T249" t="s">
        <v>968</v>
      </c>
      <c r="U249">
        <v>0</v>
      </c>
      <c r="V249" t="s">
        <v>1100</v>
      </c>
      <c r="W249" t="s">
        <v>1194</v>
      </c>
      <c r="X249" t="s">
        <v>973</v>
      </c>
      <c r="Y249">
        <v>50000</v>
      </c>
      <c r="Z249" s="2" t="s">
        <v>1194</v>
      </c>
      <c r="AA249" s="2" t="s">
        <v>1238</v>
      </c>
      <c r="AB249" t="s">
        <v>1238</v>
      </c>
      <c r="AC249">
        <v>753</v>
      </c>
      <c r="AD249" t="s">
        <v>1279</v>
      </c>
      <c r="AE249">
        <v>4</v>
      </c>
      <c r="AF249" t="s">
        <v>1290</v>
      </c>
      <c r="AG249">
        <v>0</v>
      </c>
      <c r="AH249">
        <v>0</v>
      </c>
      <c r="AI249">
        <v>0</v>
      </c>
      <c r="AJ249">
        <v>1997</v>
      </c>
      <c r="AK249" t="s">
        <v>1194</v>
      </c>
      <c r="AL249" t="s">
        <v>1194</v>
      </c>
      <c r="AM249" s="4" t="s">
        <v>1238</v>
      </c>
      <c r="AN249">
        <v>0</v>
      </c>
      <c r="AO249" t="s">
        <v>1315</v>
      </c>
      <c r="AP249">
        <f t="shared" si="6"/>
        <v>0</v>
      </c>
      <c r="AQ249">
        <v>0</v>
      </c>
      <c r="AR249" t="s">
        <v>1993</v>
      </c>
      <c r="AS249" t="s">
        <v>1996</v>
      </c>
      <c r="AT249" t="s">
        <v>1995</v>
      </c>
      <c r="AU249" t="s">
        <v>1996</v>
      </c>
      <c r="AV249" t="s">
        <v>1996</v>
      </c>
      <c r="AW249" t="s">
        <v>1996</v>
      </c>
      <c r="AX249" t="s">
        <v>2006</v>
      </c>
      <c r="AY249" t="s">
        <v>1996</v>
      </c>
      <c r="AZ249">
        <v>13000</v>
      </c>
      <c r="BA249" t="s">
        <v>1194</v>
      </c>
      <c r="BB249" t="s">
        <v>1194</v>
      </c>
      <c r="BC249" s="3">
        <v>28859.058000000001</v>
      </c>
      <c r="BD249" s="3">
        <v>6705.18</v>
      </c>
      <c r="BE249" s="3">
        <v>0</v>
      </c>
      <c r="BF249" s="3">
        <v>0</v>
      </c>
      <c r="BG249" s="3">
        <v>0</v>
      </c>
      <c r="BH249" s="3">
        <v>0</v>
      </c>
      <c r="BI249" s="3">
        <v>28396</v>
      </c>
      <c r="BJ249" s="3">
        <v>63960</v>
      </c>
      <c r="BK249" s="3">
        <v>200</v>
      </c>
      <c r="BL249" s="3">
        <v>64160</v>
      </c>
      <c r="BM249" s="2">
        <f t="shared" ca="1" si="7"/>
        <v>5</v>
      </c>
      <c r="BN249" s="3">
        <v>250000</v>
      </c>
      <c r="BO249" s="3">
        <v>1000000</v>
      </c>
      <c r="BP249" s="3">
        <v>50000</v>
      </c>
      <c r="BQ249" s="3">
        <v>2000000</v>
      </c>
      <c r="BR249" s="3">
        <v>250000</v>
      </c>
      <c r="BS249">
        <v>100000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 t="s">
        <v>2942</v>
      </c>
      <c r="CA249" t="s">
        <v>2006</v>
      </c>
      <c r="CB249" t="s">
        <v>2941</v>
      </c>
    </row>
    <row r="250" spans="1:80" x14ac:dyDescent="0.25">
      <c r="A250">
        <v>248</v>
      </c>
      <c r="B250" t="s">
        <v>2267</v>
      </c>
      <c r="C250" s="1">
        <v>44834</v>
      </c>
      <c r="D250" s="2">
        <v>27</v>
      </c>
      <c r="E250" t="s">
        <v>4</v>
      </c>
      <c r="F250" t="s">
        <v>1311</v>
      </c>
      <c r="G250">
        <v>0</v>
      </c>
      <c r="H250" s="3">
        <v>0</v>
      </c>
      <c r="I250" s="3">
        <v>0</v>
      </c>
      <c r="J250" s="3">
        <v>7000000</v>
      </c>
      <c r="K250" s="3">
        <v>0</v>
      </c>
      <c r="L250" s="3" t="s">
        <v>1192</v>
      </c>
      <c r="M250">
        <v>1997642</v>
      </c>
      <c r="N250" t="s">
        <v>528</v>
      </c>
      <c r="P250" t="s">
        <v>29</v>
      </c>
      <c r="Q250" t="s">
        <v>14</v>
      </c>
      <c r="R250">
        <v>10014</v>
      </c>
      <c r="S250" t="s">
        <v>29</v>
      </c>
      <c r="T250" t="s">
        <v>962</v>
      </c>
      <c r="U250">
        <v>0</v>
      </c>
      <c r="V250" t="s">
        <v>997</v>
      </c>
      <c r="W250" t="s">
        <v>1194</v>
      </c>
      <c r="X250" t="s">
        <v>973</v>
      </c>
      <c r="Y250">
        <v>25000</v>
      </c>
      <c r="Z250" s="2">
        <v>2</v>
      </c>
      <c r="AA250" s="2" t="s">
        <v>1238</v>
      </c>
      <c r="AB250" t="s">
        <v>1238</v>
      </c>
      <c r="AC250">
        <v>633</v>
      </c>
      <c r="AD250" t="s">
        <v>1281</v>
      </c>
      <c r="AE250">
        <v>1</v>
      </c>
      <c r="AF250" t="s">
        <v>1290</v>
      </c>
      <c r="AG250">
        <v>0</v>
      </c>
      <c r="AH250">
        <v>0</v>
      </c>
      <c r="AI250">
        <v>0</v>
      </c>
      <c r="AJ250">
        <v>1931</v>
      </c>
      <c r="AK250" t="s">
        <v>1194</v>
      </c>
      <c r="AL250" t="s">
        <v>1194</v>
      </c>
      <c r="AM250" s="4" t="s">
        <v>1238</v>
      </c>
      <c r="AN250">
        <v>1</v>
      </c>
      <c r="AO250" t="s">
        <v>1316</v>
      </c>
      <c r="AP250">
        <f t="shared" si="6"/>
        <v>0</v>
      </c>
      <c r="AQ250">
        <v>1</v>
      </c>
      <c r="AR250" t="s">
        <v>1992</v>
      </c>
      <c r="AS250" t="s">
        <v>1996</v>
      </c>
      <c r="AT250" t="s">
        <v>1995</v>
      </c>
      <c r="AU250" t="s">
        <v>1995</v>
      </c>
      <c r="AV250" t="s">
        <v>1995</v>
      </c>
      <c r="AW250" t="s">
        <v>1996</v>
      </c>
      <c r="AX250" t="s">
        <v>2003</v>
      </c>
      <c r="AY250" t="s">
        <v>1996</v>
      </c>
      <c r="AZ250">
        <v>5000</v>
      </c>
      <c r="BA250" t="s">
        <v>1194</v>
      </c>
      <c r="BB250" t="s">
        <v>1194</v>
      </c>
      <c r="BC250" s="3">
        <v>33897.029199999997</v>
      </c>
      <c r="BD250" s="3">
        <v>6735.51</v>
      </c>
      <c r="BE250" s="3">
        <v>0</v>
      </c>
      <c r="BF250" s="3">
        <v>0</v>
      </c>
      <c r="BG250" s="3">
        <v>0</v>
      </c>
      <c r="BH250" s="3">
        <v>0</v>
      </c>
      <c r="BI250" s="3">
        <v>4867</v>
      </c>
      <c r="BJ250" s="3">
        <v>45500</v>
      </c>
      <c r="BK250" s="3">
        <v>400</v>
      </c>
      <c r="BL250" s="3">
        <v>45900</v>
      </c>
      <c r="BM250" s="2">
        <f t="shared" ca="1" si="7"/>
        <v>1</v>
      </c>
      <c r="BN250" s="3">
        <v>50000</v>
      </c>
      <c r="BO250" s="3">
        <v>1000000</v>
      </c>
      <c r="BP250" s="3">
        <v>50000</v>
      </c>
      <c r="BQ250" s="3">
        <v>2000000</v>
      </c>
      <c r="BR250" s="3">
        <v>500000</v>
      </c>
      <c r="BS250">
        <v>500000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 t="s">
        <v>2942</v>
      </c>
      <c r="CA250" t="s">
        <v>2006</v>
      </c>
      <c r="CB250" t="s">
        <v>2946</v>
      </c>
    </row>
    <row r="251" spans="1:80" x14ac:dyDescent="0.25">
      <c r="A251">
        <v>249</v>
      </c>
      <c r="B251" t="s">
        <v>2268</v>
      </c>
      <c r="C251" s="1">
        <v>44748</v>
      </c>
      <c r="D251" s="2">
        <v>21</v>
      </c>
      <c r="E251" t="s">
        <v>4</v>
      </c>
      <c r="F251" t="s">
        <v>1311</v>
      </c>
      <c r="G251">
        <v>0</v>
      </c>
      <c r="H251" s="3">
        <v>2850000</v>
      </c>
      <c r="I251" s="3">
        <v>450000</v>
      </c>
      <c r="J251" s="3">
        <v>0</v>
      </c>
      <c r="K251" s="3">
        <v>0</v>
      </c>
      <c r="L251" s="3" t="s">
        <v>1191</v>
      </c>
      <c r="M251">
        <v>299469</v>
      </c>
      <c r="N251" t="s">
        <v>529</v>
      </c>
      <c r="P251" t="s">
        <v>253</v>
      </c>
      <c r="Q251" t="s">
        <v>15</v>
      </c>
      <c r="R251">
        <v>33455</v>
      </c>
      <c r="S251" t="s">
        <v>61</v>
      </c>
      <c r="T251" t="s">
        <v>972</v>
      </c>
      <c r="U251">
        <v>0</v>
      </c>
      <c r="V251" t="s">
        <v>1078</v>
      </c>
      <c r="W251" t="s">
        <v>1194</v>
      </c>
      <c r="X251" t="s">
        <v>973</v>
      </c>
      <c r="Y251">
        <v>10000</v>
      </c>
      <c r="Z251" s="2">
        <v>10</v>
      </c>
      <c r="AA251" s="2" t="s">
        <v>1238</v>
      </c>
      <c r="AB251" t="s">
        <v>1238</v>
      </c>
      <c r="AC251">
        <v>712</v>
      </c>
      <c r="AD251" t="s">
        <v>1280</v>
      </c>
      <c r="AE251">
        <v>3</v>
      </c>
      <c r="AF251" t="s">
        <v>1290</v>
      </c>
      <c r="AG251">
        <v>0</v>
      </c>
      <c r="AH251">
        <v>0</v>
      </c>
      <c r="AI251">
        <v>0</v>
      </c>
      <c r="AJ251">
        <v>2012</v>
      </c>
      <c r="AK251" t="s">
        <v>1194</v>
      </c>
      <c r="AL251" t="s">
        <v>1194</v>
      </c>
      <c r="AM251" s="4" t="s">
        <v>1238</v>
      </c>
      <c r="AN251">
        <v>1</v>
      </c>
      <c r="AO251" t="s">
        <v>1316</v>
      </c>
      <c r="AP251">
        <f t="shared" si="6"/>
        <v>0</v>
      </c>
      <c r="AQ251">
        <v>0</v>
      </c>
      <c r="AR251" t="s">
        <v>1993</v>
      </c>
      <c r="AS251" t="s">
        <v>1996</v>
      </c>
      <c r="AT251" t="s">
        <v>1995</v>
      </c>
      <c r="AU251" t="s">
        <v>1996</v>
      </c>
      <c r="AV251" t="s">
        <v>1996</v>
      </c>
      <c r="AW251" t="s">
        <v>1996</v>
      </c>
      <c r="AX251" t="s">
        <v>2007</v>
      </c>
      <c r="AY251" t="s">
        <v>1995</v>
      </c>
      <c r="AZ251">
        <v>4130</v>
      </c>
      <c r="BA251" t="s">
        <v>1194</v>
      </c>
      <c r="BB251" t="s">
        <v>1194</v>
      </c>
      <c r="BC251" s="3">
        <v>6427.8850000000002</v>
      </c>
      <c r="BD251" s="3">
        <v>10557.06</v>
      </c>
      <c r="BE251" s="3">
        <v>0</v>
      </c>
      <c r="BF251" s="3">
        <v>0</v>
      </c>
      <c r="BG251" s="3">
        <v>300</v>
      </c>
      <c r="BH251" s="3">
        <v>0</v>
      </c>
      <c r="BI251" s="3">
        <v>9115</v>
      </c>
      <c r="BJ251" s="3">
        <v>26400</v>
      </c>
      <c r="BK251" s="3">
        <v>100</v>
      </c>
      <c r="BL251" s="3">
        <v>26500</v>
      </c>
      <c r="BM251" s="2">
        <f t="shared" ca="1" si="7"/>
        <v>3</v>
      </c>
      <c r="BN251" s="3">
        <v>100000</v>
      </c>
      <c r="BO251" s="3">
        <v>250000</v>
      </c>
      <c r="BP251" s="3">
        <v>50000</v>
      </c>
      <c r="BQ251" s="3">
        <v>50000</v>
      </c>
      <c r="BR251" s="3">
        <v>1000000</v>
      </c>
      <c r="BS251">
        <v>250000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 t="s">
        <v>2940</v>
      </c>
      <c r="CA251" t="s">
        <v>2939</v>
      </c>
      <c r="CB251" t="s">
        <v>2941</v>
      </c>
    </row>
    <row r="252" spans="1:80" x14ac:dyDescent="0.25">
      <c r="A252">
        <v>250</v>
      </c>
      <c r="B252" t="s">
        <v>2269</v>
      </c>
      <c r="C252" s="1">
        <v>44846</v>
      </c>
      <c r="D252" s="2">
        <v>30</v>
      </c>
      <c r="E252" t="s">
        <v>4</v>
      </c>
      <c r="F252" t="s">
        <v>1311</v>
      </c>
      <c r="G252">
        <v>1</v>
      </c>
      <c r="H252" s="3">
        <v>4000000</v>
      </c>
      <c r="I252" s="3">
        <v>0</v>
      </c>
      <c r="J252" s="3">
        <v>0</v>
      </c>
      <c r="K252" s="3">
        <v>0</v>
      </c>
      <c r="L252" s="3" t="s">
        <v>1191</v>
      </c>
      <c r="M252">
        <v>1985973</v>
      </c>
      <c r="N252" t="s">
        <v>530</v>
      </c>
      <c r="P252" t="s">
        <v>531</v>
      </c>
      <c r="Q252" t="s">
        <v>16</v>
      </c>
      <c r="R252">
        <v>7430</v>
      </c>
      <c r="S252" t="s">
        <v>91</v>
      </c>
      <c r="T252" t="s">
        <v>968</v>
      </c>
      <c r="U252">
        <v>0</v>
      </c>
      <c r="V252" t="s">
        <v>1101</v>
      </c>
      <c r="W252" t="s">
        <v>1194</v>
      </c>
      <c r="X252" t="s">
        <v>973</v>
      </c>
      <c r="Y252">
        <v>50000</v>
      </c>
      <c r="Z252" s="2" t="s">
        <v>1194</v>
      </c>
      <c r="AA252" s="2" t="s">
        <v>1238</v>
      </c>
      <c r="AB252" t="s">
        <v>1238</v>
      </c>
      <c r="AC252">
        <v>768</v>
      </c>
      <c r="AD252" t="s">
        <v>1279</v>
      </c>
      <c r="AE252">
        <v>8</v>
      </c>
      <c r="AF252" t="s">
        <v>1290</v>
      </c>
      <c r="AG252">
        <v>0</v>
      </c>
      <c r="AH252">
        <v>0</v>
      </c>
      <c r="AI252">
        <v>0</v>
      </c>
      <c r="AJ252">
        <v>1780</v>
      </c>
      <c r="AK252">
        <v>2022</v>
      </c>
      <c r="AL252">
        <v>2022</v>
      </c>
      <c r="AM252" s="4" t="s">
        <v>1238</v>
      </c>
      <c r="AN252">
        <v>1</v>
      </c>
      <c r="AO252" t="s">
        <v>1315</v>
      </c>
      <c r="AP252">
        <f t="shared" si="6"/>
        <v>0</v>
      </c>
      <c r="AQ252">
        <v>0</v>
      </c>
      <c r="AR252" t="s">
        <v>1993</v>
      </c>
      <c r="AS252" t="s">
        <v>1996</v>
      </c>
      <c r="AT252" t="s">
        <v>1995</v>
      </c>
      <c r="AU252" t="s">
        <v>1995</v>
      </c>
      <c r="AV252" t="s">
        <v>1995</v>
      </c>
      <c r="AW252" t="s">
        <v>1995</v>
      </c>
      <c r="AX252" t="s">
        <v>2003</v>
      </c>
      <c r="AY252" t="s">
        <v>1996</v>
      </c>
      <c r="AZ252">
        <v>4436</v>
      </c>
      <c r="BA252" t="s">
        <v>1194</v>
      </c>
      <c r="BB252" t="s">
        <v>1194</v>
      </c>
      <c r="BC252" s="3">
        <v>7094.3164999999999</v>
      </c>
      <c r="BD252" s="3">
        <v>836.46</v>
      </c>
      <c r="BE252" s="3">
        <v>0</v>
      </c>
      <c r="BF252" s="3">
        <v>0</v>
      </c>
      <c r="BG252" s="3">
        <v>150</v>
      </c>
      <c r="BH252" s="3">
        <v>0</v>
      </c>
      <c r="BI252" s="3">
        <v>15919</v>
      </c>
      <c r="BJ252" s="3">
        <v>24000</v>
      </c>
      <c r="BK252" s="3">
        <v>0</v>
      </c>
      <c r="BL252" s="3">
        <v>24000</v>
      </c>
      <c r="BM252" s="2">
        <f t="shared" ca="1" si="7"/>
        <v>2</v>
      </c>
      <c r="BN252" s="3">
        <v>100000</v>
      </c>
      <c r="BO252" s="3">
        <v>50000</v>
      </c>
      <c r="BP252" s="3">
        <v>200000</v>
      </c>
      <c r="BQ252" s="3">
        <v>50000</v>
      </c>
      <c r="BR252" s="3">
        <v>50000</v>
      </c>
      <c r="BS252">
        <v>50000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 t="s">
        <v>2942</v>
      </c>
      <c r="CA252" t="s">
        <v>2006</v>
      </c>
      <c r="CB252" t="s">
        <v>2006</v>
      </c>
    </row>
    <row r="253" spans="1:80" x14ac:dyDescent="0.25">
      <c r="A253">
        <v>251</v>
      </c>
      <c r="B253" t="s">
        <v>2270</v>
      </c>
      <c r="C253" s="1">
        <v>44768</v>
      </c>
      <c r="D253" s="2">
        <v>21</v>
      </c>
      <c r="E253" t="s">
        <v>6</v>
      </c>
      <c r="F253" t="s">
        <v>1310</v>
      </c>
      <c r="G253">
        <v>0</v>
      </c>
      <c r="H253" s="3">
        <v>0</v>
      </c>
      <c r="I253" s="3">
        <v>0</v>
      </c>
      <c r="J253" s="3">
        <v>4000000</v>
      </c>
      <c r="K253" s="3">
        <v>0</v>
      </c>
      <c r="L253" s="3" t="s">
        <v>1192</v>
      </c>
      <c r="M253">
        <v>1887949</v>
      </c>
      <c r="N253" t="s">
        <v>532</v>
      </c>
      <c r="O253" t="s">
        <v>533</v>
      </c>
      <c r="P253" t="s">
        <v>29</v>
      </c>
      <c r="Q253" t="s">
        <v>14</v>
      </c>
      <c r="R253">
        <v>10128</v>
      </c>
      <c r="S253" t="s">
        <v>29</v>
      </c>
      <c r="T253" t="s">
        <v>968</v>
      </c>
      <c r="U253">
        <v>0</v>
      </c>
      <c r="V253" t="s">
        <v>1082</v>
      </c>
      <c r="W253" t="s">
        <v>1194</v>
      </c>
      <c r="X253" t="s">
        <v>973</v>
      </c>
      <c r="Y253">
        <v>10000</v>
      </c>
      <c r="Z253" s="2">
        <v>2</v>
      </c>
      <c r="AA253" s="2" t="s">
        <v>1238</v>
      </c>
      <c r="AB253" t="s">
        <v>1238</v>
      </c>
      <c r="AC253">
        <v>727</v>
      </c>
      <c r="AD253" t="s">
        <v>1281</v>
      </c>
      <c r="AE253">
        <v>1</v>
      </c>
      <c r="AF253" t="s">
        <v>1290</v>
      </c>
      <c r="AG253">
        <v>0</v>
      </c>
      <c r="AH253">
        <v>0</v>
      </c>
      <c r="AI253">
        <v>0</v>
      </c>
      <c r="AJ253">
        <v>2019</v>
      </c>
      <c r="AK253" t="s">
        <v>1194</v>
      </c>
      <c r="AL253" t="s">
        <v>1194</v>
      </c>
      <c r="AM253" s="4" t="s">
        <v>1304</v>
      </c>
      <c r="AN253">
        <v>0</v>
      </c>
      <c r="AO253" t="s">
        <v>1315</v>
      </c>
      <c r="AP253">
        <f t="shared" si="6"/>
        <v>0</v>
      </c>
      <c r="AQ253">
        <v>0</v>
      </c>
      <c r="AR253" t="s">
        <v>1993</v>
      </c>
      <c r="AS253" t="s">
        <v>1996</v>
      </c>
      <c r="AT253" t="s">
        <v>1996</v>
      </c>
      <c r="AU253" t="s">
        <v>1996</v>
      </c>
      <c r="AV253" t="s">
        <v>1996</v>
      </c>
      <c r="AW253" t="s">
        <v>1996</v>
      </c>
      <c r="AX253" t="s">
        <v>2006</v>
      </c>
      <c r="AY253" t="s">
        <v>1996</v>
      </c>
      <c r="AZ253">
        <v>3460</v>
      </c>
      <c r="BA253" t="s">
        <v>1194</v>
      </c>
      <c r="BB253" t="s">
        <v>1194</v>
      </c>
      <c r="BC253" s="3">
        <v>11390.295</v>
      </c>
      <c r="BD253" s="3">
        <v>1182.3699999999999</v>
      </c>
      <c r="BE253" s="3">
        <v>0</v>
      </c>
      <c r="BF253" s="3">
        <v>0</v>
      </c>
      <c r="BG253" s="3">
        <v>150</v>
      </c>
      <c r="BH253" s="3">
        <v>0</v>
      </c>
      <c r="BI253" s="3">
        <v>8478</v>
      </c>
      <c r="BJ253" s="3">
        <v>21201</v>
      </c>
      <c r="BK253" s="3">
        <v>150</v>
      </c>
      <c r="BL253" s="3">
        <v>21351</v>
      </c>
      <c r="BM253" s="2">
        <f t="shared" ca="1" si="7"/>
        <v>2</v>
      </c>
      <c r="BN253" s="3" t="s">
        <v>2916</v>
      </c>
      <c r="BO253" s="3">
        <v>25000</v>
      </c>
      <c r="BP253" s="3" t="s">
        <v>2922</v>
      </c>
      <c r="BQ253" s="3">
        <v>1000000</v>
      </c>
      <c r="BR253" s="3">
        <v>50000</v>
      </c>
      <c r="BS253">
        <v>100000</v>
      </c>
      <c r="BT253">
        <v>0</v>
      </c>
      <c r="BU253">
        <v>0</v>
      </c>
      <c r="BV253">
        <v>1</v>
      </c>
      <c r="BW253">
        <v>0</v>
      </c>
      <c r="BX253">
        <v>0</v>
      </c>
      <c r="BY253">
        <v>0</v>
      </c>
      <c r="BZ253" t="s">
        <v>2942</v>
      </c>
      <c r="CA253" t="s">
        <v>2006</v>
      </c>
      <c r="CB253" t="s">
        <v>2946</v>
      </c>
    </row>
    <row r="254" spans="1:80" x14ac:dyDescent="0.25">
      <c r="A254">
        <v>252</v>
      </c>
      <c r="B254" t="s">
        <v>2271</v>
      </c>
      <c r="C254" s="1">
        <v>44830</v>
      </c>
      <c r="D254" s="2">
        <v>27</v>
      </c>
      <c r="E254" t="s">
        <v>4</v>
      </c>
      <c r="F254" t="s">
        <v>1311</v>
      </c>
      <c r="G254">
        <v>0</v>
      </c>
      <c r="H254" s="3">
        <v>5000000</v>
      </c>
      <c r="I254" s="3">
        <v>0</v>
      </c>
      <c r="J254" s="3">
        <v>0</v>
      </c>
      <c r="K254" s="3">
        <v>0</v>
      </c>
      <c r="L254" s="3" t="s">
        <v>1191</v>
      </c>
      <c r="M254">
        <v>1232177</v>
      </c>
      <c r="N254" t="s">
        <v>534</v>
      </c>
      <c r="P254" t="s">
        <v>535</v>
      </c>
      <c r="Q254" t="s">
        <v>14</v>
      </c>
      <c r="R254">
        <v>11598</v>
      </c>
      <c r="S254" t="s">
        <v>38</v>
      </c>
      <c r="T254" t="s">
        <v>962</v>
      </c>
      <c r="U254">
        <v>0</v>
      </c>
      <c r="V254" t="s">
        <v>1102</v>
      </c>
      <c r="W254" t="s">
        <v>1194</v>
      </c>
      <c r="X254" t="s">
        <v>973</v>
      </c>
      <c r="Y254">
        <v>25000</v>
      </c>
      <c r="Z254" s="2">
        <v>1</v>
      </c>
      <c r="AA254" s="2" t="s">
        <v>1238</v>
      </c>
      <c r="AB254" t="s">
        <v>1238</v>
      </c>
      <c r="AC254">
        <v>719</v>
      </c>
      <c r="AD254" t="s">
        <v>1279</v>
      </c>
      <c r="AE254">
        <v>3</v>
      </c>
      <c r="AF254" t="s">
        <v>1291</v>
      </c>
      <c r="AG254">
        <v>0</v>
      </c>
      <c r="AH254">
        <v>0</v>
      </c>
      <c r="AI254">
        <v>0</v>
      </c>
      <c r="AJ254">
        <v>2019</v>
      </c>
      <c r="AK254" t="s">
        <v>1194</v>
      </c>
      <c r="AL254" t="s">
        <v>1194</v>
      </c>
      <c r="AM254" s="4" t="s">
        <v>1238</v>
      </c>
      <c r="AN254">
        <v>0</v>
      </c>
      <c r="AO254" t="s">
        <v>1315</v>
      </c>
      <c r="AP254">
        <f t="shared" si="6"/>
        <v>0</v>
      </c>
      <c r="AQ254">
        <v>1</v>
      </c>
      <c r="AR254" t="s">
        <v>1992</v>
      </c>
      <c r="AS254" t="s">
        <v>1996</v>
      </c>
      <c r="AT254" t="s">
        <v>1996</v>
      </c>
      <c r="AU254" t="s">
        <v>1996</v>
      </c>
      <c r="AV254" t="s">
        <v>1996</v>
      </c>
      <c r="AW254" t="s">
        <v>1995</v>
      </c>
      <c r="AX254" t="s">
        <v>2006</v>
      </c>
      <c r="AY254" t="s">
        <v>1996</v>
      </c>
      <c r="AZ254">
        <v>9500</v>
      </c>
      <c r="BA254" t="s">
        <v>1194</v>
      </c>
      <c r="BB254" t="s">
        <v>1194</v>
      </c>
      <c r="BC254" s="3">
        <v>15572.6731</v>
      </c>
      <c r="BD254" s="3">
        <v>3656.3</v>
      </c>
      <c r="BE254" s="3">
        <v>0</v>
      </c>
      <c r="BF254" s="3">
        <v>0</v>
      </c>
      <c r="BG254" s="3">
        <v>150</v>
      </c>
      <c r="BH254" s="3">
        <v>0</v>
      </c>
      <c r="BI254" s="3">
        <v>11621</v>
      </c>
      <c r="BJ254" s="3">
        <v>31000</v>
      </c>
      <c r="BK254" s="3">
        <v>0</v>
      </c>
      <c r="BL254" s="3">
        <v>31000</v>
      </c>
      <c r="BM254" s="2">
        <f t="shared" ca="1" si="7"/>
        <v>1</v>
      </c>
      <c r="BN254" s="3">
        <v>100000</v>
      </c>
      <c r="BO254" s="3">
        <v>50000</v>
      </c>
      <c r="BP254" s="3">
        <v>100000</v>
      </c>
      <c r="BQ254" s="3">
        <v>500000</v>
      </c>
      <c r="BR254" s="3">
        <v>500000</v>
      </c>
      <c r="BS254">
        <v>50000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 t="s">
        <v>2938</v>
      </c>
      <c r="CA254" t="s">
        <v>2939</v>
      </c>
      <c r="CB254" t="s">
        <v>2945</v>
      </c>
    </row>
    <row r="255" spans="1:80" x14ac:dyDescent="0.25">
      <c r="A255">
        <v>253</v>
      </c>
      <c r="B255" t="s">
        <v>2272</v>
      </c>
      <c r="C255" s="1">
        <v>44799</v>
      </c>
      <c r="D255" s="2">
        <v>24</v>
      </c>
      <c r="E255" t="s">
        <v>5</v>
      </c>
      <c r="F255" t="s">
        <v>1310</v>
      </c>
      <c r="G255">
        <v>0</v>
      </c>
      <c r="H255" s="3">
        <v>10000000</v>
      </c>
      <c r="I255" s="3">
        <v>0</v>
      </c>
      <c r="J255" s="3">
        <v>0</v>
      </c>
      <c r="K255" s="3">
        <v>0</v>
      </c>
      <c r="L255" s="3" t="s">
        <v>1191</v>
      </c>
      <c r="M255">
        <v>1766247</v>
      </c>
      <c r="N255" t="s">
        <v>536</v>
      </c>
      <c r="P255" t="s">
        <v>537</v>
      </c>
      <c r="Q255" t="s">
        <v>14</v>
      </c>
      <c r="R255">
        <v>10538</v>
      </c>
      <c r="S255" t="s">
        <v>36</v>
      </c>
      <c r="T255" t="s">
        <v>970</v>
      </c>
      <c r="U255">
        <v>1</v>
      </c>
      <c r="V255" t="s">
        <v>1103</v>
      </c>
      <c r="W255" t="s">
        <v>1194</v>
      </c>
      <c r="X255" t="s">
        <v>1309</v>
      </c>
      <c r="Y255">
        <v>25000</v>
      </c>
      <c r="Z255" s="2">
        <v>2</v>
      </c>
      <c r="AA255" s="2" t="s">
        <v>1238</v>
      </c>
      <c r="AB255" t="s">
        <v>1238</v>
      </c>
      <c r="AC255">
        <v>639</v>
      </c>
      <c r="AD255" t="s">
        <v>1279</v>
      </c>
      <c r="AE255">
        <v>2</v>
      </c>
      <c r="AF255" t="s">
        <v>1290</v>
      </c>
      <c r="AG255">
        <v>0</v>
      </c>
      <c r="AH255">
        <v>0</v>
      </c>
      <c r="AI255">
        <v>0</v>
      </c>
      <c r="AJ255">
        <v>1892</v>
      </c>
      <c r="AK255">
        <v>2005</v>
      </c>
      <c r="AL255">
        <v>2010</v>
      </c>
      <c r="AM255" s="4" t="s">
        <v>1305</v>
      </c>
      <c r="AN255">
        <v>1</v>
      </c>
      <c r="AO255" t="s">
        <v>1317</v>
      </c>
      <c r="AP255">
        <f t="shared" si="6"/>
        <v>0</v>
      </c>
      <c r="AQ255">
        <v>0</v>
      </c>
      <c r="AR255" t="s">
        <v>1993</v>
      </c>
      <c r="AS255" t="s">
        <v>1995</v>
      </c>
      <c r="AT255" t="s">
        <v>1996</v>
      </c>
      <c r="AU255" t="s">
        <v>1996</v>
      </c>
      <c r="AV255" t="s">
        <v>1995</v>
      </c>
      <c r="AW255" t="s">
        <v>1996</v>
      </c>
      <c r="AX255" t="s">
        <v>2006</v>
      </c>
      <c r="AY255" t="s">
        <v>1996</v>
      </c>
      <c r="AZ255">
        <v>6943</v>
      </c>
      <c r="BA255" t="s">
        <v>1194</v>
      </c>
      <c r="BB255" t="s">
        <v>1194</v>
      </c>
      <c r="BC255" s="3">
        <v>20318.7991</v>
      </c>
      <c r="BD255" s="3">
        <v>14182.29</v>
      </c>
      <c r="BE255" s="3">
        <v>0</v>
      </c>
      <c r="BF255" s="3">
        <v>0</v>
      </c>
      <c r="BG255" s="3">
        <v>150</v>
      </c>
      <c r="BH255" s="3">
        <v>0</v>
      </c>
      <c r="BI255" s="3">
        <v>22699</v>
      </c>
      <c r="BJ255" s="3">
        <v>57350</v>
      </c>
      <c r="BK255" s="3">
        <v>875</v>
      </c>
      <c r="BL255" s="3">
        <v>58225</v>
      </c>
      <c r="BM255" s="2">
        <f t="shared" ca="1" si="7"/>
        <v>3</v>
      </c>
      <c r="BN255" s="3">
        <v>50000</v>
      </c>
      <c r="BO255" s="3">
        <v>250000</v>
      </c>
      <c r="BP255" s="3">
        <v>200000</v>
      </c>
      <c r="BQ255" s="3">
        <v>100000</v>
      </c>
      <c r="BR255" s="3">
        <v>50000</v>
      </c>
      <c r="BS255">
        <v>100000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 t="s">
        <v>2006</v>
      </c>
      <c r="CA255" t="s">
        <v>2006</v>
      </c>
      <c r="CB255" t="s">
        <v>2941</v>
      </c>
    </row>
    <row r="256" spans="1:80" x14ac:dyDescent="0.25">
      <c r="A256">
        <v>254</v>
      </c>
      <c r="B256" t="s">
        <v>2273</v>
      </c>
      <c r="C256" s="1">
        <v>44943</v>
      </c>
      <c r="D256" s="2">
        <v>3</v>
      </c>
      <c r="E256" t="s">
        <v>4</v>
      </c>
      <c r="F256" t="s">
        <v>1310</v>
      </c>
      <c r="G256">
        <v>0</v>
      </c>
      <c r="H256" s="3">
        <v>1100000</v>
      </c>
      <c r="I256" s="3">
        <v>220000</v>
      </c>
      <c r="J256" s="3">
        <v>0</v>
      </c>
      <c r="K256" s="3">
        <v>0</v>
      </c>
      <c r="L256" s="3" t="s">
        <v>1191</v>
      </c>
      <c r="M256">
        <v>1857849</v>
      </c>
      <c r="N256" t="s">
        <v>538</v>
      </c>
      <c r="P256" t="s">
        <v>539</v>
      </c>
      <c r="Q256" t="s">
        <v>16</v>
      </c>
      <c r="R256">
        <v>7826</v>
      </c>
      <c r="S256" t="s">
        <v>92</v>
      </c>
      <c r="T256" t="s">
        <v>973</v>
      </c>
      <c r="U256">
        <v>0</v>
      </c>
      <c r="V256" t="s">
        <v>1104</v>
      </c>
      <c r="W256" t="s">
        <v>1194</v>
      </c>
      <c r="X256" t="s">
        <v>973</v>
      </c>
      <c r="Y256">
        <v>5000</v>
      </c>
      <c r="Z256" s="2" t="s">
        <v>1194</v>
      </c>
      <c r="AA256" s="2" t="s">
        <v>1238</v>
      </c>
      <c r="AB256" t="s">
        <v>1238</v>
      </c>
      <c r="AC256">
        <v>898</v>
      </c>
      <c r="AD256" t="s">
        <v>1279</v>
      </c>
      <c r="AE256">
        <v>7</v>
      </c>
      <c r="AF256" t="s">
        <v>1290</v>
      </c>
      <c r="AG256">
        <v>0</v>
      </c>
      <c r="AH256">
        <v>0</v>
      </c>
      <c r="AI256">
        <v>0</v>
      </c>
      <c r="AJ256">
        <v>2022</v>
      </c>
      <c r="AK256" t="s">
        <v>1194</v>
      </c>
      <c r="AL256" t="s">
        <v>1194</v>
      </c>
      <c r="AM256" s="4" t="s">
        <v>1304</v>
      </c>
      <c r="AN256">
        <v>1</v>
      </c>
      <c r="AO256" t="s">
        <v>1316</v>
      </c>
      <c r="AP256">
        <f t="shared" si="6"/>
        <v>0</v>
      </c>
      <c r="AQ256">
        <v>1</v>
      </c>
      <c r="AR256" t="s">
        <v>1992</v>
      </c>
      <c r="AS256" t="s">
        <v>1995</v>
      </c>
      <c r="AT256" t="s">
        <v>1995</v>
      </c>
      <c r="AU256" t="s">
        <v>1996</v>
      </c>
      <c r="AV256" t="s">
        <v>1996</v>
      </c>
      <c r="AW256" t="s">
        <v>1995</v>
      </c>
      <c r="AX256" t="s">
        <v>2006</v>
      </c>
      <c r="AY256" t="s">
        <v>1996</v>
      </c>
      <c r="AZ256">
        <v>1423</v>
      </c>
      <c r="BA256" t="s">
        <v>1194</v>
      </c>
      <c r="BB256" t="s">
        <v>1194</v>
      </c>
      <c r="BC256" s="3">
        <v>3207.8042</v>
      </c>
      <c r="BD256" s="3">
        <v>155.22</v>
      </c>
      <c r="BE256" s="3">
        <v>0</v>
      </c>
      <c r="BF256" s="3">
        <v>0</v>
      </c>
      <c r="BG256" s="3">
        <v>150</v>
      </c>
      <c r="BH256" s="3">
        <v>0</v>
      </c>
      <c r="BI256" s="3">
        <v>3040</v>
      </c>
      <c r="BJ256" s="3">
        <v>6553</v>
      </c>
      <c r="BK256" s="3">
        <v>0</v>
      </c>
      <c r="BL256" s="3">
        <v>6553</v>
      </c>
      <c r="BM256" s="2">
        <f t="shared" ca="1" si="7"/>
        <v>4</v>
      </c>
      <c r="BN256" s="3">
        <v>50000</v>
      </c>
      <c r="BO256" s="3">
        <v>500000</v>
      </c>
      <c r="BP256" s="3">
        <v>50000</v>
      </c>
      <c r="BQ256" s="3">
        <v>250000</v>
      </c>
      <c r="BR256" s="3">
        <v>500000</v>
      </c>
      <c r="BS256">
        <v>50000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 t="s">
        <v>2006</v>
      </c>
      <c r="CA256" t="s">
        <v>2006</v>
      </c>
      <c r="CB256" t="s">
        <v>2006</v>
      </c>
    </row>
    <row r="257" spans="1:80" x14ac:dyDescent="0.25">
      <c r="A257">
        <v>255</v>
      </c>
      <c r="B257" t="s">
        <v>2274</v>
      </c>
      <c r="C257" s="1">
        <v>44786</v>
      </c>
      <c r="D257" s="2">
        <v>24</v>
      </c>
      <c r="E257" t="s">
        <v>4</v>
      </c>
      <c r="F257" t="s">
        <v>1311</v>
      </c>
      <c r="G257">
        <v>0</v>
      </c>
      <c r="H257" s="3">
        <v>2500000</v>
      </c>
      <c r="I257" s="3">
        <v>350000</v>
      </c>
      <c r="J257" s="3">
        <v>0</v>
      </c>
      <c r="K257" s="3">
        <v>0</v>
      </c>
      <c r="L257" s="3" t="s">
        <v>1191</v>
      </c>
      <c r="M257">
        <v>1735843</v>
      </c>
      <c r="N257" t="s">
        <v>540</v>
      </c>
      <c r="P257" t="s">
        <v>541</v>
      </c>
      <c r="Q257" t="s">
        <v>18</v>
      </c>
      <c r="R257">
        <v>78746</v>
      </c>
      <c r="S257" t="s">
        <v>39</v>
      </c>
      <c r="T257" t="s">
        <v>973</v>
      </c>
      <c r="U257">
        <v>0</v>
      </c>
      <c r="V257">
        <v>1000</v>
      </c>
      <c r="W257" t="s">
        <v>1195</v>
      </c>
      <c r="X257" t="s">
        <v>973</v>
      </c>
      <c r="Y257">
        <v>10000</v>
      </c>
      <c r="Z257" s="2" t="s">
        <v>1194</v>
      </c>
      <c r="AA257" s="2">
        <v>0</v>
      </c>
      <c r="AB257" t="s">
        <v>1238</v>
      </c>
      <c r="AC257">
        <v>817</v>
      </c>
      <c r="AD257" t="s">
        <v>1279</v>
      </c>
      <c r="AE257">
        <v>3</v>
      </c>
      <c r="AF257" t="s">
        <v>1290</v>
      </c>
      <c r="AG257">
        <v>0</v>
      </c>
      <c r="AH257">
        <v>0</v>
      </c>
      <c r="AI257">
        <v>0</v>
      </c>
      <c r="AJ257">
        <v>2021</v>
      </c>
      <c r="AK257" t="s">
        <v>1194</v>
      </c>
      <c r="AL257" t="s">
        <v>1194</v>
      </c>
      <c r="AM257" s="4" t="s">
        <v>1238</v>
      </c>
      <c r="AN257">
        <v>1</v>
      </c>
      <c r="AO257" t="s">
        <v>1315</v>
      </c>
      <c r="AP257">
        <f t="shared" si="6"/>
        <v>0</v>
      </c>
      <c r="AQ257">
        <v>1</v>
      </c>
      <c r="AR257" t="s">
        <v>1992</v>
      </c>
      <c r="AS257" t="s">
        <v>1996</v>
      </c>
      <c r="AT257" t="s">
        <v>1995</v>
      </c>
      <c r="AU257" t="s">
        <v>1995</v>
      </c>
      <c r="AV257" t="s">
        <v>1996</v>
      </c>
      <c r="AW257" t="s">
        <v>1995</v>
      </c>
      <c r="AX257" t="s">
        <v>2006</v>
      </c>
      <c r="AY257" t="s">
        <v>1996</v>
      </c>
      <c r="AZ257">
        <v>5843</v>
      </c>
      <c r="BA257" t="s">
        <v>1194</v>
      </c>
      <c r="BB257" t="s">
        <v>1194</v>
      </c>
      <c r="BC257" s="3">
        <v>7292.9816000000001</v>
      </c>
      <c r="BD257" s="3">
        <v>2093.5700000000002</v>
      </c>
      <c r="BE257" s="3">
        <v>0</v>
      </c>
      <c r="BF257" s="3">
        <v>0</v>
      </c>
      <c r="BG257" s="3">
        <v>120</v>
      </c>
      <c r="BH257" s="3">
        <v>0</v>
      </c>
      <c r="BI257" s="3">
        <v>5313.45</v>
      </c>
      <c r="BJ257" s="3">
        <v>14820</v>
      </c>
      <c r="BK257" s="3">
        <v>0</v>
      </c>
      <c r="BL257" s="3">
        <v>14820</v>
      </c>
      <c r="BM257" s="2">
        <f t="shared" ca="1" si="7"/>
        <v>1</v>
      </c>
      <c r="BN257" s="3" t="s">
        <v>2916</v>
      </c>
      <c r="BO257" s="3">
        <v>1000000</v>
      </c>
      <c r="BP257" s="3">
        <v>50000</v>
      </c>
      <c r="BQ257" s="3">
        <v>1000000</v>
      </c>
      <c r="BR257" s="3">
        <v>100000</v>
      </c>
      <c r="BS257">
        <v>1000000</v>
      </c>
      <c r="BT257">
        <v>0</v>
      </c>
      <c r="BU257">
        <v>0</v>
      </c>
      <c r="BV257">
        <v>1</v>
      </c>
      <c r="BW257">
        <v>0</v>
      </c>
      <c r="BX257">
        <v>0</v>
      </c>
      <c r="BY257">
        <v>0</v>
      </c>
      <c r="BZ257" t="s">
        <v>2942</v>
      </c>
      <c r="CA257" t="s">
        <v>2006</v>
      </c>
      <c r="CB257" t="s">
        <v>2945</v>
      </c>
    </row>
    <row r="258" spans="1:80" x14ac:dyDescent="0.25">
      <c r="A258">
        <v>256</v>
      </c>
      <c r="B258" t="s">
        <v>2275</v>
      </c>
      <c r="C258" s="1">
        <v>44851</v>
      </c>
      <c r="D258" s="2">
        <v>30</v>
      </c>
      <c r="E258" t="s">
        <v>4</v>
      </c>
      <c r="F258" t="s">
        <v>1311</v>
      </c>
      <c r="G258">
        <v>0</v>
      </c>
      <c r="H258" s="3">
        <v>20000000</v>
      </c>
      <c r="I258" s="3">
        <v>0</v>
      </c>
      <c r="J258" s="3">
        <v>0</v>
      </c>
      <c r="K258" s="3">
        <v>0</v>
      </c>
      <c r="L258" s="3" t="s">
        <v>1191</v>
      </c>
      <c r="M258">
        <v>1986253</v>
      </c>
      <c r="N258" t="s">
        <v>542</v>
      </c>
      <c r="P258" t="s">
        <v>29</v>
      </c>
      <c r="Q258" t="s">
        <v>14</v>
      </c>
      <c r="R258">
        <v>10014</v>
      </c>
      <c r="S258" t="s">
        <v>29</v>
      </c>
      <c r="T258" t="s">
        <v>962</v>
      </c>
      <c r="U258">
        <v>0</v>
      </c>
      <c r="V258" t="s">
        <v>997</v>
      </c>
      <c r="W258" t="s">
        <v>1194</v>
      </c>
      <c r="X258" t="s">
        <v>973</v>
      </c>
      <c r="Y258">
        <v>50000</v>
      </c>
      <c r="Z258" s="2">
        <v>1</v>
      </c>
      <c r="AA258" s="2" t="s">
        <v>1238</v>
      </c>
      <c r="AB258" t="s">
        <v>1238</v>
      </c>
      <c r="AC258">
        <v>842</v>
      </c>
      <c r="AD258" t="s">
        <v>1283</v>
      </c>
      <c r="AE258">
        <v>1</v>
      </c>
      <c r="AF258" t="s">
        <v>1290</v>
      </c>
      <c r="AG258">
        <v>0</v>
      </c>
      <c r="AH258">
        <v>0</v>
      </c>
      <c r="AI258">
        <v>0</v>
      </c>
      <c r="AJ258">
        <v>1901</v>
      </c>
      <c r="AK258">
        <v>2022</v>
      </c>
      <c r="AL258">
        <v>2008</v>
      </c>
      <c r="AM258" s="4" t="s">
        <v>1238</v>
      </c>
      <c r="AN258">
        <v>0</v>
      </c>
      <c r="AO258" t="s">
        <v>1315</v>
      </c>
      <c r="AP258">
        <f t="shared" si="6"/>
        <v>0</v>
      </c>
      <c r="AQ258">
        <v>0</v>
      </c>
      <c r="AR258" t="s">
        <v>1993</v>
      </c>
      <c r="AS258" t="s">
        <v>1996</v>
      </c>
      <c r="AT258" t="s">
        <v>1995</v>
      </c>
      <c r="AU258" t="s">
        <v>1996</v>
      </c>
      <c r="AV258" t="s">
        <v>1996</v>
      </c>
      <c r="AW258" t="s">
        <v>1996</v>
      </c>
      <c r="AX258" t="s">
        <v>2006</v>
      </c>
      <c r="AY258" t="s">
        <v>1996</v>
      </c>
      <c r="AZ258">
        <v>8019</v>
      </c>
      <c r="BA258" t="s">
        <v>1194</v>
      </c>
      <c r="BB258" t="s">
        <v>1194</v>
      </c>
      <c r="BC258" s="3">
        <v>46560.314400000003</v>
      </c>
      <c r="BD258" s="3">
        <v>12132.98</v>
      </c>
      <c r="BE258" s="3">
        <v>0</v>
      </c>
      <c r="BF258" s="3">
        <v>0</v>
      </c>
      <c r="BG258" s="3">
        <v>150</v>
      </c>
      <c r="BH258" s="3">
        <v>0</v>
      </c>
      <c r="BI258" s="3">
        <v>77400</v>
      </c>
      <c r="BJ258" s="3">
        <v>136243</v>
      </c>
      <c r="BK258" s="3">
        <v>0</v>
      </c>
      <c r="BL258" s="3">
        <v>136243</v>
      </c>
      <c r="BM258" s="2">
        <f t="shared" ca="1" si="7"/>
        <v>5</v>
      </c>
      <c r="BN258" s="3">
        <v>2000000</v>
      </c>
      <c r="BO258" s="3">
        <v>1000000</v>
      </c>
      <c r="BP258" s="3" t="s">
        <v>2922</v>
      </c>
      <c r="BQ258" s="3">
        <v>100000</v>
      </c>
      <c r="BR258" s="3">
        <v>100000</v>
      </c>
      <c r="BS258">
        <v>1000000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 t="s">
        <v>2006</v>
      </c>
      <c r="CA258" t="s">
        <v>2006</v>
      </c>
      <c r="CB258" t="s">
        <v>2946</v>
      </c>
    </row>
    <row r="259" spans="1:80" x14ac:dyDescent="0.25">
      <c r="A259">
        <v>257</v>
      </c>
      <c r="B259" t="s">
        <v>2276</v>
      </c>
      <c r="C259" s="1">
        <v>44876</v>
      </c>
      <c r="D259" s="2">
        <v>33</v>
      </c>
      <c r="E259" t="s">
        <v>4</v>
      </c>
      <c r="F259" t="s">
        <v>1311</v>
      </c>
      <c r="G259">
        <v>0</v>
      </c>
      <c r="H259" s="3">
        <v>25500000</v>
      </c>
      <c r="I259" s="3">
        <v>0</v>
      </c>
      <c r="J259" s="3">
        <v>0</v>
      </c>
      <c r="K259" s="3">
        <v>0</v>
      </c>
      <c r="L259" s="3" t="s">
        <v>1191</v>
      </c>
      <c r="M259">
        <v>1909716</v>
      </c>
      <c r="N259" t="s">
        <v>543</v>
      </c>
      <c r="P259" t="s">
        <v>193</v>
      </c>
      <c r="Q259" t="s">
        <v>14</v>
      </c>
      <c r="R259">
        <v>11968</v>
      </c>
      <c r="S259" t="s">
        <v>26</v>
      </c>
      <c r="T259" t="s">
        <v>963</v>
      </c>
      <c r="U259">
        <v>0</v>
      </c>
      <c r="V259" t="s">
        <v>1015</v>
      </c>
      <c r="W259" t="s">
        <v>1194</v>
      </c>
      <c r="X259" t="s">
        <v>973</v>
      </c>
      <c r="Y259">
        <v>50000</v>
      </c>
      <c r="Z259" s="2">
        <v>2</v>
      </c>
      <c r="AA259" s="2" t="s">
        <v>1238</v>
      </c>
      <c r="AB259" t="s">
        <v>1238</v>
      </c>
      <c r="AC259">
        <v>842</v>
      </c>
      <c r="AD259" t="s">
        <v>1284</v>
      </c>
      <c r="AE259">
        <v>3</v>
      </c>
      <c r="AF259" t="s">
        <v>1290</v>
      </c>
      <c r="AG259">
        <v>0</v>
      </c>
      <c r="AH259">
        <v>0</v>
      </c>
      <c r="AI259">
        <v>0</v>
      </c>
      <c r="AJ259">
        <v>1910</v>
      </c>
      <c r="AK259">
        <v>2019</v>
      </c>
      <c r="AL259">
        <v>2019</v>
      </c>
      <c r="AM259" s="4" t="s">
        <v>1238</v>
      </c>
      <c r="AN259">
        <v>0</v>
      </c>
      <c r="AO259" t="s">
        <v>1317</v>
      </c>
      <c r="AP259">
        <f t="shared" si="6"/>
        <v>0</v>
      </c>
      <c r="AQ259">
        <v>1</v>
      </c>
      <c r="AR259" t="s">
        <v>1992</v>
      </c>
      <c r="AS259" t="s">
        <v>1995</v>
      </c>
      <c r="AT259" t="s">
        <v>1996</v>
      </c>
      <c r="AU259" t="s">
        <v>1995</v>
      </c>
      <c r="AV259" t="s">
        <v>1996</v>
      </c>
      <c r="AW259" t="s">
        <v>1996</v>
      </c>
      <c r="AX259" t="s">
        <v>2006</v>
      </c>
      <c r="AY259" t="s">
        <v>1996</v>
      </c>
      <c r="AZ259">
        <v>17500</v>
      </c>
      <c r="BA259" t="s">
        <v>1194</v>
      </c>
      <c r="BB259" t="s">
        <v>1194</v>
      </c>
      <c r="BC259" s="3">
        <v>42279.625399999997</v>
      </c>
      <c r="BD259" s="3">
        <v>63734.94</v>
      </c>
      <c r="BE259" s="3">
        <v>0</v>
      </c>
      <c r="BF259" s="3">
        <v>0</v>
      </c>
      <c r="BG259" s="3">
        <v>150</v>
      </c>
      <c r="BH259" s="3">
        <v>0</v>
      </c>
      <c r="BI259" s="3">
        <v>63585</v>
      </c>
      <c r="BJ259" s="3">
        <v>169750</v>
      </c>
      <c r="BK259" s="3">
        <v>0</v>
      </c>
      <c r="BL259" s="3">
        <v>169750</v>
      </c>
      <c r="BM259" s="2">
        <f t="shared" ca="1" si="7"/>
        <v>1</v>
      </c>
      <c r="BN259" s="3">
        <v>500000</v>
      </c>
      <c r="BO259" s="3">
        <v>50000</v>
      </c>
      <c r="BP259" s="3">
        <v>50000</v>
      </c>
      <c r="BQ259" s="3">
        <v>25000</v>
      </c>
      <c r="BR259" s="3">
        <v>1000000</v>
      </c>
      <c r="BS259">
        <v>50000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 t="s">
        <v>2947</v>
      </c>
      <c r="CA259" t="s">
        <v>2006</v>
      </c>
      <c r="CB259" t="s">
        <v>2946</v>
      </c>
    </row>
    <row r="260" spans="1:80" x14ac:dyDescent="0.25">
      <c r="A260">
        <v>258</v>
      </c>
      <c r="B260" t="s">
        <v>2277</v>
      </c>
      <c r="C260" s="1">
        <v>44798</v>
      </c>
      <c r="D260" s="2">
        <v>24</v>
      </c>
      <c r="E260" t="s">
        <v>4</v>
      </c>
      <c r="F260" t="s">
        <v>1311</v>
      </c>
      <c r="G260">
        <v>0</v>
      </c>
      <c r="H260" s="3">
        <v>4500000</v>
      </c>
      <c r="I260" s="3">
        <v>2500000</v>
      </c>
      <c r="J260" s="3">
        <v>0</v>
      </c>
      <c r="K260" s="3">
        <v>0</v>
      </c>
      <c r="L260" s="3" t="s">
        <v>1191</v>
      </c>
      <c r="M260">
        <v>16533</v>
      </c>
      <c r="N260" t="s">
        <v>544</v>
      </c>
      <c r="P260" t="s">
        <v>308</v>
      </c>
      <c r="Q260" t="s">
        <v>13</v>
      </c>
      <c r="R260">
        <v>2655</v>
      </c>
      <c r="S260" t="s">
        <v>51</v>
      </c>
      <c r="T260" t="s">
        <v>963</v>
      </c>
      <c r="U260">
        <v>0</v>
      </c>
      <c r="V260" t="s">
        <v>1105</v>
      </c>
      <c r="W260" t="s">
        <v>1194</v>
      </c>
      <c r="X260" t="s">
        <v>973</v>
      </c>
      <c r="Y260">
        <v>10000</v>
      </c>
      <c r="Z260" s="2">
        <v>2</v>
      </c>
      <c r="AA260" s="2" t="s">
        <v>1238</v>
      </c>
      <c r="AB260" t="s">
        <v>1238</v>
      </c>
      <c r="AC260">
        <v>762</v>
      </c>
      <c r="AD260" t="s">
        <v>1279</v>
      </c>
      <c r="AE260">
        <v>2</v>
      </c>
      <c r="AF260" t="s">
        <v>1290</v>
      </c>
      <c r="AG260">
        <v>0</v>
      </c>
      <c r="AH260">
        <v>0</v>
      </c>
      <c r="AI260">
        <v>0</v>
      </c>
      <c r="AJ260">
        <v>2021</v>
      </c>
      <c r="AK260" t="s">
        <v>1194</v>
      </c>
      <c r="AL260" t="s">
        <v>1194</v>
      </c>
      <c r="AM260" s="4" t="s">
        <v>1238</v>
      </c>
      <c r="AN260">
        <v>0</v>
      </c>
      <c r="AO260" t="s">
        <v>1315</v>
      </c>
      <c r="AP260">
        <f t="shared" ref="AP260:AP323" si="8">AI260</f>
        <v>0</v>
      </c>
      <c r="AQ260">
        <v>0</v>
      </c>
      <c r="AR260" t="s">
        <v>1993</v>
      </c>
      <c r="AS260" t="s">
        <v>1995</v>
      </c>
      <c r="AT260" t="s">
        <v>1995</v>
      </c>
      <c r="AU260" t="s">
        <v>1995</v>
      </c>
      <c r="AV260" t="s">
        <v>1996</v>
      </c>
      <c r="AW260" t="s">
        <v>1995</v>
      </c>
      <c r="AX260" t="s">
        <v>2006</v>
      </c>
      <c r="AY260" t="s">
        <v>1996</v>
      </c>
      <c r="AZ260">
        <v>6100</v>
      </c>
      <c r="BA260" t="s">
        <v>1194</v>
      </c>
      <c r="BB260" t="s">
        <v>1194</v>
      </c>
      <c r="BC260" s="3">
        <v>11612.0344</v>
      </c>
      <c r="BD260" s="3">
        <v>8044.69</v>
      </c>
      <c r="BE260" s="3">
        <v>0</v>
      </c>
      <c r="BF260" s="3">
        <v>0</v>
      </c>
      <c r="BG260" s="3">
        <v>150</v>
      </c>
      <c r="BH260" s="3">
        <v>0</v>
      </c>
      <c r="BI260" s="3">
        <v>10993</v>
      </c>
      <c r="BJ260" s="3">
        <v>30800</v>
      </c>
      <c r="BK260" s="3">
        <v>400</v>
      </c>
      <c r="BL260" s="3">
        <v>31200</v>
      </c>
      <c r="BM260" s="2">
        <f t="shared" ref="BM260:BM323" ca="1" si="9">IF(ROUND((6*RAND()),0)=0,1,(ROUND((6*RAND()),0)))</f>
        <v>2</v>
      </c>
      <c r="BN260" s="3">
        <v>500000</v>
      </c>
      <c r="BO260" s="3">
        <v>500000</v>
      </c>
      <c r="BP260" s="3">
        <v>50000</v>
      </c>
      <c r="BQ260" s="3">
        <v>100000</v>
      </c>
      <c r="BR260" s="3">
        <v>250000</v>
      </c>
      <c r="BS260">
        <v>250000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 t="s">
        <v>2942</v>
      </c>
      <c r="CA260" t="s">
        <v>2006</v>
      </c>
      <c r="CB260" t="s">
        <v>2945</v>
      </c>
    </row>
    <row r="261" spans="1:80" x14ac:dyDescent="0.25">
      <c r="A261">
        <v>259</v>
      </c>
      <c r="B261" t="s">
        <v>2278</v>
      </c>
      <c r="C261" s="1">
        <v>44770</v>
      </c>
      <c r="D261" s="2">
        <v>21</v>
      </c>
      <c r="E261" t="s">
        <v>4</v>
      </c>
      <c r="F261" t="s">
        <v>1311</v>
      </c>
      <c r="G261">
        <v>1</v>
      </c>
      <c r="H261" s="3">
        <v>5000000</v>
      </c>
      <c r="I261" s="3">
        <v>0</v>
      </c>
      <c r="J261" s="3">
        <v>0</v>
      </c>
      <c r="K261" s="3">
        <v>0</v>
      </c>
      <c r="L261" s="3" t="s">
        <v>1191</v>
      </c>
      <c r="M261">
        <v>1813183</v>
      </c>
      <c r="N261" t="s">
        <v>545</v>
      </c>
      <c r="P261" t="s">
        <v>40</v>
      </c>
      <c r="Q261" t="s">
        <v>19</v>
      </c>
      <c r="R261">
        <v>93108</v>
      </c>
      <c r="S261" t="s">
        <v>40</v>
      </c>
      <c r="T261" t="s">
        <v>975</v>
      </c>
      <c r="U261">
        <v>0</v>
      </c>
      <c r="V261">
        <v>24</v>
      </c>
      <c r="W261" t="s">
        <v>1214</v>
      </c>
      <c r="X261" t="s">
        <v>973</v>
      </c>
      <c r="Y261">
        <v>25000</v>
      </c>
      <c r="Z261" s="2" t="s">
        <v>1194</v>
      </c>
      <c r="AA261" s="2" t="s">
        <v>1238</v>
      </c>
      <c r="AB261" t="s">
        <v>1238</v>
      </c>
      <c r="AC261" t="s">
        <v>1194</v>
      </c>
      <c r="AD261" t="s">
        <v>1279</v>
      </c>
      <c r="AE261">
        <v>3</v>
      </c>
      <c r="AF261" t="s">
        <v>1290</v>
      </c>
      <c r="AG261">
        <v>0</v>
      </c>
      <c r="AH261">
        <v>0</v>
      </c>
      <c r="AI261">
        <v>0</v>
      </c>
      <c r="AJ261">
        <v>1923</v>
      </c>
      <c r="AK261">
        <v>2019</v>
      </c>
      <c r="AL261">
        <v>2022</v>
      </c>
      <c r="AM261" s="4" t="s">
        <v>1238</v>
      </c>
      <c r="AN261">
        <v>1</v>
      </c>
      <c r="AO261" t="s">
        <v>1317</v>
      </c>
      <c r="AP261">
        <f t="shared" si="8"/>
        <v>0</v>
      </c>
      <c r="AQ261">
        <v>1</v>
      </c>
      <c r="AR261" t="s">
        <v>1992</v>
      </c>
      <c r="AS261" t="s">
        <v>1995</v>
      </c>
      <c r="AT261" t="s">
        <v>1996</v>
      </c>
      <c r="AU261" t="s">
        <v>1995</v>
      </c>
      <c r="AV261" t="s">
        <v>1995</v>
      </c>
      <c r="AW261" t="s">
        <v>1996</v>
      </c>
      <c r="AX261" t="s">
        <v>1194</v>
      </c>
      <c r="AY261" t="s">
        <v>1996</v>
      </c>
      <c r="AZ261">
        <v>12653</v>
      </c>
      <c r="BA261">
        <v>1</v>
      </c>
      <c r="BB261" t="s">
        <v>2015</v>
      </c>
      <c r="BC261" s="3">
        <v>0</v>
      </c>
      <c r="BD261" s="3">
        <v>0</v>
      </c>
      <c r="BE261" s="3">
        <v>6168.85</v>
      </c>
      <c r="BF261" s="3">
        <v>173067.21</v>
      </c>
      <c r="BG261" s="3">
        <v>150</v>
      </c>
      <c r="BH261" s="3">
        <v>0</v>
      </c>
      <c r="BI261" s="3">
        <v>17815</v>
      </c>
      <c r="BJ261" s="3">
        <v>197201.06</v>
      </c>
      <c r="BK261" s="3">
        <v>0</v>
      </c>
      <c r="BL261" s="3">
        <v>197201.06</v>
      </c>
      <c r="BM261" s="2">
        <f t="shared" ca="1" si="9"/>
        <v>5</v>
      </c>
      <c r="BN261" s="3">
        <v>500000</v>
      </c>
      <c r="BO261" s="3">
        <v>250000</v>
      </c>
      <c r="BP261" s="3">
        <v>200000</v>
      </c>
      <c r="BQ261" s="3">
        <v>250000</v>
      </c>
      <c r="BR261" s="3">
        <v>50000</v>
      </c>
      <c r="BS261">
        <v>50000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 t="s">
        <v>2948</v>
      </c>
      <c r="CA261" t="s">
        <v>1194</v>
      </c>
      <c r="CB261" t="s">
        <v>2949</v>
      </c>
    </row>
    <row r="262" spans="1:80" x14ac:dyDescent="0.25">
      <c r="A262">
        <v>260</v>
      </c>
      <c r="B262" t="s">
        <v>2279</v>
      </c>
      <c r="C262" s="1">
        <v>44882</v>
      </c>
      <c r="D262" s="2">
        <v>33</v>
      </c>
      <c r="E262" t="s">
        <v>4</v>
      </c>
      <c r="F262" t="s">
        <v>1311</v>
      </c>
      <c r="G262">
        <v>0</v>
      </c>
      <c r="H262" s="3">
        <v>9000000</v>
      </c>
      <c r="I262" s="3">
        <v>1000000</v>
      </c>
      <c r="J262" s="3">
        <v>0</v>
      </c>
      <c r="K262" s="3">
        <v>0</v>
      </c>
      <c r="L262" s="3" t="s">
        <v>1191</v>
      </c>
      <c r="M262">
        <v>1247940</v>
      </c>
      <c r="N262" t="s">
        <v>546</v>
      </c>
      <c r="P262" t="s">
        <v>547</v>
      </c>
      <c r="Q262" t="s">
        <v>16</v>
      </c>
      <c r="R262">
        <v>7704</v>
      </c>
      <c r="S262" t="s">
        <v>52</v>
      </c>
      <c r="T262" t="s">
        <v>962</v>
      </c>
      <c r="U262">
        <v>0</v>
      </c>
      <c r="V262" t="s">
        <v>1106</v>
      </c>
      <c r="W262" t="s">
        <v>1194</v>
      </c>
      <c r="X262" t="s">
        <v>973</v>
      </c>
      <c r="Y262">
        <v>10000</v>
      </c>
      <c r="Z262" s="2">
        <v>1</v>
      </c>
      <c r="AA262" s="2" t="s">
        <v>1238</v>
      </c>
      <c r="AB262" t="s">
        <v>1238</v>
      </c>
      <c r="AC262">
        <v>748</v>
      </c>
      <c r="AD262" t="s">
        <v>1279</v>
      </c>
      <c r="AE262">
        <v>4</v>
      </c>
      <c r="AF262" t="s">
        <v>1290</v>
      </c>
      <c r="AG262">
        <v>0</v>
      </c>
      <c r="AH262">
        <v>0</v>
      </c>
      <c r="AI262">
        <v>0</v>
      </c>
      <c r="AJ262">
        <v>2020</v>
      </c>
      <c r="AK262" t="s">
        <v>1194</v>
      </c>
      <c r="AL262" t="s">
        <v>1194</v>
      </c>
      <c r="AM262" s="4" t="s">
        <v>1238</v>
      </c>
      <c r="AN262">
        <v>1</v>
      </c>
      <c r="AO262" t="s">
        <v>1315</v>
      </c>
      <c r="AP262">
        <f t="shared" si="8"/>
        <v>0</v>
      </c>
      <c r="AQ262">
        <v>1</v>
      </c>
      <c r="AR262" t="s">
        <v>1992</v>
      </c>
      <c r="AS262" t="s">
        <v>1996</v>
      </c>
      <c r="AT262" t="s">
        <v>1996</v>
      </c>
      <c r="AU262" t="s">
        <v>1995</v>
      </c>
      <c r="AV262" t="s">
        <v>1996</v>
      </c>
      <c r="AW262" t="s">
        <v>1995</v>
      </c>
      <c r="AX262" t="s">
        <v>2006</v>
      </c>
      <c r="AY262" t="s">
        <v>1996</v>
      </c>
      <c r="AZ262">
        <v>6900</v>
      </c>
      <c r="BA262" t="s">
        <v>1194</v>
      </c>
      <c r="BB262" t="s">
        <v>1194</v>
      </c>
      <c r="BC262" s="3">
        <v>15269.1119</v>
      </c>
      <c r="BD262" s="3">
        <v>4936.8900000000003</v>
      </c>
      <c r="BE262" s="3">
        <v>0</v>
      </c>
      <c r="BF262" s="3">
        <v>0</v>
      </c>
      <c r="BG262" s="3">
        <v>0</v>
      </c>
      <c r="BH262" s="3">
        <v>0</v>
      </c>
      <c r="BI262" s="3">
        <v>13794</v>
      </c>
      <c r="BJ262" s="3">
        <v>34000</v>
      </c>
      <c r="BK262" s="3">
        <v>1000</v>
      </c>
      <c r="BL262" s="3">
        <v>35000</v>
      </c>
      <c r="BM262" s="2">
        <f t="shared" ca="1" si="9"/>
        <v>2</v>
      </c>
      <c r="BN262" s="3">
        <v>250000</v>
      </c>
      <c r="BO262" s="3">
        <v>250000</v>
      </c>
      <c r="BP262" s="3">
        <v>200000</v>
      </c>
      <c r="BQ262" s="3">
        <v>50000</v>
      </c>
      <c r="BR262" s="3">
        <v>250000</v>
      </c>
      <c r="BS262">
        <v>100000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 t="s">
        <v>2938</v>
      </c>
      <c r="CA262" t="s">
        <v>2939</v>
      </c>
      <c r="CB262" t="s">
        <v>2006</v>
      </c>
    </row>
    <row r="263" spans="1:80" x14ac:dyDescent="0.25">
      <c r="A263">
        <v>261</v>
      </c>
      <c r="B263" t="s">
        <v>2280</v>
      </c>
      <c r="C263" s="1">
        <v>44814</v>
      </c>
      <c r="D263" s="2">
        <v>27</v>
      </c>
      <c r="E263" t="s">
        <v>4</v>
      </c>
      <c r="F263" t="s">
        <v>1311</v>
      </c>
      <c r="G263">
        <v>1</v>
      </c>
      <c r="H263" s="3">
        <v>1910000</v>
      </c>
      <c r="I263" s="3">
        <v>100000</v>
      </c>
      <c r="J263" s="3">
        <v>100000</v>
      </c>
      <c r="K263" s="3">
        <v>0</v>
      </c>
      <c r="L263" s="3" t="s">
        <v>1191</v>
      </c>
      <c r="M263">
        <v>1257800</v>
      </c>
      <c r="N263" t="s">
        <v>548</v>
      </c>
      <c r="P263" t="s">
        <v>549</v>
      </c>
      <c r="Q263" t="s">
        <v>14</v>
      </c>
      <c r="R263">
        <v>11557</v>
      </c>
      <c r="S263" t="s">
        <v>38</v>
      </c>
      <c r="T263" t="s">
        <v>962</v>
      </c>
      <c r="U263">
        <v>0</v>
      </c>
      <c r="V263" t="s">
        <v>1107</v>
      </c>
      <c r="W263" t="s">
        <v>1194</v>
      </c>
      <c r="X263" t="s">
        <v>973</v>
      </c>
      <c r="Y263">
        <v>5000</v>
      </c>
      <c r="Z263" s="2">
        <v>5</v>
      </c>
      <c r="AA263" s="2" t="s">
        <v>1238</v>
      </c>
      <c r="AB263" t="s">
        <v>1238</v>
      </c>
      <c r="AC263">
        <v>784</v>
      </c>
      <c r="AD263" t="s">
        <v>1279</v>
      </c>
      <c r="AE263">
        <v>3</v>
      </c>
      <c r="AF263" t="s">
        <v>1290</v>
      </c>
      <c r="AG263">
        <v>0</v>
      </c>
      <c r="AH263">
        <v>0</v>
      </c>
      <c r="AI263">
        <v>0</v>
      </c>
      <c r="AJ263">
        <v>1959</v>
      </c>
      <c r="AK263">
        <v>2015</v>
      </c>
      <c r="AL263">
        <v>2010</v>
      </c>
      <c r="AM263" s="4" t="s">
        <v>1238</v>
      </c>
      <c r="AN263">
        <v>0</v>
      </c>
      <c r="AO263" t="s">
        <v>1316</v>
      </c>
      <c r="AP263">
        <f t="shared" si="8"/>
        <v>0</v>
      </c>
      <c r="AQ263">
        <v>0</v>
      </c>
      <c r="AR263" t="s">
        <v>1993</v>
      </c>
      <c r="AS263" t="s">
        <v>1995</v>
      </c>
      <c r="AT263" t="s">
        <v>1996</v>
      </c>
      <c r="AU263" t="s">
        <v>1995</v>
      </c>
      <c r="AV263" t="s">
        <v>1995</v>
      </c>
      <c r="AW263" t="s">
        <v>1995</v>
      </c>
      <c r="AX263" t="s">
        <v>2006</v>
      </c>
      <c r="AY263" t="s">
        <v>1996</v>
      </c>
      <c r="AZ263">
        <v>5033</v>
      </c>
      <c r="BA263" t="s">
        <v>1194</v>
      </c>
      <c r="BB263" t="s">
        <v>1194</v>
      </c>
      <c r="BC263" s="3">
        <v>8832.7957999999999</v>
      </c>
      <c r="BD263" s="3">
        <v>2010.85</v>
      </c>
      <c r="BE263" s="3">
        <v>0</v>
      </c>
      <c r="BF263" s="3">
        <v>0</v>
      </c>
      <c r="BG263" s="3">
        <v>150</v>
      </c>
      <c r="BH263" s="3">
        <v>0</v>
      </c>
      <c r="BI263" s="3">
        <v>3571</v>
      </c>
      <c r="BJ263" s="3">
        <v>14565</v>
      </c>
      <c r="BK263" s="3">
        <v>0</v>
      </c>
      <c r="BL263" s="3">
        <v>14565</v>
      </c>
      <c r="BM263" s="2">
        <f t="shared" ca="1" si="9"/>
        <v>6</v>
      </c>
      <c r="BN263" s="3">
        <v>250000</v>
      </c>
      <c r="BO263" s="3">
        <v>50000</v>
      </c>
      <c r="BP263" s="3">
        <v>200000</v>
      </c>
      <c r="BQ263" s="3">
        <v>25000</v>
      </c>
      <c r="BR263" s="3">
        <v>2000000</v>
      </c>
      <c r="BS263">
        <v>1000000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 t="s">
        <v>2938</v>
      </c>
      <c r="CA263" t="s">
        <v>2939</v>
      </c>
      <c r="CB263" t="s">
        <v>2006</v>
      </c>
    </row>
    <row r="264" spans="1:80" x14ac:dyDescent="0.25">
      <c r="A264">
        <v>262</v>
      </c>
      <c r="B264" t="s">
        <v>2281</v>
      </c>
      <c r="C264" s="1">
        <v>44950</v>
      </c>
      <c r="D264" s="2">
        <v>3</v>
      </c>
      <c r="E264" t="s">
        <v>4</v>
      </c>
      <c r="F264" t="s">
        <v>1310</v>
      </c>
      <c r="G264">
        <v>0</v>
      </c>
      <c r="H264" s="3">
        <v>2800000</v>
      </c>
      <c r="I264" s="3">
        <v>1000000</v>
      </c>
      <c r="J264" s="3">
        <v>0</v>
      </c>
      <c r="K264" s="3">
        <v>0</v>
      </c>
      <c r="L264" s="3" t="s">
        <v>1191</v>
      </c>
      <c r="M264">
        <v>1842245</v>
      </c>
      <c r="N264" t="s">
        <v>550</v>
      </c>
      <c r="P264" t="s">
        <v>31</v>
      </c>
      <c r="Q264" t="s">
        <v>17</v>
      </c>
      <c r="R264">
        <v>29401</v>
      </c>
      <c r="S264" t="s">
        <v>31</v>
      </c>
      <c r="T264" t="s">
        <v>963</v>
      </c>
      <c r="U264">
        <v>0</v>
      </c>
      <c r="V264" t="s">
        <v>1108</v>
      </c>
      <c r="W264" t="s">
        <v>1194</v>
      </c>
      <c r="X264" t="s">
        <v>973</v>
      </c>
      <c r="Y264">
        <v>25000</v>
      </c>
      <c r="Z264" s="2">
        <v>5</v>
      </c>
      <c r="AA264" s="2" t="s">
        <v>1238</v>
      </c>
      <c r="AB264" t="s">
        <v>1238</v>
      </c>
      <c r="AC264">
        <v>733</v>
      </c>
      <c r="AD264" t="s">
        <v>1279</v>
      </c>
      <c r="AE264">
        <v>1</v>
      </c>
      <c r="AF264" t="s">
        <v>1291</v>
      </c>
      <c r="AG264">
        <v>0</v>
      </c>
      <c r="AH264">
        <v>0</v>
      </c>
      <c r="AI264">
        <v>0</v>
      </c>
      <c r="AJ264">
        <v>1973</v>
      </c>
      <c r="AK264" t="s">
        <v>1194</v>
      </c>
      <c r="AL264" t="s">
        <v>1194</v>
      </c>
      <c r="AM264" s="4" t="s">
        <v>1306</v>
      </c>
      <c r="AN264">
        <v>1</v>
      </c>
      <c r="AO264" t="s">
        <v>1317</v>
      </c>
      <c r="AP264">
        <f t="shared" si="8"/>
        <v>0</v>
      </c>
      <c r="AQ264">
        <v>1</v>
      </c>
      <c r="AR264" t="s">
        <v>1992</v>
      </c>
      <c r="AS264" t="s">
        <v>1996</v>
      </c>
      <c r="AT264" t="s">
        <v>1995</v>
      </c>
      <c r="AU264" t="s">
        <v>1995</v>
      </c>
      <c r="AV264" t="s">
        <v>1995</v>
      </c>
      <c r="AW264" t="s">
        <v>1996</v>
      </c>
      <c r="AX264" t="s">
        <v>2008</v>
      </c>
      <c r="AY264" t="s">
        <v>1995</v>
      </c>
      <c r="AZ264">
        <v>3428</v>
      </c>
      <c r="BA264" t="s">
        <v>1194</v>
      </c>
      <c r="BB264" t="s">
        <v>1194</v>
      </c>
      <c r="BC264" s="3">
        <v>7119.9090999999999</v>
      </c>
      <c r="BD264" s="3">
        <v>17522.8</v>
      </c>
      <c r="BE264" s="3">
        <v>0</v>
      </c>
      <c r="BF264" s="3">
        <v>0</v>
      </c>
      <c r="BG264" s="3">
        <v>150</v>
      </c>
      <c r="BH264" s="3">
        <v>0</v>
      </c>
      <c r="BI264" s="3">
        <v>20047</v>
      </c>
      <c r="BJ264" s="3">
        <v>44840</v>
      </c>
      <c r="BK264" s="3">
        <v>0</v>
      </c>
      <c r="BL264" s="3">
        <v>44840</v>
      </c>
      <c r="BM264" s="2">
        <f t="shared" ca="1" si="9"/>
        <v>3</v>
      </c>
      <c r="BN264" s="3">
        <v>250000</v>
      </c>
      <c r="BO264" s="3">
        <v>100000</v>
      </c>
      <c r="BP264" s="3">
        <v>50000</v>
      </c>
      <c r="BQ264" s="3">
        <v>500000</v>
      </c>
      <c r="BR264" s="3">
        <v>50000</v>
      </c>
      <c r="BS264">
        <v>100000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 t="s">
        <v>2943</v>
      </c>
      <c r="CA264" t="s">
        <v>2006</v>
      </c>
      <c r="CB264" t="s">
        <v>2941</v>
      </c>
    </row>
    <row r="265" spans="1:80" x14ac:dyDescent="0.25">
      <c r="A265">
        <v>263</v>
      </c>
      <c r="B265" t="s">
        <v>2282</v>
      </c>
      <c r="C265" s="1">
        <v>44909</v>
      </c>
      <c r="D265" s="2">
        <v>36</v>
      </c>
      <c r="E265" t="s">
        <v>4</v>
      </c>
      <c r="F265" t="s">
        <v>1311</v>
      </c>
      <c r="G265">
        <v>0</v>
      </c>
      <c r="H265" s="3">
        <v>10000000</v>
      </c>
      <c r="I265" s="3">
        <v>100000</v>
      </c>
      <c r="J265" s="3">
        <v>0</v>
      </c>
      <c r="K265" s="3">
        <v>0</v>
      </c>
      <c r="L265" s="3" t="s">
        <v>1191</v>
      </c>
      <c r="M265">
        <v>1732237</v>
      </c>
      <c r="N265" t="s">
        <v>551</v>
      </c>
      <c r="P265" t="s">
        <v>552</v>
      </c>
      <c r="Q265" t="s">
        <v>13</v>
      </c>
      <c r="R265">
        <v>2666</v>
      </c>
      <c r="S265" t="s">
        <v>51</v>
      </c>
      <c r="T265" t="s">
        <v>963</v>
      </c>
      <c r="U265">
        <v>0</v>
      </c>
      <c r="V265" t="s">
        <v>1109</v>
      </c>
      <c r="W265" t="s">
        <v>1194</v>
      </c>
      <c r="X265" t="s">
        <v>973</v>
      </c>
      <c r="Y265">
        <v>100000</v>
      </c>
      <c r="Z265" s="2">
        <v>2</v>
      </c>
      <c r="AA265" s="2" t="s">
        <v>1238</v>
      </c>
      <c r="AB265" t="s">
        <v>1238</v>
      </c>
      <c r="AC265">
        <v>850</v>
      </c>
      <c r="AD265" t="s">
        <v>1279</v>
      </c>
      <c r="AE265">
        <v>8</v>
      </c>
      <c r="AF265" t="s">
        <v>1290</v>
      </c>
      <c r="AG265">
        <v>0</v>
      </c>
      <c r="AH265">
        <v>0</v>
      </c>
      <c r="AI265">
        <v>0</v>
      </c>
      <c r="AJ265">
        <v>2022</v>
      </c>
      <c r="AK265" t="s">
        <v>1194</v>
      </c>
      <c r="AL265">
        <v>2022</v>
      </c>
      <c r="AM265" s="4" t="s">
        <v>1238</v>
      </c>
      <c r="AN265">
        <v>1</v>
      </c>
      <c r="AO265" t="s">
        <v>1316</v>
      </c>
      <c r="AP265">
        <f t="shared" si="8"/>
        <v>0</v>
      </c>
      <c r="AQ265">
        <v>1</v>
      </c>
      <c r="AR265" t="s">
        <v>1992</v>
      </c>
      <c r="AS265" t="s">
        <v>1996</v>
      </c>
      <c r="AT265" t="s">
        <v>1996</v>
      </c>
      <c r="AU265" t="s">
        <v>1996</v>
      </c>
      <c r="AV265" t="s">
        <v>1995</v>
      </c>
      <c r="AW265" t="s">
        <v>1996</v>
      </c>
      <c r="AX265" t="s">
        <v>2006</v>
      </c>
      <c r="AY265" t="s">
        <v>1996</v>
      </c>
      <c r="AZ265">
        <v>4800</v>
      </c>
      <c r="BA265" t="s">
        <v>1194</v>
      </c>
      <c r="BB265" t="s">
        <v>1194</v>
      </c>
      <c r="BC265" s="3">
        <v>14479.1024</v>
      </c>
      <c r="BD265" s="3">
        <v>12327.45</v>
      </c>
      <c r="BE265" s="3">
        <v>0</v>
      </c>
      <c r="BF265" s="3">
        <v>0</v>
      </c>
      <c r="BG265" s="3">
        <v>0</v>
      </c>
      <c r="BH265" s="3">
        <v>0</v>
      </c>
      <c r="BI265" s="3">
        <v>39697</v>
      </c>
      <c r="BJ265" s="3">
        <v>66504</v>
      </c>
      <c r="BK265" s="3">
        <v>625</v>
      </c>
      <c r="BL265" s="3">
        <v>67129</v>
      </c>
      <c r="BM265" s="2">
        <f t="shared" ca="1" si="9"/>
        <v>2</v>
      </c>
      <c r="BN265" s="3">
        <v>250000</v>
      </c>
      <c r="BO265" s="3">
        <v>20000</v>
      </c>
      <c r="BP265" s="3" t="s">
        <v>2922</v>
      </c>
      <c r="BQ265" s="3">
        <v>500000</v>
      </c>
      <c r="BR265" s="3">
        <v>250000</v>
      </c>
      <c r="BS265">
        <v>50000</v>
      </c>
      <c r="BT265">
        <v>0</v>
      </c>
      <c r="BU265">
        <v>0</v>
      </c>
      <c r="BV265">
        <v>0</v>
      </c>
      <c r="BW265">
        <v>1</v>
      </c>
      <c r="BX265">
        <v>0</v>
      </c>
      <c r="BY265">
        <v>0</v>
      </c>
      <c r="BZ265" t="s">
        <v>2006</v>
      </c>
      <c r="CA265" t="s">
        <v>2006</v>
      </c>
      <c r="CB265" t="s">
        <v>2946</v>
      </c>
    </row>
    <row r="266" spans="1:80" x14ac:dyDescent="0.25">
      <c r="A266">
        <v>264</v>
      </c>
      <c r="B266" t="s">
        <v>2283</v>
      </c>
      <c r="C266" s="1">
        <v>44907</v>
      </c>
      <c r="D266" s="2">
        <v>36</v>
      </c>
      <c r="E266" t="s">
        <v>4</v>
      </c>
      <c r="F266" t="s">
        <v>1311</v>
      </c>
      <c r="G266">
        <v>1</v>
      </c>
      <c r="H266" s="3">
        <v>0</v>
      </c>
      <c r="I266" s="3">
        <v>0</v>
      </c>
      <c r="J266" s="3">
        <v>7245005</v>
      </c>
      <c r="K266" s="3">
        <v>0</v>
      </c>
      <c r="L266" s="3" t="s">
        <v>1192</v>
      </c>
      <c r="M266">
        <v>1851977</v>
      </c>
      <c r="N266" t="s">
        <v>553</v>
      </c>
      <c r="O266" t="s">
        <v>554</v>
      </c>
      <c r="P266" t="s">
        <v>29</v>
      </c>
      <c r="Q266" t="s">
        <v>14</v>
      </c>
      <c r="R266">
        <v>10075</v>
      </c>
      <c r="S266" t="s">
        <v>29</v>
      </c>
      <c r="T266" t="s">
        <v>968</v>
      </c>
      <c r="U266">
        <v>0</v>
      </c>
      <c r="V266" t="s">
        <v>999</v>
      </c>
      <c r="W266" t="s">
        <v>1194</v>
      </c>
      <c r="X266" t="s">
        <v>973</v>
      </c>
      <c r="Y266">
        <v>25000</v>
      </c>
      <c r="Z266" s="2">
        <v>0.99999930999999997</v>
      </c>
      <c r="AA266" s="2" t="s">
        <v>1238</v>
      </c>
      <c r="AB266" t="s">
        <v>1238</v>
      </c>
      <c r="AC266">
        <v>777</v>
      </c>
      <c r="AD266" t="s">
        <v>1281</v>
      </c>
      <c r="AE266">
        <v>1</v>
      </c>
      <c r="AF266" t="s">
        <v>1290</v>
      </c>
      <c r="AG266">
        <v>0</v>
      </c>
      <c r="AH266">
        <v>0</v>
      </c>
      <c r="AI266">
        <v>0</v>
      </c>
      <c r="AJ266">
        <v>1938</v>
      </c>
      <c r="AK266">
        <v>2022</v>
      </c>
      <c r="AL266" t="s">
        <v>1194</v>
      </c>
      <c r="AM266" s="4" t="s">
        <v>1238</v>
      </c>
      <c r="AN266">
        <v>1</v>
      </c>
      <c r="AO266" t="s">
        <v>1315</v>
      </c>
      <c r="AP266">
        <f t="shared" si="8"/>
        <v>0</v>
      </c>
      <c r="AQ266">
        <v>0</v>
      </c>
      <c r="AR266" t="s">
        <v>1993</v>
      </c>
      <c r="AS266" t="s">
        <v>1996</v>
      </c>
      <c r="AT266" t="s">
        <v>1995</v>
      </c>
      <c r="AU266" t="s">
        <v>1995</v>
      </c>
      <c r="AV266" t="s">
        <v>1995</v>
      </c>
      <c r="AW266" t="s">
        <v>1996</v>
      </c>
      <c r="AX266" t="s">
        <v>2006</v>
      </c>
      <c r="AY266" t="s">
        <v>1996</v>
      </c>
      <c r="AZ266">
        <v>2978</v>
      </c>
      <c r="BA266" t="s">
        <v>1194</v>
      </c>
      <c r="BB266" t="s">
        <v>1194</v>
      </c>
      <c r="BC266" s="3">
        <v>19766.2075</v>
      </c>
      <c r="BD266" s="3">
        <v>5546.84</v>
      </c>
      <c r="BE266" s="3">
        <v>0</v>
      </c>
      <c r="BF266" s="3">
        <v>0</v>
      </c>
      <c r="BG266" s="3">
        <v>150</v>
      </c>
      <c r="BH266" s="3">
        <v>0</v>
      </c>
      <c r="BI266" s="3">
        <v>26701</v>
      </c>
      <c r="BJ266" s="3">
        <v>52164</v>
      </c>
      <c r="BK266" s="3">
        <v>0</v>
      </c>
      <c r="BL266" s="3">
        <v>52164</v>
      </c>
      <c r="BM266" s="2">
        <f t="shared" ca="1" si="9"/>
        <v>3</v>
      </c>
      <c r="BN266" s="3">
        <v>2000000</v>
      </c>
      <c r="BO266" s="3">
        <v>500000</v>
      </c>
      <c r="BP266" s="3">
        <v>100000</v>
      </c>
      <c r="BQ266" s="3">
        <v>50000</v>
      </c>
      <c r="BR266" s="3">
        <v>50000</v>
      </c>
      <c r="BS266">
        <v>50000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 t="s">
        <v>2942</v>
      </c>
      <c r="CA266" t="s">
        <v>2006</v>
      </c>
      <c r="CB266" t="s">
        <v>2946</v>
      </c>
    </row>
    <row r="267" spans="1:80" x14ac:dyDescent="0.25">
      <c r="A267">
        <v>265</v>
      </c>
      <c r="B267" t="s">
        <v>2284</v>
      </c>
      <c r="C267" s="1">
        <v>44916</v>
      </c>
      <c r="D267" s="2">
        <v>36</v>
      </c>
      <c r="E267" t="s">
        <v>4</v>
      </c>
      <c r="F267" t="s">
        <v>1311</v>
      </c>
      <c r="G267">
        <v>0</v>
      </c>
      <c r="H267" s="3">
        <v>5826711</v>
      </c>
      <c r="I267" s="3">
        <v>500000</v>
      </c>
      <c r="J267" s="3">
        <v>0</v>
      </c>
      <c r="K267" s="3">
        <v>0</v>
      </c>
      <c r="L267" s="3" t="s">
        <v>1191</v>
      </c>
      <c r="M267">
        <v>1591690</v>
      </c>
      <c r="N267" t="s">
        <v>555</v>
      </c>
      <c r="P267" t="s">
        <v>212</v>
      </c>
      <c r="Q267" t="s">
        <v>13</v>
      </c>
      <c r="R267">
        <v>2138</v>
      </c>
      <c r="S267" t="s">
        <v>53</v>
      </c>
      <c r="T267" t="s">
        <v>968</v>
      </c>
      <c r="U267">
        <v>0</v>
      </c>
      <c r="V267" t="s">
        <v>1025</v>
      </c>
      <c r="W267" t="s">
        <v>1194</v>
      </c>
      <c r="X267" t="s">
        <v>973</v>
      </c>
      <c r="Y267">
        <v>25000</v>
      </c>
      <c r="Z267" s="2" t="s">
        <v>1194</v>
      </c>
      <c r="AA267" s="2" t="s">
        <v>1238</v>
      </c>
      <c r="AB267" t="s">
        <v>1238</v>
      </c>
      <c r="AC267">
        <v>669</v>
      </c>
      <c r="AD267" t="s">
        <v>1279</v>
      </c>
      <c r="AE267">
        <v>1</v>
      </c>
      <c r="AF267" t="s">
        <v>1290</v>
      </c>
      <c r="AG267">
        <v>0</v>
      </c>
      <c r="AH267">
        <v>0</v>
      </c>
      <c r="AI267">
        <v>0</v>
      </c>
      <c r="AJ267">
        <v>1950</v>
      </c>
      <c r="AK267" t="s">
        <v>1194</v>
      </c>
      <c r="AL267" t="s">
        <v>1194</v>
      </c>
      <c r="AM267" s="4" t="s">
        <v>1238</v>
      </c>
      <c r="AN267">
        <v>0</v>
      </c>
      <c r="AO267" t="s">
        <v>1315</v>
      </c>
      <c r="AP267">
        <f t="shared" si="8"/>
        <v>0</v>
      </c>
      <c r="AQ267">
        <v>0</v>
      </c>
      <c r="AR267" t="s">
        <v>1993</v>
      </c>
      <c r="AS267" t="s">
        <v>1996</v>
      </c>
      <c r="AT267" t="s">
        <v>1995</v>
      </c>
      <c r="AU267" t="s">
        <v>1996</v>
      </c>
      <c r="AV267" t="s">
        <v>1996</v>
      </c>
      <c r="AW267" t="s">
        <v>1995</v>
      </c>
      <c r="AX267" t="s">
        <v>2006</v>
      </c>
      <c r="AY267" t="s">
        <v>1996</v>
      </c>
      <c r="AZ267">
        <v>3980</v>
      </c>
      <c r="BA267" t="s">
        <v>1194</v>
      </c>
      <c r="BB267" t="s">
        <v>1194</v>
      </c>
      <c r="BC267" s="3">
        <v>11249.255499999999</v>
      </c>
      <c r="BD267" s="3">
        <v>5864.74</v>
      </c>
      <c r="BE267" s="3">
        <v>0</v>
      </c>
      <c r="BF267" s="3">
        <v>0</v>
      </c>
      <c r="BG267" s="3">
        <v>0</v>
      </c>
      <c r="BH267" s="3">
        <v>0</v>
      </c>
      <c r="BI267" s="3">
        <v>12308</v>
      </c>
      <c r="BJ267" s="3">
        <v>29422</v>
      </c>
      <c r="BK267" s="3">
        <v>129.36000000000001</v>
      </c>
      <c r="BL267" s="3">
        <v>29551.360000000001</v>
      </c>
      <c r="BM267" s="2">
        <f t="shared" ca="1" si="9"/>
        <v>3</v>
      </c>
      <c r="BN267" s="3" t="s">
        <v>2916</v>
      </c>
      <c r="BO267" s="3">
        <v>500000</v>
      </c>
      <c r="BP267" s="3">
        <v>100000</v>
      </c>
      <c r="BQ267" s="3">
        <v>1000000</v>
      </c>
      <c r="BR267" s="3">
        <v>1000000</v>
      </c>
      <c r="BS267">
        <v>250000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 t="s">
        <v>2006</v>
      </c>
      <c r="CA267" t="s">
        <v>2006</v>
      </c>
      <c r="CB267" t="s">
        <v>2006</v>
      </c>
    </row>
    <row r="268" spans="1:80" x14ac:dyDescent="0.25">
      <c r="A268">
        <v>266</v>
      </c>
      <c r="B268" t="s">
        <v>2285</v>
      </c>
      <c r="C268" s="1">
        <v>44826</v>
      </c>
      <c r="D268" s="2">
        <v>27</v>
      </c>
      <c r="E268" t="s">
        <v>4</v>
      </c>
      <c r="F268" t="s">
        <v>1311</v>
      </c>
      <c r="G268">
        <v>0</v>
      </c>
      <c r="H268" s="3">
        <v>2750000</v>
      </c>
      <c r="I268" s="3">
        <v>475000</v>
      </c>
      <c r="J268" s="3">
        <v>0</v>
      </c>
      <c r="K268" s="3">
        <v>0</v>
      </c>
      <c r="L268" s="3" t="s">
        <v>1191</v>
      </c>
      <c r="M268">
        <v>1175575</v>
      </c>
      <c r="N268" t="s">
        <v>556</v>
      </c>
      <c r="P268" t="s">
        <v>27</v>
      </c>
      <c r="Q268" t="s">
        <v>15</v>
      </c>
      <c r="R268">
        <v>33480</v>
      </c>
      <c r="S268" t="s">
        <v>27</v>
      </c>
      <c r="T268" t="s">
        <v>967</v>
      </c>
      <c r="U268">
        <v>0</v>
      </c>
      <c r="V268" t="s">
        <v>989</v>
      </c>
      <c r="W268" t="s">
        <v>1194</v>
      </c>
      <c r="X268" t="s">
        <v>973</v>
      </c>
      <c r="Y268">
        <v>10000</v>
      </c>
      <c r="Z268" s="2">
        <v>10</v>
      </c>
      <c r="AA268" s="2" t="s">
        <v>1238</v>
      </c>
      <c r="AB268" t="s">
        <v>1238</v>
      </c>
      <c r="AC268">
        <v>698</v>
      </c>
      <c r="AD268" t="s">
        <v>1279</v>
      </c>
      <c r="AE268">
        <v>1</v>
      </c>
      <c r="AF268" t="s">
        <v>1290</v>
      </c>
      <c r="AG268">
        <v>0</v>
      </c>
      <c r="AH268">
        <v>0</v>
      </c>
      <c r="AI268">
        <v>0</v>
      </c>
      <c r="AJ268">
        <v>1921</v>
      </c>
      <c r="AK268">
        <v>1999</v>
      </c>
      <c r="AL268">
        <v>2022</v>
      </c>
      <c r="AM268" s="4" t="s">
        <v>1238</v>
      </c>
      <c r="AN268">
        <v>1</v>
      </c>
      <c r="AO268" t="s">
        <v>1317</v>
      </c>
      <c r="AP268">
        <f t="shared" si="8"/>
        <v>0</v>
      </c>
      <c r="AQ268">
        <v>1</v>
      </c>
      <c r="AR268" t="s">
        <v>1992</v>
      </c>
      <c r="AS268" t="s">
        <v>1995</v>
      </c>
      <c r="AT268" t="s">
        <v>1995</v>
      </c>
      <c r="AU268" t="s">
        <v>1996</v>
      </c>
      <c r="AV268" t="s">
        <v>1996</v>
      </c>
      <c r="AW268" t="s">
        <v>1996</v>
      </c>
      <c r="AX268" t="s">
        <v>2009</v>
      </c>
      <c r="AY268" t="s">
        <v>1995</v>
      </c>
      <c r="AZ268">
        <v>2955</v>
      </c>
      <c r="BA268" t="s">
        <v>1194</v>
      </c>
      <c r="BB268" t="s">
        <v>1194</v>
      </c>
      <c r="BC268" s="3">
        <v>10997.950199999999</v>
      </c>
      <c r="BD268" s="3">
        <v>29274.57</v>
      </c>
      <c r="BE268" s="3">
        <v>0</v>
      </c>
      <c r="BF268" s="3">
        <v>0</v>
      </c>
      <c r="BG268" s="3">
        <v>300</v>
      </c>
      <c r="BH268" s="3">
        <v>0</v>
      </c>
      <c r="BI268" s="3">
        <v>36014</v>
      </c>
      <c r="BJ268" s="3">
        <v>76587</v>
      </c>
      <c r="BK268" s="3">
        <v>938.03</v>
      </c>
      <c r="BL268" s="3">
        <v>77525.03</v>
      </c>
      <c r="BM268" s="2">
        <f t="shared" ca="1" si="9"/>
        <v>5</v>
      </c>
      <c r="BN268" s="3" t="s">
        <v>2916</v>
      </c>
      <c r="BO268" s="3">
        <v>25000</v>
      </c>
      <c r="BP268" s="3">
        <v>100000</v>
      </c>
      <c r="BQ268" s="3">
        <v>1000000</v>
      </c>
      <c r="BR268" s="3">
        <v>2000000</v>
      </c>
      <c r="BS268">
        <v>1000000</v>
      </c>
      <c r="BT268">
        <v>0</v>
      </c>
      <c r="BU268">
        <v>0</v>
      </c>
      <c r="BV268">
        <v>0</v>
      </c>
      <c r="BW268">
        <v>1</v>
      </c>
      <c r="BX268">
        <v>0</v>
      </c>
      <c r="BY268">
        <v>0</v>
      </c>
      <c r="BZ268" t="s">
        <v>2947</v>
      </c>
      <c r="CA268" t="s">
        <v>2939</v>
      </c>
      <c r="CB268" t="s">
        <v>2941</v>
      </c>
    </row>
    <row r="269" spans="1:80" x14ac:dyDescent="0.25">
      <c r="A269">
        <v>267</v>
      </c>
      <c r="B269" t="s">
        <v>2286</v>
      </c>
      <c r="C269" s="1">
        <v>44621</v>
      </c>
      <c r="D269" s="2">
        <v>9</v>
      </c>
      <c r="E269" t="s">
        <v>4</v>
      </c>
      <c r="F269" t="s">
        <v>1310</v>
      </c>
      <c r="G269">
        <v>0</v>
      </c>
      <c r="H269" s="3">
        <v>400000</v>
      </c>
      <c r="I269" s="3">
        <v>0</v>
      </c>
      <c r="J269" s="3">
        <v>0</v>
      </c>
      <c r="K269" s="3">
        <v>0</v>
      </c>
      <c r="L269" s="3" t="s">
        <v>1191</v>
      </c>
      <c r="M269">
        <v>1813962</v>
      </c>
      <c r="N269" t="s">
        <v>557</v>
      </c>
      <c r="P269" t="s">
        <v>46</v>
      </c>
      <c r="Q269" t="s">
        <v>19</v>
      </c>
      <c r="R269">
        <v>90036</v>
      </c>
      <c r="S269" t="s">
        <v>46</v>
      </c>
      <c r="T269" t="s">
        <v>965</v>
      </c>
      <c r="U269">
        <v>0</v>
      </c>
      <c r="V269">
        <v>41</v>
      </c>
      <c r="W269" t="s">
        <v>1210</v>
      </c>
      <c r="X269" t="s">
        <v>973</v>
      </c>
      <c r="Y269">
        <v>2500</v>
      </c>
      <c r="Z269" s="2" t="s">
        <v>1194</v>
      </c>
      <c r="AA269" s="2" t="s">
        <v>1238</v>
      </c>
      <c r="AB269" t="s">
        <v>1238</v>
      </c>
      <c r="AC269" t="s">
        <v>1194</v>
      </c>
      <c r="AD269" t="s">
        <v>1279</v>
      </c>
      <c r="AE269">
        <v>1</v>
      </c>
      <c r="AF269" t="s">
        <v>1290</v>
      </c>
      <c r="AG269">
        <v>0</v>
      </c>
      <c r="AH269">
        <v>0</v>
      </c>
      <c r="AI269">
        <v>0</v>
      </c>
      <c r="AJ269">
        <v>2022</v>
      </c>
      <c r="AK269" t="s">
        <v>1194</v>
      </c>
      <c r="AL269">
        <v>2021</v>
      </c>
      <c r="AM269" s="4" t="s">
        <v>1304</v>
      </c>
      <c r="AN269">
        <v>1</v>
      </c>
      <c r="AO269" t="s">
        <v>1315</v>
      </c>
      <c r="AP269">
        <f t="shared" si="8"/>
        <v>0</v>
      </c>
      <c r="AQ269">
        <v>0</v>
      </c>
      <c r="AR269" t="s">
        <v>1993</v>
      </c>
      <c r="AS269" t="s">
        <v>1995</v>
      </c>
      <c r="AT269" t="s">
        <v>1996</v>
      </c>
      <c r="AU269" t="s">
        <v>1996</v>
      </c>
      <c r="AV269" t="s">
        <v>1996</v>
      </c>
      <c r="AW269" t="s">
        <v>1996</v>
      </c>
      <c r="AX269" t="s">
        <v>1194</v>
      </c>
      <c r="AY269" t="s">
        <v>1996</v>
      </c>
      <c r="AZ269">
        <v>350</v>
      </c>
      <c r="BA269" t="s">
        <v>1194</v>
      </c>
      <c r="BB269" t="s">
        <v>2014</v>
      </c>
      <c r="BC269" s="3">
        <v>0</v>
      </c>
      <c r="BD269" s="3">
        <v>0</v>
      </c>
      <c r="BE269" s="3">
        <v>1204.78</v>
      </c>
      <c r="BF269" s="3">
        <v>763.78</v>
      </c>
      <c r="BG269" s="3">
        <v>150</v>
      </c>
      <c r="BH269" s="3">
        <v>0</v>
      </c>
      <c r="BI269" s="3">
        <v>0</v>
      </c>
      <c r="BJ269" s="3">
        <v>2118.56</v>
      </c>
      <c r="BK269" s="3">
        <v>0</v>
      </c>
      <c r="BL269" s="3">
        <v>2118.56</v>
      </c>
      <c r="BM269" s="2">
        <f t="shared" ca="1" si="9"/>
        <v>1</v>
      </c>
      <c r="BN269" s="3" t="s">
        <v>2916</v>
      </c>
      <c r="BO269" s="3">
        <v>25000</v>
      </c>
      <c r="BP269" s="3">
        <v>50000</v>
      </c>
      <c r="BQ269" s="3">
        <v>50000</v>
      </c>
      <c r="BR269" s="3">
        <v>100000</v>
      </c>
      <c r="BS269">
        <v>50000</v>
      </c>
      <c r="BT269">
        <v>0</v>
      </c>
      <c r="BU269">
        <v>0</v>
      </c>
      <c r="BV269">
        <v>1</v>
      </c>
      <c r="BW269">
        <v>0</v>
      </c>
      <c r="BX269">
        <v>0</v>
      </c>
      <c r="BY269">
        <v>0</v>
      </c>
      <c r="BZ269" t="s">
        <v>2948</v>
      </c>
      <c r="CA269" t="s">
        <v>1194</v>
      </c>
      <c r="CB269" t="s">
        <v>2952</v>
      </c>
    </row>
    <row r="270" spans="1:80" x14ac:dyDescent="0.25">
      <c r="A270">
        <v>268</v>
      </c>
      <c r="B270" t="s">
        <v>2287</v>
      </c>
      <c r="C270" s="1">
        <v>44788</v>
      </c>
      <c r="D270" s="2">
        <v>24</v>
      </c>
      <c r="E270" t="s">
        <v>4</v>
      </c>
      <c r="F270" t="s">
        <v>1311</v>
      </c>
      <c r="G270">
        <v>0</v>
      </c>
      <c r="H270" s="3">
        <v>2539800</v>
      </c>
      <c r="I270" s="3">
        <v>0</v>
      </c>
      <c r="J270" s="3">
        <v>0</v>
      </c>
      <c r="K270" s="3">
        <v>0</v>
      </c>
      <c r="L270" s="3" t="s">
        <v>1191</v>
      </c>
      <c r="M270">
        <v>1821061</v>
      </c>
      <c r="N270" t="s">
        <v>558</v>
      </c>
      <c r="P270" t="s">
        <v>559</v>
      </c>
      <c r="Q270" t="s">
        <v>14</v>
      </c>
      <c r="R270">
        <v>10543</v>
      </c>
      <c r="S270" t="s">
        <v>36</v>
      </c>
      <c r="T270" t="s">
        <v>963</v>
      </c>
      <c r="U270">
        <v>0</v>
      </c>
      <c r="V270" t="s">
        <v>1110</v>
      </c>
      <c r="W270" t="s">
        <v>1194</v>
      </c>
      <c r="X270" t="s">
        <v>973</v>
      </c>
      <c r="Y270">
        <v>10000</v>
      </c>
      <c r="Z270" s="2">
        <v>2</v>
      </c>
      <c r="AA270" s="2" t="s">
        <v>1238</v>
      </c>
      <c r="AB270" t="s">
        <v>1238</v>
      </c>
      <c r="AC270">
        <v>743</v>
      </c>
      <c r="AD270" t="s">
        <v>1279</v>
      </c>
      <c r="AE270">
        <v>3</v>
      </c>
      <c r="AF270" t="s">
        <v>1290</v>
      </c>
      <c r="AG270">
        <v>0</v>
      </c>
      <c r="AH270">
        <v>0</v>
      </c>
      <c r="AI270">
        <v>0</v>
      </c>
      <c r="AJ270">
        <v>1941</v>
      </c>
      <c r="AK270" t="s">
        <v>1194</v>
      </c>
      <c r="AL270" t="s">
        <v>1194</v>
      </c>
      <c r="AM270" s="4" t="s">
        <v>1238</v>
      </c>
      <c r="AN270">
        <v>0</v>
      </c>
      <c r="AO270" t="s">
        <v>1316</v>
      </c>
      <c r="AP270">
        <f t="shared" si="8"/>
        <v>0</v>
      </c>
      <c r="AQ270">
        <v>0</v>
      </c>
      <c r="AR270" t="s">
        <v>1993</v>
      </c>
      <c r="AS270" t="s">
        <v>1995</v>
      </c>
      <c r="AT270" t="s">
        <v>1996</v>
      </c>
      <c r="AU270" t="s">
        <v>1995</v>
      </c>
      <c r="AV270" t="s">
        <v>1996</v>
      </c>
      <c r="AW270" t="s">
        <v>1995</v>
      </c>
      <c r="AX270" t="s">
        <v>2006</v>
      </c>
      <c r="AY270" t="s">
        <v>1996</v>
      </c>
      <c r="AZ270">
        <v>5064</v>
      </c>
      <c r="BA270" t="s">
        <v>1194</v>
      </c>
      <c r="BB270" t="s">
        <v>1194</v>
      </c>
      <c r="BC270" s="3">
        <v>7735.0264999999999</v>
      </c>
      <c r="BD270" s="3">
        <v>3135.92</v>
      </c>
      <c r="BE270" s="3">
        <v>0</v>
      </c>
      <c r="BF270" s="3">
        <v>0</v>
      </c>
      <c r="BG270" s="3">
        <v>150</v>
      </c>
      <c r="BH270" s="3">
        <v>0</v>
      </c>
      <c r="BI270" s="3">
        <v>5488</v>
      </c>
      <c r="BJ270" s="3">
        <v>16509</v>
      </c>
      <c r="BK270" s="3">
        <v>0</v>
      </c>
      <c r="BL270" s="3">
        <v>16509</v>
      </c>
      <c r="BM270" s="2">
        <f t="shared" ca="1" si="9"/>
        <v>4</v>
      </c>
      <c r="BN270" s="3">
        <v>1000000</v>
      </c>
      <c r="BO270" s="3">
        <v>1000000</v>
      </c>
      <c r="BP270" s="3" t="s">
        <v>2922</v>
      </c>
      <c r="BQ270" s="3">
        <v>500000</v>
      </c>
      <c r="BR270" s="3">
        <v>100000</v>
      </c>
      <c r="BS270">
        <v>100000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 t="s">
        <v>2006</v>
      </c>
      <c r="CA270" t="s">
        <v>2006</v>
      </c>
      <c r="CB270" t="s">
        <v>2006</v>
      </c>
    </row>
    <row r="271" spans="1:80" x14ac:dyDescent="0.25">
      <c r="A271">
        <v>269</v>
      </c>
      <c r="B271" t="s">
        <v>2288</v>
      </c>
      <c r="C271" s="1">
        <v>44819</v>
      </c>
      <c r="D271" s="2">
        <v>27</v>
      </c>
      <c r="E271" t="s">
        <v>4</v>
      </c>
      <c r="F271" t="s">
        <v>1311</v>
      </c>
      <c r="G271">
        <v>0</v>
      </c>
      <c r="H271" s="3">
        <v>3500000</v>
      </c>
      <c r="I271" s="3">
        <v>835000</v>
      </c>
      <c r="J271" s="3">
        <v>100000</v>
      </c>
      <c r="K271" s="3">
        <v>0</v>
      </c>
      <c r="L271" s="3" t="s">
        <v>1191</v>
      </c>
      <c r="M271">
        <v>1288824</v>
      </c>
      <c r="N271" t="s">
        <v>560</v>
      </c>
      <c r="P271" t="s">
        <v>518</v>
      </c>
      <c r="Q271" t="s">
        <v>13</v>
      </c>
      <c r="R271">
        <v>2539</v>
      </c>
      <c r="S271" t="s">
        <v>55</v>
      </c>
      <c r="T271" t="s">
        <v>963</v>
      </c>
      <c r="U271">
        <v>0</v>
      </c>
      <c r="V271" t="s">
        <v>1027</v>
      </c>
      <c r="W271" t="s">
        <v>1194</v>
      </c>
      <c r="X271" t="s">
        <v>973</v>
      </c>
      <c r="Y271">
        <v>5000</v>
      </c>
      <c r="Z271" s="2">
        <v>2</v>
      </c>
      <c r="AA271" s="2" t="s">
        <v>1238</v>
      </c>
      <c r="AB271" t="s">
        <v>1238</v>
      </c>
      <c r="AC271">
        <v>709</v>
      </c>
      <c r="AD271" t="s">
        <v>1279</v>
      </c>
      <c r="AE271">
        <v>4</v>
      </c>
      <c r="AF271" t="s">
        <v>1292</v>
      </c>
      <c r="AG271">
        <v>0</v>
      </c>
      <c r="AH271">
        <v>0</v>
      </c>
      <c r="AI271">
        <v>0</v>
      </c>
      <c r="AJ271">
        <v>2019</v>
      </c>
      <c r="AK271" t="s">
        <v>1194</v>
      </c>
      <c r="AL271" t="s">
        <v>1194</v>
      </c>
      <c r="AM271" s="4" t="s">
        <v>1238</v>
      </c>
      <c r="AN271">
        <v>1</v>
      </c>
      <c r="AO271" t="s">
        <v>1317</v>
      </c>
      <c r="AP271">
        <f t="shared" si="8"/>
        <v>0</v>
      </c>
      <c r="AQ271">
        <v>1</v>
      </c>
      <c r="AR271" t="s">
        <v>1992</v>
      </c>
      <c r="AS271" t="s">
        <v>1995</v>
      </c>
      <c r="AT271" t="s">
        <v>1995</v>
      </c>
      <c r="AU271" t="s">
        <v>1995</v>
      </c>
      <c r="AV271" t="s">
        <v>1995</v>
      </c>
      <c r="AW271" t="s">
        <v>1995</v>
      </c>
      <c r="AX271" t="s">
        <v>2006</v>
      </c>
      <c r="AY271" t="s">
        <v>1996</v>
      </c>
      <c r="AZ271">
        <v>3500</v>
      </c>
      <c r="BA271" t="s">
        <v>1194</v>
      </c>
      <c r="BB271" t="s">
        <v>1194</v>
      </c>
      <c r="BC271" s="3">
        <v>11659.0641</v>
      </c>
      <c r="BD271" s="3">
        <v>10154.14</v>
      </c>
      <c r="BE271" s="3">
        <v>0</v>
      </c>
      <c r="BF271" s="3">
        <v>0</v>
      </c>
      <c r="BG271" s="3">
        <v>150</v>
      </c>
      <c r="BH271" s="3">
        <v>0</v>
      </c>
      <c r="BI271" s="3">
        <v>2124</v>
      </c>
      <c r="BJ271" s="3">
        <v>24087</v>
      </c>
      <c r="BK271" s="3">
        <v>0</v>
      </c>
      <c r="BL271" s="3">
        <v>24087</v>
      </c>
      <c r="BM271" s="2">
        <f t="shared" ca="1" si="9"/>
        <v>2</v>
      </c>
      <c r="BN271" s="3">
        <v>1000000</v>
      </c>
      <c r="BO271" s="3">
        <v>25000</v>
      </c>
      <c r="BP271" s="3">
        <v>100000</v>
      </c>
      <c r="BQ271" s="3">
        <v>100000</v>
      </c>
      <c r="BR271" s="3">
        <v>500000</v>
      </c>
      <c r="BS271">
        <v>50000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 t="s">
        <v>2938</v>
      </c>
      <c r="CA271" t="s">
        <v>2939</v>
      </c>
      <c r="CB271" t="s">
        <v>2006</v>
      </c>
    </row>
    <row r="272" spans="1:80" x14ac:dyDescent="0.25">
      <c r="A272">
        <v>270</v>
      </c>
      <c r="B272" t="s">
        <v>2289</v>
      </c>
      <c r="C272" s="1">
        <v>44944</v>
      </c>
      <c r="D272" s="2">
        <v>3</v>
      </c>
      <c r="E272" t="s">
        <v>4</v>
      </c>
      <c r="F272" t="s">
        <v>1310</v>
      </c>
      <c r="G272">
        <v>0</v>
      </c>
      <c r="H272" s="3">
        <v>1775000</v>
      </c>
      <c r="I272" s="3">
        <v>150000</v>
      </c>
      <c r="J272" s="3">
        <v>0</v>
      </c>
      <c r="K272" s="3">
        <v>0</v>
      </c>
      <c r="L272" s="3" t="s">
        <v>1191</v>
      </c>
      <c r="M272">
        <v>1770524</v>
      </c>
      <c r="N272" t="s">
        <v>561</v>
      </c>
      <c r="P272" t="s">
        <v>117</v>
      </c>
      <c r="Q272" t="s">
        <v>14</v>
      </c>
      <c r="R272">
        <v>11959</v>
      </c>
      <c r="S272" t="s">
        <v>26</v>
      </c>
      <c r="T272" t="s">
        <v>963</v>
      </c>
      <c r="U272">
        <v>0</v>
      </c>
      <c r="V272" t="s">
        <v>986</v>
      </c>
      <c r="W272" t="s">
        <v>1194</v>
      </c>
      <c r="X272" t="s">
        <v>973</v>
      </c>
      <c r="Y272">
        <v>10000</v>
      </c>
      <c r="Z272" s="2">
        <v>1</v>
      </c>
      <c r="AA272" s="2" t="s">
        <v>1238</v>
      </c>
      <c r="AB272" t="s">
        <v>1238</v>
      </c>
      <c r="AC272">
        <v>785</v>
      </c>
      <c r="AD272" t="s">
        <v>1279</v>
      </c>
      <c r="AE272">
        <v>2</v>
      </c>
      <c r="AF272" t="s">
        <v>1290</v>
      </c>
      <c r="AG272">
        <v>0</v>
      </c>
      <c r="AH272">
        <v>0</v>
      </c>
      <c r="AI272">
        <v>0</v>
      </c>
      <c r="AJ272">
        <v>2021</v>
      </c>
      <c r="AK272" t="s">
        <v>1194</v>
      </c>
      <c r="AL272" t="s">
        <v>1194</v>
      </c>
      <c r="AM272" s="4" t="s">
        <v>1304</v>
      </c>
      <c r="AN272">
        <v>0</v>
      </c>
      <c r="AO272" t="s">
        <v>1315</v>
      </c>
      <c r="AP272">
        <f t="shared" si="8"/>
        <v>0</v>
      </c>
      <c r="AQ272">
        <v>1</v>
      </c>
      <c r="AR272" t="s">
        <v>1992</v>
      </c>
      <c r="AS272" t="s">
        <v>1996</v>
      </c>
      <c r="AT272" t="s">
        <v>1996</v>
      </c>
      <c r="AU272" t="s">
        <v>1996</v>
      </c>
      <c r="AV272" t="s">
        <v>1995</v>
      </c>
      <c r="AW272" t="s">
        <v>1995</v>
      </c>
      <c r="AX272" t="s">
        <v>2006</v>
      </c>
      <c r="AY272" t="s">
        <v>1996</v>
      </c>
      <c r="AZ272">
        <v>2500</v>
      </c>
      <c r="BA272" t="s">
        <v>1194</v>
      </c>
      <c r="BB272" t="s">
        <v>1194</v>
      </c>
      <c r="BC272" s="3">
        <v>5365.5671000000002</v>
      </c>
      <c r="BD272" s="3">
        <v>6060.16</v>
      </c>
      <c r="BE272" s="3">
        <v>0</v>
      </c>
      <c r="BF272" s="3">
        <v>0</v>
      </c>
      <c r="BG272" s="3">
        <v>0</v>
      </c>
      <c r="BH272" s="3">
        <v>0</v>
      </c>
      <c r="BI272" s="3">
        <v>-742</v>
      </c>
      <c r="BJ272" s="3">
        <v>10684</v>
      </c>
      <c r="BK272" s="3">
        <v>250</v>
      </c>
      <c r="BL272" s="3">
        <v>10934</v>
      </c>
      <c r="BM272" s="2">
        <f t="shared" ca="1" si="9"/>
        <v>4</v>
      </c>
      <c r="BN272" s="3">
        <v>2000000</v>
      </c>
      <c r="BO272" s="3">
        <v>50000</v>
      </c>
      <c r="BP272" s="3" t="s">
        <v>2922</v>
      </c>
      <c r="BQ272" s="3">
        <v>500000</v>
      </c>
      <c r="BR272" s="3">
        <v>50000</v>
      </c>
      <c r="BS272" t="s">
        <v>2916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 t="s">
        <v>2942</v>
      </c>
      <c r="CA272" t="s">
        <v>2006</v>
      </c>
      <c r="CB272" t="s">
        <v>2006</v>
      </c>
    </row>
    <row r="273" spans="1:80" x14ac:dyDescent="0.25">
      <c r="A273">
        <v>271</v>
      </c>
      <c r="B273" t="s">
        <v>2290</v>
      </c>
      <c r="C273" s="1">
        <v>44673</v>
      </c>
      <c r="D273" s="2">
        <v>12</v>
      </c>
      <c r="E273" t="s">
        <v>4</v>
      </c>
      <c r="F273" t="s">
        <v>1311</v>
      </c>
      <c r="G273">
        <v>1</v>
      </c>
      <c r="H273" s="3">
        <v>3000000</v>
      </c>
      <c r="I273" s="3">
        <v>2000000</v>
      </c>
      <c r="J273" s="3">
        <v>0</v>
      </c>
      <c r="K273" s="3">
        <v>0</v>
      </c>
      <c r="L273" s="3" t="s">
        <v>1191</v>
      </c>
      <c r="M273">
        <v>1294099</v>
      </c>
      <c r="N273" t="s">
        <v>562</v>
      </c>
      <c r="P273" t="s">
        <v>25</v>
      </c>
      <c r="Q273" t="s">
        <v>13</v>
      </c>
      <c r="R273">
        <v>2554</v>
      </c>
      <c r="S273" t="s">
        <v>25</v>
      </c>
      <c r="T273" t="s">
        <v>962</v>
      </c>
      <c r="U273">
        <v>0</v>
      </c>
      <c r="V273" t="s">
        <v>983</v>
      </c>
      <c r="W273" t="s">
        <v>1194</v>
      </c>
      <c r="X273" t="s">
        <v>973</v>
      </c>
      <c r="Y273">
        <v>10000</v>
      </c>
      <c r="Z273" s="2">
        <v>5</v>
      </c>
      <c r="AA273" s="2" t="s">
        <v>1238</v>
      </c>
      <c r="AB273" t="s">
        <v>1238</v>
      </c>
      <c r="AC273">
        <v>721</v>
      </c>
      <c r="AD273" t="s">
        <v>1279</v>
      </c>
      <c r="AE273">
        <v>3</v>
      </c>
      <c r="AF273" t="s">
        <v>1290</v>
      </c>
      <c r="AG273">
        <v>0</v>
      </c>
      <c r="AH273">
        <v>0</v>
      </c>
      <c r="AI273">
        <v>0</v>
      </c>
      <c r="AJ273">
        <v>1988</v>
      </c>
      <c r="AK273">
        <v>2022</v>
      </c>
      <c r="AL273">
        <v>2022</v>
      </c>
      <c r="AM273" s="4" t="s">
        <v>1238</v>
      </c>
      <c r="AN273">
        <v>0</v>
      </c>
      <c r="AO273" t="s">
        <v>1317</v>
      </c>
      <c r="AP273">
        <f t="shared" si="8"/>
        <v>0</v>
      </c>
      <c r="AQ273">
        <v>1</v>
      </c>
      <c r="AR273" t="s">
        <v>1992</v>
      </c>
      <c r="AS273" t="s">
        <v>1996</v>
      </c>
      <c r="AT273" t="s">
        <v>1996</v>
      </c>
      <c r="AU273" t="s">
        <v>1995</v>
      </c>
      <c r="AV273" t="s">
        <v>1996</v>
      </c>
      <c r="AW273" t="s">
        <v>1995</v>
      </c>
      <c r="AX273" t="s">
        <v>2006</v>
      </c>
      <c r="AY273" t="s">
        <v>1996</v>
      </c>
      <c r="AZ273">
        <v>4349</v>
      </c>
      <c r="BA273" t="s">
        <v>1194</v>
      </c>
      <c r="BB273" t="s">
        <v>1194</v>
      </c>
      <c r="BC273" s="3">
        <v>9840.2710000000006</v>
      </c>
      <c r="BD273" s="3">
        <v>12889.1</v>
      </c>
      <c r="BE273" s="3">
        <v>0</v>
      </c>
      <c r="BF273" s="3">
        <v>0</v>
      </c>
      <c r="BG273" s="3">
        <v>0</v>
      </c>
      <c r="BH273" s="3">
        <v>0</v>
      </c>
      <c r="BI273" s="3">
        <v>4771</v>
      </c>
      <c r="BJ273" s="3">
        <v>27500</v>
      </c>
      <c r="BK273" s="3">
        <v>400</v>
      </c>
      <c r="BL273" s="3">
        <v>27900</v>
      </c>
      <c r="BM273" s="2">
        <f t="shared" ca="1" si="9"/>
        <v>5</v>
      </c>
      <c r="BN273" s="3">
        <v>100000</v>
      </c>
      <c r="BO273" s="3">
        <v>50000</v>
      </c>
      <c r="BP273" s="3">
        <v>50000</v>
      </c>
      <c r="BQ273" s="3">
        <v>100000</v>
      </c>
      <c r="BR273" s="3" t="s">
        <v>2916</v>
      </c>
      <c r="BS273">
        <v>500000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 t="s">
        <v>2942</v>
      </c>
      <c r="CA273" t="s">
        <v>2006</v>
      </c>
      <c r="CB273" t="s">
        <v>2945</v>
      </c>
    </row>
    <row r="274" spans="1:80" x14ac:dyDescent="0.25">
      <c r="A274">
        <v>272</v>
      </c>
      <c r="B274" t="s">
        <v>2291</v>
      </c>
      <c r="C274" s="1">
        <v>44836</v>
      </c>
      <c r="D274" s="2">
        <v>30</v>
      </c>
      <c r="E274" t="s">
        <v>4</v>
      </c>
      <c r="F274" t="s">
        <v>1311</v>
      </c>
      <c r="G274">
        <v>1</v>
      </c>
      <c r="H274" s="3">
        <v>2483520</v>
      </c>
      <c r="I274" s="3">
        <v>856215</v>
      </c>
      <c r="J274" s="3">
        <v>0</v>
      </c>
      <c r="K274" s="3">
        <v>0</v>
      </c>
      <c r="L274" s="3" t="s">
        <v>1191</v>
      </c>
      <c r="M274">
        <v>1298207</v>
      </c>
      <c r="N274" t="s">
        <v>563</v>
      </c>
      <c r="P274" t="s">
        <v>46</v>
      </c>
      <c r="Q274" t="s">
        <v>19</v>
      </c>
      <c r="R274">
        <v>90026</v>
      </c>
      <c r="S274" t="s">
        <v>46</v>
      </c>
      <c r="T274" t="s">
        <v>965</v>
      </c>
      <c r="U274">
        <v>0</v>
      </c>
      <c r="V274">
        <v>34</v>
      </c>
      <c r="W274" t="s">
        <v>1200</v>
      </c>
      <c r="X274" t="s">
        <v>973</v>
      </c>
      <c r="Y274">
        <v>10000</v>
      </c>
      <c r="Z274" s="2" t="s">
        <v>1194</v>
      </c>
      <c r="AA274" s="2" t="s">
        <v>1238</v>
      </c>
      <c r="AB274" t="s">
        <v>1238</v>
      </c>
      <c r="AC274" t="s">
        <v>1194</v>
      </c>
      <c r="AD274" t="s">
        <v>1279</v>
      </c>
      <c r="AE274">
        <v>1</v>
      </c>
      <c r="AF274" t="s">
        <v>1290</v>
      </c>
      <c r="AG274">
        <v>0</v>
      </c>
      <c r="AH274">
        <v>0</v>
      </c>
      <c r="AI274">
        <v>0</v>
      </c>
      <c r="AJ274">
        <v>2020</v>
      </c>
      <c r="AK274" t="s">
        <v>1194</v>
      </c>
      <c r="AL274" t="s">
        <v>1194</v>
      </c>
      <c r="AM274" s="4" t="s">
        <v>1238</v>
      </c>
      <c r="AN274">
        <v>1</v>
      </c>
      <c r="AO274" t="s">
        <v>1315</v>
      </c>
      <c r="AP274">
        <f t="shared" si="8"/>
        <v>0</v>
      </c>
      <c r="AQ274">
        <v>0</v>
      </c>
      <c r="AR274" t="s">
        <v>1993</v>
      </c>
      <c r="AS274" t="s">
        <v>1995</v>
      </c>
      <c r="AT274" t="s">
        <v>1995</v>
      </c>
      <c r="AU274" t="s">
        <v>1996</v>
      </c>
      <c r="AV274" t="s">
        <v>1995</v>
      </c>
      <c r="AW274" t="s">
        <v>1996</v>
      </c>
      <c r="AX274" t="s">
        <v>1194</v>
      </c>
      <c r="AY274" t="s">
        <v>1996</v>
      </c>
      <c r="AZ274">
        <v>4016</v>
      </c>
      <c r="BA274">
        <v>-1</v>
      </c>
      <c r="BB274" t="s">
        <v>2014</v>
      </c>
      <c r="BC274" s="3">
        <v>0</v>
      </c>
      <c r="BD274" s="3">
        <v>0</v>
      </c>
      <c r="BE274" s="3">
        <v>9009.77</v>
      </c>
      <c r="BF274" s="3">
        <v>5270.96</v>
      </c>
      <c r="BG274" s="3">
        <v>0</v>
      </c>
      <c r="BH274" s="3">
        <v>0</v>
      </c>
      <c r="BI274" s="3">
        <v>5757.59</v>
      </c>
      <c r="BJ274" s="3">
        <v>20038.32</v>
      </c>
      <c r="BK274" s="3">
        <v>0</v>
      </c>
      <c r="BL274" s="3">
        <v>20038.32</v>
      </c>
      <c r="BM274" s="2">
        <f t="shared" ca="1" si="9"/>
        <v>0</v>
      </c>
      <c r="BN274" s="3" t="s">
        <v>2916</v>
      </c>
      <c r="BO274" s="3">
        <v>1000000</v>
      </c>
      <c r="BP274" s="3">
        <v>100000</v>
      </c>
      <c r="BQ274" s="3">
        <v>100000</v>
      </c>
      <c r="BR274" s="3" t="s">
        <v>2916</v>
      </c>
      <c r="BS274">
        <v>100000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 t="s">
        <v>2956</v>
      </c>
      <c r="CA274" t="s">
        <v>1194</v>
      </c>
      <c r="CB274" t="s">
        <v>2952</v>
      </c>
    </row>
    <row r="275" spans="1:80" x14ac:dyDescent="0.25">
      <c r="A275">
        <v>273</v>
      </c>
      <c r="B275" t="s">
        <v>2292</v>
      </c>
      <c r="C275" s="1">
        <v>44789</v>
      </c>
      <c r="D275" s="2">
        <v>24</v>
      </c>
      <c r="E275" t="s">
        <v>4</v>
      </c>
      <c r="F275" t="s">
        <v>1311</v>
      </c>
      <c r="G275">
        <v>0</v>
      </c>
      <c r="H275" s="3">
        <v>4418412</v>
      </c>
      <c r="I275" s="3">
        <v>100000</v>
      </c>
      <c r="J275" s="3">
        <v>0</v>
      </c>
      <c r="K275" s="3">
        <v>0</v>
      </c>
      <c r="L275" s="3" t="s">
        <v>1191</v>
      </c>
      <c r="M275">
        <v>1541412</v>
      </c>
      <c r="N275" t="s">
        <v>564</v>
      </c>
      <c r="P275" t="s">
        <v>565</v>
      </c>
      <c r="Q275" t="s">
        <v>21</v>
      </c>
      <c r="R275">
        <v>28411</v>
      </c>
      <c r="S275" t="s">
        <v>64</v>
      </c>
      <c r="T275" t="s">
        <v>967</v>
      </c>
      <c r="U275">
        <v>1</v>
      </c>
      <c r="V275" t="s">
        <v>1041</v>
      </c>
      <c r="W275" t="s">
        <v>1194</v>
      </c>
      <c r="X275" t="s">
        <v>1309</v>
      </c>
      <c r="Y275">
        <v>10000</v>
      </c>
      <c r="Z275" s="2">
        <v>1.999994568</v>
      </c>
      <c r="AA275" s="2" t="s">
        <v>1238</v>
      </c>
      <c r="AB275" t="s">
        <v>1238</v>
      </c>
      <c r="AC275">
        <v>841</v>
      </c>
      <c r="AD275" t="s">
        <v>1279</v>
      </c>
      <c r="AE275">
        <v>2</v>
      </c>
      <c r="AF275" t="s">
        <v>1292</v>
      </c>
      <c r="AG275">
        <v>0</v>
      </c>
      <c r="AH275">
        <v>0</v>
      </c>
      <c r="AI275">
        <v>0</v>
      </c>
      <c r="AJ275">
        <v>1980</v>
      </c>
      <c r="AK275">
        <v>2010</v>
      </c>
      <c r="AL275">
        <v>2010</v>
      </c>
      <c r="AM275" s="4" t="s">
        <v>1238</v>
      </c>
      <c r="AN275">
        <v>1</v>
      </c>
      <c r="AO275" t="s">
        <v>1315</v>
      </c>
      <c r="AP275">
        <f t="shared" si="8"/>
        <v>0</v>
      </c>
      <c r="AQ275">
        <v>1</v>
      </c>
      <c r="AR275" t="s">
        <v>1992</v>
      </c>
      <c r="AS275" t="s">
        <v>1996</v>
      </c>
      <c r="AT275" t="s">
        <v>1995</v>
      </c>
      <c r="AU275" t="s">
        <v>1996</v>
      </c>
      <c r="AV275" t="s">
        <v>1996</v>
      </c>
      <c r="AW275" t="s">
        <v>1995</v>
      </c>
      <c r="AX275" t="s">
        <v>2007</v>
      </c>
      <c r="AY275" t="s">
        <v>1995</v>
      </c>
      <c r="AZ275">
        <v>5860</v>
      </c>
      <c r="BA275" t="s">
        <v>1194</v>
      </c>
      <c r="BB275" t="s">
        <v>1194</v>
      </c>
      <c r="BC275" s="3">
        <v>6003.6900999999998</v>
      </c>
      <c r="BD275" s="3">
        <v>46091.57</v>
      </c>
      <c r="BE275" s="3">
        <v>0</v>
      </c>
      <c r="BF275" s="3">
        <v>0</v>
      </c>
      <c r="BG275" s="3">
        <v>150</v>
      </c>
      <c r="BH275" s="3">
        <v>0</v>
      </c>
      <c r="BI275" s="3">
        <v>-2714</v>
      </c>
      <c r="BJ275" s="3">
        <v>49531</v>
      </c>
      <c r="BK275" s="3">
        <v>0</v>
      </c>
      <c r="BL275" s="3">
        <v>49531</v>
      </c>
      <c r="BM275" s="2">
        <f t="shared" ca="1" si="9"/>
        <v>2</v>
      </c>
      <c r="BN275" s="3">
        <v>500000</v>
      </c>
      <c r="BO275" s="3">
        <v>25000</v>
      </c>
      <c r="BP275" s="3">
        <v>50000</v>
      </c>
      <c r="BQ275" s="3">
        <v>100000</v>
      </c>
      <c r="BR275" s="3">
        <v>1000000</v>
      </c>
      <c r="BS275">
        <v>50000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 t="s">
        <v>2943</v>
      </c>
      <c r="CA275" t="s">
        <v>2944</v>
      </c>
      <c r="CB275" t="s">
        <v>2006</v>
      </c>
    </row>
    <row r="276" spans="1:80" x14ac:dyDescent="0.25">
      <c r="A276">
        <v>274</v>
      </c>
      <c r="B276" t="s">
        <v>2293</v>
      </c>
      <c r="C276" s="1">
        <v>44841</v>
      </c>
      <c r="D276" s="2">
        <v>30</v>
      </c>
      <c r="E276" t="s">
        <v>4</v>
      </c>
      <c r="F276" t="s">
        <v>1311</v>
      </c>
      <c r="G276">
        <v>0</v>
      </c>
      <c r="H276" s="3">
        <v>5000000</v>
      </c>
      <c r="I276" s="3">
        <v>741505</v>
      </c>
      <c r="J276" s="3">
        <v>0</v>
      </c>
      <c r="K276" s="3">
        <v>0</v>
      </c>
      <c r="L276" s="3" t="s">
        <v>1191</v>
      </c>
      <c r="M276">
        <v>1299853</v>
      </c>
      <c r="N276" t="s">
        <v>566</v>
      </c>
      <c r="P276" t="s">
        <v>479</v>
      </c>
      <c r="Q276" t="s">
        <v>19</v>
      </c>
      <c r="R276">
        <v>94010</v>
      </c>
      <c r="S276" t="s">
        <v>66</v>
      </c>
      <c r="T276" t="s">
        <v>975</v>
      </c>
      <c r="U276">
        <v>0</v>
      </c>
      <c r="V276">
        <v>48</v>
      </c>
      <c r="W276" t="s">
        <v>1215</v>
      </c>
      <c r="X276" t="s">
        <v>973</v>
      </c>
      <c r="Y276">
        <v>25000</v>
      </c>
      <c r="Z276" s="2" t="s">
        <v>1194</v>
      </c>
      <c r="AA276" s="2" t="s">
        <v>1238</v>
      </c>
      <c r="AB276" t="s">
        <v>1238</v>
      </c>
      <c r="AC276" t="s">
        <v>1194</v>
      </c>
      <c r="AD276" t="s">
        <v>1279</v>
      </c>
      <c r="AE276">
        <v>2</v>
      </c>
      <c r="AF276" t="s">
        <v>1290</v>
      </c>
      <c r="AG276">
        <v>0</v>
      </c>
      <c r="AH276">
        <v>0</v>
      </c>
      <c r="AI276">
        <v>0</v>
      </c>
      <c r="AJ276">
        <v>1920</v>
      </c>
      <c r="AK276">
        <v>2000</v>
      </c>
      <c r="AL276">
        <v>2022</v>
      </c>
      <c r="AM276" s="4" t="s">
        <v>1238</v>
      </c>
      <c r="AN276">
        <v>1</v>
      </c>
      <c r="AO276" t="s">
        <v>1316</v>
      </c>
      <c r="AP276">
        <f t="shared" si="8"/>
        <v>0</v>
      </c>
      <c r="AQ276">
        <v>1</v>
      </c>
      <c r="AR276" t="s">
        <v>1992</v>
      </c>
      <c r="AS276" t="s">
        <v>1996</v>
      </c>
      <c r="AT276" t="s">
        <v>1995</v>
      </c>
      <c r="AU276" t="s">
        <v>1996</v>
      </c>
      <c r="AV276" t="s">
        <v>1995</v>
      </c>
      <c r="AW276" t="s">
        <v>1995</v>
      </c>
      <c r="AX276" t="s">
        <v>1194</v>
      </c>
      <c r="AY276" t="s">
        <v>1996</v>
      </c>
      <c r="AZ276">
        <v>5120</v>
      </c>
      <c r="BA276" t="s">
        <v>1194</v>
      </c>
      <c r="BB276" t="s">
        <v>2014</v>
      </c>
      <c r="BC276" s="3">
        <v>0</v>
      </c>
      <c r="BD276" s="3">
        <v>0</v>
      </c>
      <c r="BE276" s="3">
        <v>9268.06</v>
      </c>
      <c r="BF276" s="3">
        <v>6664.32</v>
      </c>
      <c r="BG276" s="3">
        <v>120</v>
      </c>
      <c r="BH276" s="3">
        <v>0</v>
      </c>
      <c r="BI276" s="3">
        <v>24138</v>
      </c>
      <c r="BJ276" s="3">
        <v>40190.379999999997</v>
      </c>
      <c r="BK276" s="3">
        <v>0</v>
      </c>
      <c r="BL276" s="3">
        <v>40190.379999999997</v>
      </c>
      <c r="BM276" s="2">
        <f t="shared" ca="1" si="9"/>
        <v>4</v>
      </c>
      <c r="BN276" s="3" t="s">
        <v>2916</v>
      </c>
      <c r="BO276" s="3">
        <v>2000000</v>
      </c>
      <c r="BP276" s="3" t="s">
        <v>2922</v>
      </c>
      <c r="BQ276" s="3">
        <v>500000</v>
      </c>
      <c r="BR276" s="3">
        <v>250000</v>
      </c>
      <c r="BS276">
        <v>250000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0</v>
      </c>
      <c r="BZ276" t="s">
        <v>2950</v>
      </c>
      <c r="CA276" t="s">
        <v>1194</v>
      </c>
      <c r="CB276" t="s">
        <v>2952</v>
      </c>
    </row>
    <row r="277" spans="1:80" x14ac:dyDescent="0.25">
      <c r="A277">
        <v>275</v>
      </c>
      <c r="B277" t="s">
        <v>2294</v>
      </c>
      <c r="C277" s="1">
        <v>44828</v>
      </c>
      <c r="D277" s="2">
        <v>27</v>
      </c>
      <c r="E277" t="s">
        <v>6</v>
      </c>
      <c r="F277" t="s">
        <v>1310</v>
      </c>
      <c r="G277">
        <v>0</v>
      </c>
      <c r="H277" s="3">
        <v>15000000</v>
      </c>
      <c r="I277" s="3">
        <v>0</v>
      </c>
      <c r="J277" s="3">
        <v>0</v>
      </c>
      <c r="K277" s="3">
        <v>0</v>
      </c>
      <c r="L277" s="3" t="s">
        <v>1191</v>
      </c>
      <c r="M277">
        <v>1299598</v>
      </c>
      <c r="N277" t="s">
        <v>567</v>
      </c>
      <c r="P277" t="s">
        <v>453</v>
      </c>
      <c r="Q277" t="s">
        <v>19</v>
      </c>
      <c r="R277">
        <v>90210</v>
      </c>
      <c r="S277" t="s">
        <v>46</v>
      </c>
      <c r="T277" t="s">
        <v>965</v>
      </c>
      <c r="U277">
        <v>0</v>
      </c>
      <c r="V277">
        <v>34</v>
      </c>
      <c r="W277" t="s">
        <v>1216</v>
      </c>
      <c r="X277" t="s">
        <v>973</v>
      </c>
      <c r="Y277">
        <v>25000</v>
      </c>
      <c r="Z277" s="2" t="s">
        <v>1194</v>
      </c>
      <c r="AA277" s="2" t="s">
        <v>1238</v>
      </c>
      <c r="AB277" t="s">
        <v>1238</v>
      </c>
      <c r="AC277" t="s">
        <v>1194</v>
      </c>
      <c r="AD277" t="s">
        <v>1279</v>
      </c>
      <c r="AE277">
        <v>1</v>
      </c>
      <c r="AF277" t="s">
        <v>1290</v>
      </c>
      <c r="AG277">
        <v>0</v>
      </c>
      <c r="AH277">
        <v>0</v>
      </c>
      <c r="AI277">
        <v>0</v>
      </c>
      <c r="AJ277">
        <v>1991</v>
      </c>
      <c r="AK277">
        <v>2021</v>
      </c>
      <c r="AL277" t="s">
        <v>1194</v>
      </c>
      <c r="AM277" s="4" t="s">
        <v>1304</v>
      </c>
      <c r="AN277">
        <v>0</v>
      </c>
      <c r="AO277" t="s">
        <v>1316</v>
      </c>
      <c r="AP277">
        <f t="shared" si="8"/>
        <v>0</v>
      </c>
      <c r="AQ277">
        <v>0</v>
      </c>
      <c r="AR277" t="s">
        <v>1993</v>
      </c>
      <c r="AS277" t="s">
        <v>1996</v>
      </c>
      <c r="AT277" t="s">
        <v>1996</v>
      </c>
      <c r="AU277" t="s">
        <v>1996</v>
      </c>
      <c r="AV277" t="s">
        <v>1995</v>
      </c>
      <c r="AW277" t="s">
        <v>1995</v>
      </c>
      <c r="AX277" t="s">
        <v>1194</v>
      </c>
      <c r="AY277" t="s">
        <v>1996</v>
      </c>
      <c r="AZ277">
        <v>10309</v>
      </c>
      <c r="BA277">
        <v>3</v>
      </c>
      <c r="BB277" t="s">
        <v>2016</v>
      </c>
      <c r="BC277" s="3">
        <v>0</v>
      </c>
      <c r="BD277" s="3">
        <v>0</v>
      </c>
      <c r="BE277" s="3">
        <v>17917.45</v>
      </c>
      <c r="BF277" s="3">
        <v>98573.5</v>
      </c>
      <c r="BG277" s="3">
        <v>0</v>
      </c>
      <c r="BH277" s="3">
        <v>0</v>
      </c>
      <c r="BI277" s="3">
        <v>18500</v>
      </c>
      <c r="BJ277" s="3">
        <v>134990.95000000001</v>
      </c>
      <c r="BK277" s="3">
        <v>0</v>
      </c>
      <c r="BL277" s="3">
        <v>134990.95000000001</v>
      </c>
      <c r="BM277" s="2">
        <f t="shared" ca="1" si="9"/>
        <v>2</v>
      </c>
      <c r="BN277" s="3" t="s">
        <v>2916</v>
      </c>
      <c r="BO277" s="3">
        <v>1000000</v>
      </c>
      <c r="BP277" s="3">
        <v>100000</v>
      </c>
      <c r="BQ277" s="3">
        <v>50000</v>
      </c>
      <c r="BR277" s="3">
        <v>500000</v>
      </c>
      <c r="BS277">
        <v>2000000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 t="s">
        <v>2953</v>
      </c>
      <c r="CA277" t="s">
        <v>1194</v>
      </c>
      <c r="CB277" t="s">
        <v>2949</v>
      </c>
    </row>
    <row r="278" spans="1:80" x14ac:dyDescent="0.25">
      <c r="A278">
        <v>276</v>
      </c>
      <c r="B278" t="s">
        <v>2295</v>
      </c>
      <c r="C278" s="1">
        <v>44790</v>
      </c>
      <c r="D278" s="2">
        <v>24</v>
      </c>
      <c r="E278" t="s">
        <v>4</v>
      </c>
      <c r="F278" t="s">
        <v>1311</v>
      </c>
      <c r="G278">
        <v>1</v>
      </c>
      <c r="H278" s="3">
        <v>2170000</v>
      </c>
      <c r="I278" s="3">
        <v>50000</v>
      </c>
      <c r="J278" s="3">
        <v>0</v>
      </c>
      <c r="K278" s="3">
        <v>0</v>
      </c>
      <c r="L278" s="3" t="s">
        <v>1191</v>
      </c>
      <c r="M278">
        <v>1785385</v>
      </c>
      <c r="N278" t="s">
        <v>568</v>
      </c>
      <c r="P278" t="s">
        <v>569</v>
      </c>
      <c r="Q278" t="s">
        <v>13</v>
      </c>
      <c r="R278">
        <v>2129</v>
      </c>
      <c r="S278" t="s">
        <v>26</v>
      </c>
      <c r="T278" t="s">
        <v>962</v>
      </c>
      <c r="U278">
        <v>0</v>
      </c>
      <c r="V278" t="s">
        <v>1111</v>
      </c>
      <c r="W278" t="s">
        <v>1194</v>
      </c>
      <c r="X278" t="s">
        <v>973</v>
      </c>
      <c r="Y278">
        <v>10000</v>
      </c>
      <c r="Z278" s="2">
        <v>2</v>
      </c>
      <c r="AA278" s="2" t="s">
        <v>1238</v>
      </c>
      <c r="AB278" t="s">
        <v>1238</v>
      </c>
      <c r="AC278">
        <v>872</v>
      </c>
      <c r="AD278" t="s">
        <v>1280</v>
      </c>
      <c r="AE278">
        <v>1</v>
      </c>
      <c r="AF278" t="s">
        <v>1290</v>
      </c>
      <c r="AG278">
        <v>0</v>
      </c>
      <c r="AH278">
        <v>0</v>
      </c>
      <c r="AI278">
        <v>0</v>
      </c>
      <c r="AJ278">
        <v>1855</v>
      </c>
      <c r="AK278">
        <v>2010</v>
      </c>
      <c r="AL278">
        <v>2010</v>
      </c>
      <c r="AM278" s="4" t="s">
        <v>1238</v>
      </c>
      <c r="AN278">
        <v>1</v>
      </c>
      <c r="AO278" t="s">
        <v>1315</v>
      </c>
      <c r="AP278">
        <f t="shared" si="8"/>
        <v>0</v>
      </c>
      <c r="AQ278">
        <v>1</v>
      </c>
      <c r="AR278" t="s">
        <v>1992</v>
      </c>
      <c r="AS278" t="s">
        <v>1995</v>
      </c>
      <c r="AT278" t="s">
        <v>1995</v>
      </c>
      <c r="AU278" t="s">
        <v>1995</v>
      </c>
      <c r="AV278" t="s">
        <v>1996</v>
      </c>
      <c r="AW278" t="s">
        <v>1995</v>
      </c>
      <c r="AX278" t="s">
        <v>2006</v>
      </c>
      <c r="AY278" t="s">
        <v>1996</v>
      </c>
      <c r="AZ278">
        <v>1986</v>
      </c>
      <c r="BA278" t="s">
        <v>1194</v>
      </c>
      <c r="BB278" t="s">
        <v>1194</v>
      </c>
      <c r="BC278" s="3">
        <v>4127.7584999999999</v>
      </c>
      <c r="BD278" s="3">
        <v>3750.88</v>
      </c>
      <c r="BE278" s="3">
        <v>0</v>
      </c>
      <c r="BF278" s="3">
        <v>0</v>
      </c>
      <c r="BG278" s="3">
        <v>150</v>
      </c>
      <c r="BH278" s="3">
        <v>0</v>
      </c>
      <c r="BI278" s="3">
        <v>5291</v>
      </c>
      <c r="BJ278" s="3">
        <v>13320</v>
      </c>
      <c r="BK278" s="3">
        <v>0</v>
      </c>
      <c r="BL278" s="3">
        <v>13320</v>
      </c>
      <c r="BM278" s="2">
        <f t="shared" ca="1" si="9"/>
        <v>1</v>
      </c>
      <c r="BN278" s="3" t="s">
        <v>2916</v>
      </c>
      <c r="BO278" s="3">
        <v>25000</v>
      </c>
      <c r="BP278" s="3">
        <v>50000</v>
      </c>
      <c r="BQ278" s="3">
        <v>2000000</v>
      </c>
      <c r="BR278" s="3">
        <v>50000</v>
      </c>
      <c r="BS278">
        <v>2000000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 t="s">
        <v>2942</v>
      </c>
      <c r="CA278" t="s">
        <v>2006</v>
      </c>
      <c r="CB278" t="s">
        <v>2946</v>
      </c>
    </row>
    <row r="279" spans="1:80" x14ac:dyDescent="0.25">
      <c r="A279">
        <v>277</v>
      </c>
      <c r="B279" t="s">
        <v>2296</v>
      </c>
      <c r="C279" s="1">
        <v>44979</v>
      </c>
      <c r="D279" s="2">
        <v>6</v>
      </c>
      <c r="E279" t="s">
        <v>6</v>
      </c>
      <c r="F279" t="s">
        <v>1310</v>
      </c>
      <c r="G279">
        <v>0</v>
      </c>
      <c r="H279" s="3">
        <v>200000</v>
      </c>
      <c r="I279" s="3">
        <v>0</v>
      </c>
      <c r="J279" s="3">
        <v>0</v>
      </c>
      <c r="K279" s="3">
        <v>0</v>
      </c>
      <c r="L279" s="3" t="s">
        <v>1191</v>
      </c>
      <c r="M279">
        <v>2070285</v>
      </c>
      <c r="N279" t="s">
        <v>570</v>
      </c>
      <c r="O279" t="s">
        <v>571</v>
      </c>
      <c r="P279" t="s">
        <v>565</v>
      </c>
      <c r="Q279" t="s">
        <v>21</v>
      </c>
      <c r="R279">
        <v>28409</v>
      </c>
      <c r="S279" t="s">
        <v>64</v>
      </c>
      <c r="T279" t="s">
        <v>963</v>
      </c>
      <c r="U279">
        <v>0</v>
      </c>
      <c r="V279" t="s">
        <v>1112</v>
      </c>
      <c r="W279" t="s">
        <v>1194</v>
      </c>
      <c r="X279" t="s">
        <v>973</v>
      </c>
      <c r="Y279">
        <v>10000</v>
      </c>
      <c r="Z279" s="2">
        <v>5</v>
      </c>
      <c r="AA279" s="2" t="s">
        <v>1238</v>
      </c>
      <c r="AB279" t="s">
        <v>1238</v>
      </c>
      <c r="AC279">
        <v>634</v>
      </c>
      <c r="AD279" t="s">
        <v>1284</v>
      </c>
      <c r="AE279">
        <v>1</v>
      </c>
      <c r="AF279" t="s">
        <v>1290</v>
      </c>
      <c r="AG279">
        <v>0</v>
      </c>
      <c r="AH279">
        <v>0</v>
      </c>
      <c r="AI279">
        <v>0</v>
      </c>
      <c r="AJ279">
        <v>2023</v>
      </c>
      <c r="AK279" t="s">
        <v>1194</v>
      </c>
      <c r="AL279" t="s">
        <v>1194</v>
      </c>
      <c r="AM279" s="4" t="s">
        <v>1304</v>
      </c>
      <c r="AN279">
        <v>1</v>
      </c>
      <c r="AO279" t="s">
        <v>1316</v>
      </c>
      <c r="AP279">
        <f t="shared" si="8"/>
        <v>0</v>
      </c>
      <c r="AQ279">
        <v>1</v>
      </c>
      <c r="AR279" t="s">
        <v>1992</v>
      </c>
      <c r="AS279" t="s">
        <v>1995</v>
      </c>
      <c r="AT279" t="s">
        <v>1995</v>
      </c>
      <c r="AU279" t="s">
        <v>1995</v>
      </c>
      <c r="AV279" t="s">
        <v>1995</v>
      </c>
      <c r="AW279" t="s">
        <v>1995</v>
      </c>
      <c r="AX279" t="s">
        <v>2003</v>
      </c>
      <c r="AY279" t="s">
        <v>1996</v>
      </c>
      <c r="AZ279">
        <v>900</v>
      </c>
      <c r="BA279" t="s">
        <v>1194</v>
      </c>
      <c r="BB279" t="s">
        <v>1194</v>
      </c>
      <c r="BC279" s="3">
        <v>442.5514</v>
      </c>
      <c r="BD279" s="3">
        <v>2307.2600000000002</v>
      </c>
      <c r="BE279" s="3">
        <v>0</v>
      </c>
      <c r="BF279" s="3">
        <v>0</v>
      </c>
      <c r="BG279" s="3">
        <v>0</v>
      </c>
      <c r="BH279" s="3">
        <v>0</v>
      </c>
      <c r="BI279" s="3">
        <v>1250</v>
      </c>
      <c r="BJ279" s="3">
        <v>4000</v>
      </c>
      <c r="BK279" s="3">
        <v>0</v>
      </c>
      <c r="BL279" s="3">
        <v>4000</v>
      </c>
      <c r="BM279" s="2">
        <f t="shared" ca="1" si="9"/>
        <v>4</v>
      </c>
      <c r="BN279" s="3">
        <v>100000</v>
      </c>
      <c r="BO279" s="3">
        <v>100000</v>
      </c>
      <c r="BP279" s="3">
        <v>200000</v>
      </c>
      <c r="BQ279" s="3">
        <v>250000</v>
      </c>
      <c r="BR279" s="3">
        <v>250000</v>
      </c>
      <c r="BS279">
        <v>500000</v>
      </c>
      <c r="BT279">
        <v>0</v>
      </c>
      <c r="BU279">
        <v>0</v>
      </c>
      <c r="BV279">
        <v>0</v>
      </c>
      <c r="BW279">
        <v>0</v>
      </c>
      <c r="BX279">
        <v>1</v>
      </c>
      <c r="BY279">
        <v>0</v>
      </c>
      <c r="BZ279" t="s">
        <v>2947</v>
      </c>
      <c r="CA279" t="s">
        <v>2006</v>
      </c>
      <c r="CB279" t="s">
        <v>2941</v>
      </c>
    </row>
    <row r="280" spans="1:80" x14ac:dyDescent="0.25">
      <c r="A280">
        <v>278</v>
      </c>
      <c r="B280" t="s">
        <v>2297</v>
      </c>
      <c r="C280" s="1">
        <v>44699</v>
      </c>
      <c r="D280" s="2">
        <v>15</v>
      </c>
      <c r="E280" t="s">
        <v>4</v>
      </c>
      <c r="F280" t="s">
        <v>1311</v>
      </c>
      <c r="G280">
        <v>1</v>
      </c>
      <c r="H280" s="3">
        <v>4000000</v>
      </c>
      <c r="I280" s="3">
        <v>0</v>
      </c>
      <c r="J280" s="3">
        <v>0</v>
      </c>
      <c r="K280" s="3">
        <v>0</v>
      </c>
      <c r="L280" s="3" t="s">
        <v>1191</v>
      </c>
      <c r="M280">
        <v>1621529</v>
      </c>
      <c r="N280" t="s">
        <v>572</v>
      </c>
      <c r="P280" t="s">
        <v>573</v>
      </c>
      <c r="Q280" t="s">
        <v>14</v>
      </c>
      <c r="R280">
        <v>11050</v>
      </c>
      <c r="S280" t="s">
        <v>38</v>
      </c>
      <c r="T280" t="s">
        <v>970</v>
      </c>
      <c r="U280">
        <v>1</v>
      </c>
      <c r="V280" t="s">
        <v>1048</v>
      </c>
      <c r="W280" t="s">
        <v>1194</v>
      </c>
      <c r="X280" t="s">
        <v>1309</v>
      </c>
      <c r="Y280">
        <v>10000</v>
      </c>
      <c r="Z280" s="2">
        <v>2</v>
      </c>
      <c r="AA280" s="2" t="s">
        <v>1238</v>
      </c>
      <c r="AB280" t="s">
        <v>1238</v>
      </c>
      <c r="AC280">
        <v>638</v>
      </c>
      <c r="AD280" t="s">
        <v>1279</v>
      </c>
      <c r="AE280">
        <v>3</v>
      </c>
      <c r="AF280" t="s">
        <v>1290</v>
      </c>
      <c r="AG280">
        <v>0</v>
      </c>
      <c r="AH280">
        <v>0</v>
      </c>
      <c r="AI280">
        <v>0</v>
      </c>
      <c r="AJ280">
        <v>2022</v>
      </c>
      <c r="AK280" t="s">
        <v>1194</v>
      </c>
      <c r="AL280" t="s">
        <v>1194</v>
      </c>
      <c r="AM280" s="4" t="s">
        <v>1238</v>
      </c>
      <c r="AN280">
        <v>0</v>
      </c>
      <c r="AO280" t="s">
        <v>1315</v>
      </c>
      <c r="AP280">
        <f t="shared" si="8"/>
        <v>0</v>
      </c>
      <c r="AQ280">
        <v>0</v>
      </c>
      <c r="AR280" t="s">
        <v>1993</v>
      </c>
      <c r="AS280" t="s">
        <v>1995</v>
      </c>
      <c r="AT280" t="s">
        <v>1996</v>
      </c>
      <c r="AU280" t="s">
        <v>1996</v>
      </c>
      <c r="AV280" t="s">
        <v>1996</v>
      </c>
      <c r="AW280" t="s">
        <v>1995</v>
      </c>
      <c r="AX280" t="s">
        <v>2003</v>
      </c>
      <c r="AY280" t="s">
        <v>1996</v>
      </c>
      <c r="AZ280">
        <v>8000</v>
      </c>
      <c r="BA280" t="s">
        <v>1194</v>
      </c>
      <c r="BB280" t="s">
        <v>1194</v>
      </c>
      <c r="BC280" s="3">
        <v>13401.117200000001</v>
      </c>
      <c r="BD280" s="3">
        <v>3509.17</v>
      </c>
      <c r="BE280" s="3">
        <v>0</v>
      </c>
      <c r="BF280" s="3">
        <v>0</v>
      </c>
      <c r="BG280" s="3">
        <v>150</v>
      </c>
      <c r="BH280" s="3">
        <v>0</v>
      </c>
      <c r="BI280" s="3">
        <v>3580</v>
      </c>
      <c r="BJ280" s="3">
        <v>20640</v>
      </c>
      <c r="BK280" s="3">
        <v>300</v>
      </c>
      <c r="BL280" s="3">
        <v>20940</v>
      </c>
      <c r="BM280" s="2">
        <f t="shared" ca="1" si="9"/>
        <v>6</v>
      </c>
      <c r="BN280" s="3">
        <v>500000</v>
      </c>
      <c r="BO280" s="3">
        <v>500000</v>
      </c>
      <c r="BP280" s="3">
        <v>50000</v>
      </c>
      <c r="BQ280" s="3">
        <v>50000</v>
      </c>
      <c r="BR280" s="3">
        <v>50000</v>
      </c>
      <c r="BS280">
        <v>250000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 t="s">
        <v>2942</v>
      </c>
      <c r="CA280" t="s">
        <v>2006</v>
      </c>
      <c r="CB280" t="s">
        <v>2006</v>
      </c>
    </row>
    <row r="281" spans="1:80" x14ac:dyDescent="0.25">
      <c r="A281">
        <v>279</v>
      </c>
      <c r="B281" t="s">
        <v>2298</v>
      </c>
      <c r="C281" s="1">
        <v>44803</v>
      </c>
      <c r="D281" s="2">
        <v>24</v>
      </c>
      <c r="E281" t="s">
        <v>4</v>
      </c>
      <c r="F281" t="s">
        <v>1311</v>
      </c>
      <c r="G281">
        <v>1</v>
      </c>
      <c r="H281" s="3">
        <v>4255375</v>
      </c>
      <c r="I281" s="3">
        <v>633000</v>
      </c>
      <c r="J281" s="3">
        <v>0</v>
      </c>
      <c r="K281" s="3">
        <v>0</v>
      </c>
      <c r="L281" s="3" t="s">
        <v>1191</v>
      </c>
      <c r="M281">
        <v>1305044</v>
      </c>
      <c r="N281" t="s">
        <v>574</v>
      </c>
      <c r="P281" t="s">
        <v>113</v>
      </c>
      <c r="Q281" t="s">
        <v>15</v>
      </c>
      <c r="R281">
        <v>33405</v>
      </c>
      <c r="S281" t="s">
        <v>27</v>
      </c>
      <c r="T281" t="s">
        <v>966</v>
      </c>
      <c r="U281">
        <v>0</v>
      </c>
      <c r="V281" t="s">
        <v>1106</v>
      </c>
      <c r="W281" t="s">
        <v>1194</v>
      </c>
      <c r="X281" t="s">
        <v>973</v>
      </c>
      <c r="Y281">
        <v>25000</v>
      </c>
      <c r="Z281" s="2">
        <v>5.0000058750000003</v>
      </c>
      <c r="AA281" s="2" t="s">
        <v>1238</v>
      </c>
      <c r="AB281" t="s">
        <v>1238</v>
      </c>
      <c r="AC281">
        <v>820</v>
      </c>
      <c r="AD281" t="s">
        <v>1280</v>
      </c>
      <c r="AE281">
        <v>2</v>
      </c>
      <c r="AF281" t="s">
        <v>1290</v>
      </c>
      <c r="AG281">
        <v>0</v>
      </c>
      <c r="AH281">
        <v>0</v>
      </c>
      <c r="AI281">
        <v>0</v>
      </c>
      <c r="AJ281">
        <v>1926</v>
      </c>
      <c r="AK281">
        <v>2019</v>
      </c>
      <c r="AL281">
        <v>1999</v>
      </c>
      <c r="AM281" s="4" t="s">
        <v>1238</v>
      </c>
      <c r="AN281">
        <v>0</v>
      </c>
      <c r="AO281" t="s">
        <v>1316</v>
      </c>
      <c r="AP281">
        <f t="shared" si="8"/>
        <v>0</v>
      </c>
      <c r="AQ281">
        <v>0</v>
      </c>
      <c r="AR281" t="s">
        <v>1993</v>
      </c>
      <c r="AS281" t="s">
        <v>1996</v>
      </c>
      <c r="AT281" t="s">
        <v>1996</v>
      </c>
      <c r="AU281" t="s">
        <v>1996</v>
      </c>
      <c r="AV281" t="s">
        <v>1996</v>
      </c>
      <c r="AW281" t="s">
        <v>1995</v>
      </c>
      <c r="AX281" t="s">
        <v>2007</v>
      </c>
      <c r="AY281" t="s">
        <v>1995</v>
      </c>
      <c r="AZ281">
        <v>4679</v>
      </c>
      <c r="BA281" t="s">
        <v>1194</v>
      </c>
      <c r="BB281" t="s">
        <v>1194</v>
      </c>
      <c r="BC281" s="3">
        <v>7886.8801000000003</v>
      </c>
      <c r="BD281" s="3">
        <v>31427.32</v>
      </c>
      <c r="BE281" s="3">
        <v>0</v>
      </c>
      <c r="BF281" s="3">
        <v>0</v>
      </c>
      <c r="BG281" s="3">
        <v>0</v>
      </c>
      <c r="BH281" s="3">
        <v>0</v>
      </c>
      <c r="BI281" s="3">
        <v>97561</v>
      </c>
      <c r="BJ281" s="3">
        <v>136875</v>
      </c>
      <c r="BK281" s="3">
        <v>1651.51</v>
      </c>
      <c r="BL281" s="3">
        <v>138526.51</v>
      </c>
      <c r="BM281" s="2">
        <f t="shared" ca="1" si="9"/>
        <v>4</v>
      </c>
      <c r="BN281" s="3">
        <v>2000000</v>
      </c>
      <c r="BO281" s="3">
        <v>100000</v>
      </c>
      <c r="BP281" s="3">
        <v>100000</v>
      </c>
      <c r="BQ281" s="3">
        <v>100000</v>
      </c>
      <c r="BR281" s="3" t="s">
        <v>2916</v>
      </c>
      <c r="BS281">
        <v>1000000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 t="s">
        <v>2940</v>
      </c>
      <c r="CA281" t="s">
        <v>2939</v>
      </c>
      <c r="CB281" t="s">
        <v>2941</v>
      </c>
    </row>
    <row r="282" spans="1:80" x14ac:dyDescent="0.25">
      <c r="A282">
        <v>280</v>
      </c>
      <c r="B282" t="s">
        <v>2299</v>
      </c>
      <c r="C282" s="1">
        <v>44704</v>
      </c>
      <c r="D282" s="2">
        <v>15</v>
      </c>
      <c r="E282" t="s">
        <v>4</v>
      </c>
      <c r="F282" t="s">
        <v>1311</v>
      </c>
      <c r="G282">
        <v>1</v>
      </c>
      <c r="H282" s="3">
        <v>2800000</v>
      </c>
      <c r="I282" s="3">
        <v>130000</v>
      </c>
      <c r="J282" s="3">
        <v>0</v>
      </c>
      <c r="K282" s="3">
        <v>0</v>
      </c>
      <c r="L282" s="3" t="s">
        <v>1191</v>
      </c>
      <c r="M282">
        <v>1871649</v>
      </c>
      <c r="N282" t="s">
        <v>575</v>
      </c>
      <c r="P282" t="s">
        <v>113</v>
      </c>
      <c r="Q282" t="s">
        <v>15</v>
      </c>
      <c r="R282">
        <v>33405</v>
      </c>
      <c r="S282" t="s">
        <v>27</v>
      </c>
      <c r="T282" t="s">
        <v>964</v>
      </c>
      <c r="U282">
        <v>1</v>
      </c>
      <c r="V282" t="s">
        <v>985</v>
      </c>
      <c r="W282" t="s">
        <v>1194</v>
      </c>
      <c r="X282" t="s">
        <v>1309</v>
      </c>
      <c r="Y282">
        <v>250000</v>
      </c>
      <c r="Z282" s="2">
        <v>10</v>
      </c>
      <c r="AA282" s="2" t="s">
        <v>1238</v>
      </c>
      <c r="AB282" t="s">
        <v>1238</v>
      </c>
      <c r="AC282">
        <v>882</v>
      </c>
      <c r="AD282" t="s">
        <v>1280</v>
      </c>
      <c r="AE282">
        <v>2</v>
      </c>
      <c r="AF282" t="s">
        <v>1291</v>
      </c>
      <c r="AG282">
        <v>0</v>
      </c>
      <c r="AH282">
        <v>0</v>
      </c>
      <c r="AI282">
        <v>0</v>
      </c>
      <c r="AJ282">
        <v>2004</v>
      </c>
      <c r="AK282" t="s">
        <v>1194</v>
      </c>
      <c r="AL282">
        <v>2022</v>
      </c>
      <c r="AM282" s="4" t="s">
        <v>1238</v>
      </c>
      <c r="AN282">
        <v>0</v>
      </c>
      <c r="AO282" t="s">
        <v>1317</v>
      </c>
      <c r="AP282">
        <f t="shared" si="8"/>
        <v>0</v>
      </c>
      <c r="AQ282">
        <v>0</v>
      </c>
      <c r="AR282" t="s">
        <v>1993</v>
      </c>
      <c r="AS282" t="s">
        <v>1996</v>
      </c>
      <c r="AT282" t="s">
        <v>1996</v>
      </c>
      <c r="AU282" t="s">
        <v>1995</v>
      </c>
      <c r="AV282" t="s">
        <v>1995</v>
      </c>
      <c r="AW282" t="s">
        <v>1996</v>
      </c>
      <c r="AX282" t="s">
        <v>2007</v>
      </c>
      <c r="AY282" t="s">
        <v>1995</v>
      </c>
      <c r="AZ282">
        <v>3762</v>
      </c>
      <c r="BA282" t="s">
        <v>1194</v>
      </c>
      <c r="BB282" t="s">
        <v>1194</v>
      </c>
      <c r="BC282" s="3">
        <v>4801.4372000000003</v>
      </c>
      <c r="BD282" s="3">
        <v>13050.14</v>
      </c>
      <c r="BE282" s="3">
        <v>0</v>
      </c>
      <c r="BF282" s="3">
        <v>0</v>
      </c>
      <c r="BG282" s="3">
        <v>300</v>
      </c>
      <c r="BH282" s="3">
        <v>0</v>
      </c>
      <c r="BI282" s="3">
        <v>21523</v>
      </c>
      <c r="BJ282" s="3">
        <v>39675</v>
      </c>
      <c r="BK282" s="3">
        <v>955.08</v>
      </c>
      <c r="BL282" s="3">
        <v>40630.080000000002</v>
      </c>
      <c r="BM282" s="2">
        <f t="shared" ca="1" si="9"/>
        <v>5</v>
      </c>
      <c r="BN282" s="3">
        <v>100000</v>
      </c>
      <c r="BO282" s="3">
        <v>100000</v>
      </c>
      <c r="BP282" s="3">
        <v>200000</v>
      </c>
      <c r="BQ282" s="3">
        <v>2000000</v>
      </c>
      <c r="BR282" s="3">
        <v>50000</v>
      </c>
      <c r="BS282">
        <v>250000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 t="s">
        <v>2940</v>
      </c>
      <c r="CA282" t="s">
        <v>2939</v>
      </c>
      <c r="CB282" t="s">
        <v>2941</v>
      </c>
    </row>
    <row r="283" spans="1:80" x14ac:dyDescent="0.25">
      <c r="A283">
        <v>281</v>
      </c>
      <c r="B283" t="s">
        <v>2300</v>
      </c>
      <c r="C283" s="1">
        <v>44861</v>
      </c>
      <c r="D283" s="2">
        <v>30</v>
      </c>
      <c r="E283" t="s">
        <v>4</v>
      </c>
      <c r="F283" t="s">
        <v>1311</v>
      </c>
      <c r="G283">
        <v>0</v>
      </c>
      <c r="H283" s="3">
        <v>4500000</v>
      </c>
      <c r="I283" s="3">
        <v>0</v>
      </c>
      <c r="J283" s="3">
        <v>0</v>
      </c>
      <c r="K283" s="3">
        <v>0</v>
      </c>
      <c r="L283" s="3" t="s">
        <v>1191</v>
      </c>
      <c r="M283">
        <v>1791339</v>
      </c>
      <c r="N283" t="s">
        <v>576</v>
      </c>
      <c r="P283" t="s">
        <v>577</v>
      </c>
      <c r="Q283" t="s">
        <v>13</v>
      </c>
      <c r="R283">
        <v>1944</v>
      </c>
      <c r="S283" t="s">
        <v>75</v>
      </c>
      <c r="T283" t="s">
        <v>970</v>
      </c>
      <c r="U283">
        <v>1</v>
      </c>
      <c r="V283" t="s">
        <v>1113</v>
      </c>
      <c r="W283" t="s">
        <v>1194</v>
      </c>
      <c r="X283" t="s">
        <v>1309</v>
      </c>
      <c r="Y283">
        <v>10000</v>
      </c>
      <c r="Z283" s="2">
        <v>2</v>
      </c>
      <c r="AA283" s="2" t="s">
        <v>1238</v>
      </c>
      <c r="AB283" t="s">
        <v>1238</v>
      </c>
      <c r="AC283">
        <v>861</v>
      </c>
      <c r="AD283" t="s">
        <v>1279</v>
      </c>
      <c r="AE283">
        <v>5</v>
      </c>
      <c r="AF283" t="s">
        <v>1290</v>
      </c>
      <c r="AG283">
        <v>0</v>
      </c>
      <c r="AH283">
        <v>0</v>
      </c>
      <c r="AI283">
        <v>0</v>
      </c>
      <c r="AJ283">
        <v>1881</v>
      </c>
      <c r="AK283">
        <v>2021</v>
      </c>
      <c r="AL283">
        <v>2021</v>
      </c>
      <c r="AM283" s="4" t="s">
        <v>1238</v>
      </c>
      <c r="AN283">
        <v>1</v>
      </c>
      <c r="AO283" t="s">
        <v>1317</v>
      </c>
      <c r="AP283">
        <f t="shared" si="8"/>
        <v>0</v>
      </c>
      <c r="AQ283">
        <v>0</v>
      </c>
      <c r="AR283" t="s">
        <v>1993</v>
      </c>
      <c r="AS283" t="s">
        <v>1996</v>
      </c>
      <c r="AT283" t="s">
        <v>1996</v>
      </c>
      <c r="AU283" t="s">
        <v>1995</v>
      </c>
      <c r="AV283" t="s">
        <v>1995</v>
      </c>
      <c r="AW283" t="s">
        <v>1996</v>
      </c>
      <c r="AX283" t="s">
        <v>2006</v>
      </c>
      <c r="AY283" t="s">
        <v>1996</v>
      </c>
      <c r="AZ283">
        <v>5817</v>
      </c>
      <c r="BA283" t="s">
        <v>1194</v>
      </c>
      <c r="BB283" t="s">
        <v>1194</v>
      </c>
      <c r="BC283" s="3">
        <v>8849.7029999999995</v>
      </c>
      <c r="BD283" s="3">
        <v>8803.94</v>
      </c>
      <c r="BE283" s="3">
        <v>0</v>
      </c>
      <c r="BF283" s="3">
        <v>0</v>
      </c>
      <c r="BG283" s="3">
        <v>150</v>
      </c>
      <c r="BH283" s="3">
        <v>0</v>
      </c>
      <c r="BI283" s="3">
        <v>6521</v>
      </c>
      <c r="BJ283" s="3">
        <v>24325</v>
      </c>
      <c r="BK283" s="3">
        <v>0</v>
      </c>
      <c r="BL283" s="3">
        <v>24325</v>
      </c>
      <c r="BM283" s="2">
        <f t="shared" ca="1" si="9"/>
        <v>3</v>
      </c>
      <c r="BN283" s="3">
        <v>50000</v>
      </c>
      <c r="BO283" s="3">
        <v>1000000</v>
      </c>
      <c r="BP283" s="3">
        <v>50000</v>
      </c>
      <c r="BQ283" s="3">
        <v>100000</v>
      </c>
      <c r="BR283" s="3">
        <v>500000</v>
      </c>
      <c r="BS283">
        <v>100000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 t="s">
        <v>2942</v>
      </c>
      <c r="CA283" t="s">
        <v>2006</v>
      </c>
      <c r="CB283" t="s">
        <v>2941</v>
      </c>
    </row>
    <row r="284" spans="1:80" x14ac:dyDescent="0.25">
      <c r="A284">
        <v>282</v>
      </c>
      <c r="B284" t="s">
        <v>2301</v>
      </c>
      <c r="C284" s="1">
        <v>44880</v>
      </c>
      <c r="D284" s="2">
        <v>33</v>
      </c>
      <c r="E284" t="s">
        <v>4</v>
      </c>
      <c r="F284" t="s">
        <v>1311</v>
      </c>
      <c r="G284">
        <v>1</v>
      </c>
      <c r="H284" s="3">
        <v>0</v>
      </c>
      <c r="I284" s="3">
        <v>0</v>
      </c>
      <c r="J284" s="3">
        <v>5000000</v>
      </c>
      <c r="K284" s="3">
        <v>0</v>
      </c>
      <c r="L284" s="3" t="s">
        <v>1192</v>
      </c>
      <c r="M284">
        <v>1954100</v>
      </c>
      <c r="N284" t="s">
        <v>344</v>
      </c>
      <c r="O284" t="s">
        <v>578</v>
      </c>
      <c r="P284" t="s">
        <v>29</v>
      </c>
      <c r="Q284" t="s">
        <v>14</v>
      </c>
      <c r="R284">
        <v>10023</v>
      </c>
      <c r="S284" t="s">
        <v>29</v>
      </c>
      <c r="T284" t="s">
        <v>962</v>
      </c>
      <c r="U284">
        <v>0</v>
      </c>
      <c r="V284" t="s">
        <v>1064</v>
      </c>
      <c r="W284" t="s">
        <v>1194</v>
      </c>
      <c r="X284" t="s">
        <v>973</v>
      </c>
      <c r="Y284">
        <v>100000</v>
      </c>
      <c r="Z284" s="2">
        <v>2</v>
      </c>
      <c r="AA284" s="2" t="s">
        <v>1238</v>
      </c>
      <c r="AB284" t="s">
        <v>1238</v>
      </c>
      <c r="AC284">
        <v>694</v>
      </c>
      <c r="AD284" t="s">
        <v>1281</v>
      </c>
      <c r="AE284">
        <v>1</v>
      </c>
      <c r="AF284" t="s">
        <v>1290</v>
      </c>
      <c r="AG284">
        <v>0</v>
      </c>
      <c r="AH284">
        <v>0</v>
      </c>
      <c r="AI284">
        <v>0</v>
      </c>
      <c r="AJ284">
        <v>2005</v>
      </c>
      <c r="AK284" t="s">
        <v>1194</v>
      </c>
      <c r="AL284" t="s">
        <v>1194</v>
      </c>
      <c r="AM284" s="4" t="s">
        <v>1238</v>
      </c>
      <c r="AN284">
        <v>1</v>
      </c>
      <c r="AO284" t="s">
        <v>1315</v>
      </c>
      <c r="AP284">
        <f t="shared" si="8"/>
        <v>0</v>
      </c>
      <c r="AQ284">
        <v>0</v>
      </c>
      <c r="AR284" t="s">
        <v>1993</v>
      </c>
      <c r="AS284" t="s">
        <v>1996</v>
      </c>
      <c r="AT284" t="s">
        <v>1995</v>
      </c>
      <c r="AU284" t="s">
        <v>1995</v>
      </c>
      <c r="AV284" t="s">
        <v>1995</v>
      </c>
      <c r="AW284" t="s">
        <v>1995</v>
      </c>
      <c r="AX284" t="s">
        <v>2006</v>
      </c>
      <c r="AY284" t="s">
        <v>1996</v>
      </c>
      <c r="AZ284">
        <v>3105</v>
      </c>
      <c r="BA284" t="s">
        <v>1194</v>
      </c>
      <c r="BB284" t="s">
        <v>1194</v>
      </c>
      <c r="BC284" s="3">
        <v>16122.5468</v>
      </c>
      <c r="BD284" s="3">
        <v>2697.15</v>
      </c>
      <c r="BE284" s="3">
        <v>0</v>
      </c>
      <c r="BF284" s="3">
        <v>0</v>
      </c>
      <c r="BG284" s="3">
        <v>0</v>
      </c>
      <c r="BH284" s="3">
        <v>0</v>
      </c>
      <c r="BI284" s="3">
        <v>3680</v>
      </c>
      <c r="BJ284" s="3">
        <v>22500</v>
      </c>
      <c r="BK284" s="3">
        <v>0</v>
      </c>
      <c r="BL284" s="3">
        <v>22500</v>
      </c>
      <c r="BM284" s="2">
        <f t="shared" ca="1" si="9"/>
        <v>5</v>
      </c>
      <c r="BN284" s="3">
        <v>1000000</v>
      </c>
      <c r="BO284" s="3">
        <v>100000</v>
      </c>
      <c r="BP284" s="3">
        <v>50000</v>
      </c>
      <c r="BQ284" s="3">
        <v>25000</v>
      </c>
      <c r="BR284" s="3">
        <v>1000000</v>
      </c>
      <c r="BS284">
        <v>50000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 t="s">
        <v>2942</v>
      </c>
      <c r="CA284" t="s">
        <v>2006</v>
      </c>
      <c r="CB284" t="s">
        <v>2946</v>
      </c>
    </row>
    <row r="285" spans="1:80" x14ac:dyDescent="0.25">
      <c r="A285">
        <v>283</v>
      </c>
      <c r="B285" t="s">
        <v>2302</v>
      </c>
      <c r="C285" s="1">
        <v>44844</v>
      </c>
      <c r="D285" s="2">
        <v>30</v>
      </c>
      <c r="E285" t="s">
        <v>4</v>
      </c>
      <c r="F285" t="s">
        <v>1311</v>
      </c>
      <c r="G285">
        <v>0</v>
      </c>
      <c r="H285" s="3">
        <v>5708520</v>
      </c>
      <c r="I285" s="3">
        <v>853600</v>
      </c>
      <c r="J285" s="3">
        <v>0</v>
      </c>
      <c r="K285" s="3">
        <v>0</v>
      </c>
      <c r="L285" s="3" t="s">
        <v>1191</v>
      </c>
      <c r="M285">
        <v>457933</v>
      </c>
      <c r="N285" t="s">
        <v>579</v>
      </c>
      <c r="P285" t="s">
        <v>580</v>
      </c>
      <c r="Q285" t="s">
        <v>15</v>
      </c>
      <c r="R285">
        <v>33156</v>
      </c>
      <c r="S285" t="s">
        <v>33</v>
      </c>
      <c r="T285" t="s">
        <v>966</v>
      </c>
      <c r="U285">
        <v>0</v>
      </c>
      <c r="V285" t="s">
        <v>1114</v>
      </c>
      <c r="W285" t="s">
        <v>1194</v>
      </c>
      <c r="X285" t="s">
        <v>973</v>
      </c>
      <c r="Y285">
        <v>50000</v>
      </c>
      <c r="Z285" s="2">
        <v>10</v>
      </c>
      <c r="AA285" s="2" t="s">
        <v>1238</v>
      </c>
      <c r="AB285" t="s">
        <v>1238</v>
      </c>
      <c r="AC285">
        <v>654</v>
      </c>
      <c r="AD285" t="s">
        <v>1280</v>
      </c>
      <c r="AE285">
        <v>1</v>
      </c>
      <c r="AF285" t="s">
        <v>1290</v>
      </c>
      <c r="AG285">
        <v>0</v>
      </c>
      <c r="AH285">
        <v>0</v>
      </c>
      <c r="AI285">
        <v>0</v>
      </c>
      <c r="AJ285">
        <v>2019</v>
      </c>
      <c r="AK285" t="s">
        <v>1194</v>
      </c>
      <c r="AL285" t="s">
        <v>1194</v>
      </c>
      <c r="AM285" s="4" t="s">
        <v>1238</v>
      </c>
      <c r="AN285">
        <v>0</v>
      </c>
      <c r="AO285" t="s">
        <v>1315</v>
      </c>
      <c r="AP285">
        <f t="shared" si="8"/>
        <v>0</v>
      </c>
      <c r="AQ285">
        <v>0</v>
      </c>
      <c r="AR285" t="s">
        <v>1993</v>
      </c>
      <c r="AS285" t="s">
        <v>1995</v>
      </c>
      <c r="AT285" t="s">
        <v>1996</v>
      </c>
      <c r="AU285" t="s">
        <v>1996</v>
      </c>
      <c r="AV285" t="s">
        <v>1995</v>
      </c>
      <c r="AW285" t="s">
        <v>1995</v>
      </c>
      <c r="AX285" t="s">
        <v>2007</v>
      </c>
      <c r="AY285" t="s">
        <v>1995</v>
      </c>
      <c r="AZ285">
        <v>11304</v>
      </c>
      <c r="BA285" t="s">
        <v>1194</v>
      </c>
      <c r="BB285" t="s">
        <v>1194</v>
      </c>
      <c r="BC285" s="3">
        <v>12076.2703</v>
      </c>
      <c r="BD285" s="3">
        <v>27080.83</v>
      </c>
      <c r="BE285" s="3">
        <v>0</v>
      </c>
      <c r="BF285" s="3">
        <v>0</v>
      </c>
      <c r="BG285" s="3">
        <v>300</v>
      </c>
      <c r="BH285" s="3">
        <v>0</v>
      </c>
      <c r="BI285" s="3">
        <v>36857</v>
      </c>
      <c r="BJ285" s="3">
        <v>76314</v>
      </c>
      <c r="BK285" s="3">
        <v>2072.25</v>
      </c>
      <c r="BL285" s="3">
        <v>78386.25</v>
      </c>
      <c r="BM285" s="2">
        <f t="shared" ca="1" si="9"/>
        <v>3</v>
      </c>
      <c r="BN285" s="3">
        <v>50000</v>
      </c>
      <c r="BO285" s="3">
        <v>20000</v>
      </c>
      <c r="BP285" s="3">
        <v>50000</v>
      </c>
      <c r="BQ285" s="3">
        <v>2000000</v>
      </c>
      <c r="BR285" s="3">
        <v>1000000</v>
      </c>
      <c r="BS285">
        <v>500000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 t="s">
        <v>2942</v>
      </c>
      <c r="CA285" t="s">
        <v>2939</v>
      </c>
      <c r="CB285" t="s">
        <v>2946</v>
      </c>
    </row>
    <row r="286" spans="1:80" x14ac:dyDescent="0.25">
      <c r="A286">
        <v>284</v>
      </c>
      <c r="B286" t="s">
        <v>2303</v>
      </c>
      <c r="C286" s="1">
        <v>44734</v>
      </c>
      <c r="D286" s="2">
        <v>18</v>
      </c>
      <c r="E286" t="s">
        <v>4</v>
      </c>
      <c r="F286" t="s">
        <v>1311</v>
      </c>
      <c r="G286">
        <v>1</v>
      </c>
      <c r="H286" s="3">
        <v>0</v>
      </c>
      <c r="I286" s="3">
        <v>0</v>
      </c>
      <c r="J286" s="3">
        <v>3650000</v>
      </c>
      <c r="K286" s="3">
        <v>0</v>
      </c>
      <c r="L286" s="3" t="s">
        <v>1192</v>
      </c>
      <c r="M286">
        <v>1929236</v>
      </c>
      <c r="N286" t="s">
        <v>581</v>
      </c>
      <c r="O286" t="s">
        <v>582</v>
      </c>
      <c r="P286" t="s">
        <v>29</v>
      </c>
      <c r="Q286" t="s">
        <v>14</v>
      </c>
      <c r="R286">
        <v>10013</v>
      </c>
      <c r="S286" t="s">
        <v>29</v>
      </c>
      <c r="T286" t="s">
        <v>962</v>
      </c>
      <c r="U286">
        <v>0</v>
      </c>
      <c r="V286" t="s">
        <v>1115</v>
      </c>
      <c r="W286" t="s">
        <v>1194</v>
      </c>
      <c r="X286" t="s">
        <v>973</v>
      </c>
      <c r="Y286">
        <v>10000</v>
      </c>
      <c r="Z286" s="2">
        <v>2</v>
      </c>
      <c r="AA286" s="2" t="s">
        <v>1238</v>
      </c>
      <c r="AB286" t="s">
        <v>1238</v>
      </c>
      <c r="AC286">
        <v>718</v>
      </c>
      <c r="AD286" t="s">
        <v>1281</v>
      </c>
      <c r="AE286">
        <v>1</v>
      </c>
      <c r="AF286" t="s">
        <v>1290</v>
      </c>
      <c r="AG286">
        <v>0</v>
      </c>
      <c r="AH286">
        <v>0</v>
      </c>
      <c r="AI286">
        <v>0</v>
      </c>
      <c r="AJ286">
        <v>1929</v>
      </c>
      <c r="AK286">
        <v>2022</v>
      </c>
      <c r="AL286" t="s">
        <v>1194</v>
      </c>
      <c r="AM286" s="4" t="s">
        <v>1238</v>
      </c>
      <c r="AN286">
        <v>1</v>
      </c>
      <c r="AO286" t="s">
        <v>1316</v>
      </c>
      <c r="AP286">
        <f t="shared" si="8"/>
        <v>0</v>
      </c>
      <c r="AQ286">
        <v>0</v>
      </c>
      <c r="AR286" t="s">
        <v>1993</v>
      </c>
      <c r="AS286" t="s">
        <v>1995</v>
      </c>
      <c r="AT286" t="s">
        <v>1995</v>
      </c>
      <c r="AU286" t="s">
        <v>1995</v>
      </c>
      <c r="AV286" t="s">
        <v>1996</v>
      </c>
      <c r="AW286" t="s">
        <v>1995</v>
      </c>
      <c r="AX286" t="s">
        <v>2006</v>
      </c>
      <c r="AY286" t="s">
        <v>1996</v>
      </c>
      <c r="AZ286">
        <v>3298</v>
      </c>
      <c r="BA286" t="s">
        <v>1194</v>
      </c>
      <c r="BB286" t="s">
        <v>1194</v>
      </c>
      <c r="BC286" s="3">
        <v>12820.2333</v>
      </c>
      <c r="BD286" s="3">
        <v>3063.26</v>
      </c>
      <c r="BE286" s="3">
        <v>0</v>
      </c>
      <c r="BF286" s="3">
        <v>0</v>
      </c>
      <c r="BG286" s="3">
        <v>150</v>
      </c>
      <c r="BH286" s="3">
        <v>0</v>
      </c>
      <c r="BI286" s="3">
        <v>2630</v>
      </c>
      <c r="BJ286" s="3">
        <v>18663</v>
      </c>
      <c r="BK286" s="3">
        <v>400</v>
      </c>
      <c r="BL286" s="3">
        <v>19063</v>
      </c>
      <c r="BM286" s="2">
        <f t="shared" ca="1" si="9"/>
        <v>4</v>
      </c>
      <c r="BN286" s="3">
        <v>500000</v>
      </c>
      <c r="BO286" s="3">
        <v>100000</v>
      </c>
      <c r="BP286" s="3">
        <v>100000</v>
      </c>
      <c r="BQ286" s="3">
        <v>250000</v>
      </c>
      <c r="BR286" s="3">
        <v>100000</v>
      </c>
      <c r="BS286">
        <v>1000000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 t="s">
        <v>2942</v>
      </c>
      <c r="CA286" t="s">
        <v>2006</v>
      </c>
      <c r="CB286" t="s">
        <v>2946</v>
      </c>
    </row>
    <row r="287" spans="1:80" x14ac:dyDescent="0.25">
      <c r="A287">
        <v>285</v>
      </c>
      <c r="B287" t="s">
        <v>2304</v>
      </c>
      <c r="C287" s="1">
        <v>44628</v>
      </c>
      <c r="D287" s="2">
        <v>9</v>
      </c>
      <c r="E287" t="s">
        <v>5</v>
      </c>
      <c r="F287" t="s">
        <v>1310</v>
      </c>
      <c r="G287">
        <v>0</v>
      </c>
      <c r="H287" s="3">
        <v>2076211</v>
      </c>
      <c r="I287" s="3">
        <v>100000</v>
      </c>
      <c r="J287" s="3">
        <v>475000</v>
      </c>
      <c r="K287" s="3">
        <v>0</v>
      </c>
      <c r="L287" s="3" t="s">
        <v>1191</v>
      </c>
      <c r="M287">
        <v>1858535</v>
      </c>
      <c r="N287" t="s">
        <v>583</v>
      </c>
      <c r="P287" t="s">
        <v>584</v>
      </c>
      <c r="Q287" t="s">
        <v>16</v>
      </c>
      <c r="R287">
        <v>7732</v>
      </c>
      <c r="S287" t="s">
        <v>52</v>
      </c>
      <c r="T287" t="s">
        <v>963</v>
      </c>
      <c r="U287">
        <v>0</v>
      </c>
      <c r="V287" t="s">
        <v>1116</v>
      </c>
      <c r="W287" t="s">
        <v>1194</v>
      </c>
      <c r="X287" t="s">
        <v>973</v>
      </c>
      <c r="Y287">
        <v>10000</v>
      </c>
      <c r="Z287" s="2">
        <v>1.9999894039999999</v>
      </c>
      <c r="AA287" s="2" t="s">
        <v>1238</v>
      </c>
      <c r="AB287" t="s">
        <v>1238</v>
      </c>
      <c r="AC287">
        <v>870</v>
      </c>
      <c r="AD287" t="s">
        <v>1279</v>
      </c>
      <c r="AE287">
        <v>4</v>
      </c>
      <c r="AF287" t="s">
        <v>1290</v>
      </c>
      <c r="AG287">
        <v>0</v>
      </c>
      <c r="AH287">
        <v>0</v>
      </c>
      <c r="AI287">
        <v>0</v>
      </c>
      <c r="AJ287">
        <v>1909</v>
      </c>
      <c r="AK287">
        <v>2006</v>
      </c>
      <c r="AL287" t="s">
        <v>1194</v>
      </c>
      <c r="AM287" s="4" t="s">
        <v>1305</v>
      </c>
      <c r="AN287">
        <v>0</v>
      </c>
      <c r="AO287" t="s">
        <v>1315</v>
      </c>
      <c r="AP287">
        <f t="shared" si="8"/>
        <v>0</v>
      </c>
      <c r="AQ287">
        <v>1</v>
      </c>
      <c r="AR287" t="s">
        <v>1992</v>
      </c>
      <c r="AS287" t="s">
        <v>1996</v>
      </c>
      <c r="AT287" t="s">
        <v>1996</v>
      </c>
      <c r="AU287" t="s">
        <v>1996</v>
      </c>
      <c r="AV287" t="s">
        <v>1996</v>
      </c>
      <c r="AW287" t="s">
        <v>1995</v>
      </c>
      <c r="AX287" t="s">
        <v>2006</v>
      </c>
      <c r="AY287" t="s">
        <v>1996</v>
      </c>
      <c r="AZ287">
        <v>2358</v>
      </c>
      <c r="BA287" t="s">
        <v>1194</v>
      </c>
      <c r="BB287" t="s">
        <v>1194</v>
      </c>
      <c r="BC287" s="3">
        <v>4110.9612999999999</v>
      </c>
      <c r="BD287" s="3">
        <v>5145.68</v>
      </c>
      <c r="BE287" s="3">
        <v>0</v>
      </c>
      <c r="BF287" s="3">
        <v>0</v>
      </c>
      <c r="BG287" s="3">
        <v>150</v>
      </c>
      <c r="BH287" s="3">
        <v>0</v>
      </c>
      <c r="BI287" s="3">
        <v>3849.42</v>
      </c>
      <c r="BJ287" s="3">
        <v>13256</v>
      </c>
      <c r="BK287" s="3">
        <v>1400</v>
      </c>
      <c r="BL287" s="3">
        <v>14656</v>
      </c>
      <c r="BM287" s="2">
        <f t="shared" ca="1" si="9"/>
        <v>6</v>
      </c>
      <c r="BN287" s="3">
        <v>250000</v>
      </c>
      <c r="BO287" s="3">
        <v>100000</v>
      </c>
      <c r="BP287" s="3">
        <v>200000</v>
      </c>
      <c r="BQ287" s="3">
        <v>100000</v>
      </c>
      <c r="BR287" s="3">
        <v>500000</v>
      </c>
      <c r="BS287">
        <v>250000</v>
      </c>
      <c r="BT287">
        <v>0</v>
      </c>
      <c r="BU287">
        <v>0</v>
      </c>
      <c r="BV287">
        <v>1</v>
      </c>
      <c r="BW287">
        <v>0</v>
      </c>
      <c r="BX287">
        <v>0</v>
      </c>
      <c r="BY287">
        <v>0</v>
      </c>
      <c r="BZ287" t="s">
        <v>2006</v>
      </c>
      <c r="CA287" t="s">
        <v>2006</v>
      </c>
      <c r="CB287" t="s">
        <v>2006</v>
      </c>
    </row>
    <row r="288" spans="1:80" x14ac:dyDescent="0.25">
      <c r="A288">
        <v>286</v>
      </c>
      <c r="B288" t="s">
        <v>2305</v>
      </c>
      <c r="C288" s="1">
        <v>44727</v>
      </c>
      <c r="D288" s="2">
        <v>18</v>
      </c>
      <c r="E288" t="s">
        <v>4</v>
      </c>
      <c r="F288" t="s">
        <v>1311</v>
      </c>
      <c r="G288">
        <v>1</v>
      </c>
      <c r="H288" s="3">
        <v>6859000</v>
      </c>
      <c r="I288" s="3">
        <v>1500000</v>
      </c>
      <c r="J288" s="3">
        <v>0</v>
      </c>
      <c r="K288" s="3">
        <v>0</v>
      </c>
      <c r="L288" s="3" t="s">
        <v>1191</v>
      </c>
      <c r="M288">
        <v>1850798</v>
      </c>
      <c r="N288" t="s">
        <v>585</v>
      </c>
      <c r="P288" t="s">
        <v>586</v>
      </c>
      <c r="Q288" t="s">
        <v>13</v>
      </c>
      <c r="R288">
        <v>2043</v>
      </c>
      <c r="S288" t="s">
        <v>50</v>
      </c>
      <c r="T288" t="s">
        <v>963</v>
      </c>
      <c r="U288">
        <v>0</v>
      </c>
      <c r="V288" t="s">
        <v>1117</v>
      </c>
      <c r="W288" t="s">
        <v>1194</v>
      </c>
      <c r="X288" t="s">
        <v>973</v>
      </c>
      <c r="Y288">
        <v>10000</v>
      </c>
      <c r="Z288" s="2">
        <v>2</v>
      </c>
      <c r="AA288" s="2" t="s">
        <v>1238</v>
      </c>
      <c r="AB288" t="s">
        <v>1238</v>
      </c>
      <c r="AC288">
        <v>753</v>
      </c>
      <c r="AD288" t="s">
        <v>1283</v>
      </c>
      <c r="AE288">
        <v>3</v>
      </c>
      <c r="AF288" t="s">
        <v>1290</v>
      </c>
      <c r="AG288">
        <v>0</v>
      </c>
      <c r="AH288">
        <v>0</v>
      </c>
      <c r="AI288">
        <v>0</v>
      </c>
      <c r="AJ288">
        <v>2002</v>
      </c>
      <c r="AK288" t="s">
        <v>1194</v>
      </c>
      <c r="AL288" t="s">
        <v>1194</v>
      </c>
      <c r="AM288" s="4" t="s">
        <v>1238</v>
      </c>
      <c r="AN288">
        <v>1</v>
      </c>
      <c r="AO288" t="s">
        <v>1316</v>
      </c>
      <c r="AP288">
        <f t="shared" si="8"/>
        <v>0</v>
      </c>
      <c r="AQ288">
        <v>1</v>
      </c>
      <c r="AR288" t="s">
        <v>1992</v>
      </c>
      <c r="AS288" t="s">
        <v>1995</v>
      </c>
      <c r="AT288" t="s">
        <v>1995</v>
      </c>
      <c r="AU288" t="s">
        <v>1996</v>
      </c>
      <c r="AV288" t="s">
        <v>1995</v>
      </c>
      <c r="AW288" t="s">
        <v>1995</v>
      </c>
      <c r="AX288" t="s">
        <v>2006</v>
      </c>
      <c r="AY288" t="s">
        <v>1996</v>
      </c>
      <c r="AZ288">
        <v>7371</v>
      </c>
      <c r="BA288" t="s">
        <v>1194</v>
      </c>
      <c r="BB288" t="s">
        <v>1194</v>
      </c>
      <c r="BC288" s="3">
        <v>15054.265299999999</v>
      </c>
      <c r="BD288" s="3">
        <v>4609.5600000000004</v>
      </c>
      <c r="BE288" s="3">
        <v>0</v>
      </c>
      <c r="BF288" s="3">
        <v>0</v>
      </c>
      <c r="BG288" s="3">
        <v>150</v>
      </c>
      <c r="BH288" s="3">
        <v>0</v>
      </c>
      <c r="BI288" s="3">
        <v>20309.37</v>
      </c>
      <c r="BJ288" s="3">
        <v>40123</v>
      </c>
      <c r="BK288" s="3">
        <v>0</v>
      </c>
      <c r="BL288" s="3">
        <v>40123</v>
      </c>
      <c r="BM288" s="2">
        <f t="shared" ca="1" si="9"/>
        <v>4</v>
      </c>
      <c r="BN288" s="3">
        <v>100000</v>
      </c>
      <c r="BO288" s="3">
        <v>25000</v>
      </c>
      <c r="BP288" s="3">
        <v>100000</v>
      </c>
      <c r="BQ288" s="3">
        <v>50000</v>
      </c>
      <c r="BR288" s="3" t="s">
        <v>2916</v>
      </c>
      <c r="BS288">
        <v>2000000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 t="s">
        <v>2942</v>
      </c>
      <c r="CA288" t="s">
        <v>2006</v>
      </c>
      <c r="CB288" t="s">
        <v>2941</v>
      </c>
    </row>
    <row r="289" spans="1:80" x14ac:dyDescent="0.25">
      <c r="A289">
        <v>287</v>
      </c>
      <c r="B289" t="s">
        <v>2306</v>
      </c>
      <c r="C289" s="1">
        <v>44946</v>
      </c>
      <c r="D289" s="2">
        <v>3</v>
      </c>
      <c r="E289" t="s">
        <v>4</v>
      </c>
      <c r="F289" t="s">
        <v>1310</v>
      </c>
      <c r="G289">
        <v>0</v>
      </c>
      <c r="H289" s="3">
        <v>5680000</v>
      </c>
      <c r="I289" s="3">
        <v>0</v>
      </c>
      <c r="J289" s="3">
        <v>0</v>
      </c>
      <c r="K289" s="3">
        <v>0</v>
      </c>
      <c r="L289" s="3" t="s">
        <v>1191</v>
      </c>
      <c r="M289">
        <v>1336571</v>
      </c>
      <c r="N289" t="s">
        <v>587</v>
      </c>
      <c r="P289" t="s">
        <v>256</v>
      </c>
      <c r="Q289" t="s">
        <v>15</v>
      </c>
      <c r="R289">
        <v>34108</v>
      </c>
      <c r="S289" t="s">
        <v>63</v>
      </c>
      <c r="T289" t="s">
        <v>964</v>
      </c>
      <c r="U289">
        <v>1</v>
      </c>
      <c r="V289" t="s">
        <v>1038</v>
      </c>
      <c r="W289" t="s">
        <v>1194</v>
      </c>
      <c r="X289" t="s">
        <v>1309</v>
      </c>
      <c r="Y289">
        <v>10000</v>
      </c>
      <c r="Z289" s="2">
        <v>5</v>
      </c>
      <c r="AA289" s="2" t="s">
        <v>1238</v>
      </c>
      <c r="AB289" t="s">
        <v>1238</v>
      </c>
      <c r="AC289">
        <v>873</v>
      </c>
      <c r="AD289" t="s">
        <v>1280</v>
      </c>
      <c r="AE289">
        <v>3</v>
      </c>
      <c r="AF289" t="s">
        <v>1292</v>
      </c>
      <c r="AG289">
        <v>0</v>
      </c>
      <c r="AH289">
        <v>0</v>
      </c>
      <c r="AI289">
        <v>0</v>
      </c>
      <c r="AJ289">
        <v>2019</v>
      </c>
      <c r="AK289" t="s">
        <v>1194</v>
      </c>
      <c r="AL289" t="s">
        <v>1194</v>
      </c>
      <c r="AM289" s="4" t="s">
        <v>1304</v>
      </c>
      <c r="AN289">
        <v>0</v>
      </c>
      <c r="AO289" t="s">
        <v>1315</v>
      </c>
      <c r="AP289">
        <f t="shared" si="8"/>
        <v>0</v>
      </c>
      <c r="AQ289">
        <v>0</v>
      </c>
      <c r="AR289" t="s">
        <v>1993</v>
      </c>
      <c r="AS289" t="s">
        <v>1995</v>
      </c>
      <c r="AT289" t="s">
        <v>1995</v>
      </c>
      <c r="AU289" t="s">
        <v>1995</v>
      </c>
      <c r="AV289" t="s">
        <v>1996</v>
      </c>
      <c r="AW289" t="s">
        <v>1996</v>
      </c>
      <c r="AX289" t="s">
        <v>2007</v>
      </c>
      <c r="AY289" t="s">
        <v>1995</v>
      </c>
      <c r="AZ289">
        <v>5550</v>
      </c>
      <c r="BA289" t="s">
        <v>1194</v>
      </c>
      <c r="BB289" t="s">
        <v>1194</v>
      </c>
      <c r="BC289" s="3">
        <v>11579.341399999999</v>
      </c>
      <c r="BD289" s="3">
        <v>22819.24</v>
      </c>
      <c r="BE289" s="3">
        <v>0</v>
      </c>
      <c r="BF289" s="3">
        <v>0</v>
      </c>
      <c r="BG289" s="3">
        <v>300</v>
      </c>
      <c r="BH289" s="3">
        <v>0</v>
      </c>
      <c r="BI289" s="3">
        <v>8751</v>
      </c>
      <c r="BJ289" s="3">
        <v>43450</v>
      </c>
      <c r="BK289" s="3">
        <v>0</v>
      </c>
      <c r="BL289" s="3">
        <v>43450</v>
      </c>
      <c r="BM289" s="2">
        <f t="shared" ca="1" si="9"/>
        <v>6</v>
      </c>
      <c r="BN289" s="3">
        <v>1000000</v>
      </c>
      <c r="BO289" s="3">
        <v>500000</v>
      </c>
      <c r="BP289" s="3">
        <v>100000</v>
      </c>
      <c r="BQ289" s="3">
        <v>1000000</v>
      </c>
      <c r="BR289" s="3">
        <v>50000</v>
      </c>
      <c r="BS289">
        <v>500000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 t="s">
        <v>2940</v>
      </c>
      <c r="CA289" t="s">
        <v>2939</v>
      </c>
      <c r="CB289" t="s">
        <v>2941</v>
      </c>
    </row>
    <row r="290" spans="1:80" x14ac:dyDescent="0.25">
      <c r="A290">
        <v>288</v>
      </c>
      <c r="B290" t="s">
        <v>2307</v>
      </c>
      <c r="C290" s="1">
        <v>44836</v>
      </c>
      <c r="D290" s="2">
        <v>30</v>
      </c>
      <c r="E290" t="s">
        <v>4</v>
      </c>
      <c r="F290" t="s">
        <v>1311</v>
      </c>
      <c r="G290">
        <v>1</v>
      </c>
      <c r="H290" s="3">
        <v>3800000</v>
      </c>
      <c r="I290" s="3">
        <v>134500</v>
      </c>
      <c r="J290" s="3">
        <v>0</v>
      </c>
      <c r="K290" s="3">
        <v>0</v>
      </c>
      <c r="L290" s="3" t="s">
        <v>1191</v>
      </c>
      <c r="M290">
        <v>1543095</v>
      </c>
      <c r="N290" t="s">
        <v>588</v>
      </c>
      <c r="P290" t="s">
        <v>295</v>
      </c>
      <c r="Q290" t="s">
        <v>15</v>
      </c>
      <c r="R290">
        <v>33921</v>
      </c>
      <c r="S290" t="s">
        <v>73</v>
      </c>
      <c r="T290" t="s">
        <v>967</v>
      </c>
      <c r="U290">
        <v>1</v>
      </c>
      <c r="V290" t="s">
        <v>1053</v>
      </c>
      <c r="W290" t="s">
        <v>1194</v>
      </c>
      <c r="X290" t="s">
        <v>1309</v>
      </c>
      <c r="Y290">
        <v>10000</v>
      </c>
      <c r="Z290" s="2">
        <v>5</v>
      </c>
      <c r="AA290" s="2" t="s">
        <v>1238</v>
      </c>
      <c r="AB290" t="s">
        <v>1238</v>
      </c>
      <c r="AC290">
        <v>680</v>
      </c>
      <c r="AD290" t="s">
        <v>1280</v>
      </c>
      <c r="AE290">
        <v>2</v>
      </c>
      <c r="AF290" t="s">
        <v>1291</v>
      </c>
      <c r="AG290">
        <v>0</v>
      </c>
      <c r="AH290">
        <v>0</v>
      </c>
      <c r="AI290">
        <v>0</v>
      </c>
      <c r="AJ290">
        <v>2020</v>
      </c>
      <c r="AK290" t="s">
        <v>1194</v>
      </c>
      <c r="AL290" t="s">
        <v>1194</v>
      </c>
      <c r="AM290" s="4" t="s">
        <v>1238</v>
      </c>
      <c r="AN290">
        <v>1</v>
      </c>
      <c r="AO290" t="s">
        <v>1317</v>
      </c>
      <c r="AP290">
        <f t="shared" si="8"/>
        <v>0</v>
      </c>
      <c r="AQ290">
        <v>0</v>
      </c>
      <c r="AR290" t="s">
        <v>1993</v>
      </c>
      <c r="AS290" t="s">
        <v>1996</v>
      </c>
      <c r="AT290" t="s">
        <v>1996</v>
      </c>
      <c r="AU290" t="s">
        <v>1996</v>
      </c>
      <c r="AV290" t="s">
        <v>1995</v>
      </c>
      <c r="AW290" t="s">
        <v>1995</v>
      </c>
      <c r="AX290" t="s">
        <v>2007</v>
      </c>
      <c r="AY290" t="s">
        <v>1995</v>
      </c>
      <c r="AZ290">
        <v>5000</v>
      </c>
      <c r="BA290" t="s">
        <v>1194</v>
      </c>
      <c r="BB290" t="s">
        <v>1194</v>
      </c>
      <c r="BC290" s="3">
        <v>9206.9197000000004</v>
      </c>
      <c r="BD290" s="3">
        <v>22349.16</v>
      </c>
      <c r="BE290" s="3">
        <v>0</v>
      </c>
      <c r="BF290" s="3">
        <v>0</v>
      </c>
      <c r="BG290" s="3">
        <v>300</v>
      </c>
      <c r="BH290" s="3">
        <v>0</v>
      </c>
      <c r="BI290" s="3">
        <v>14571.02</v>
      </c>
      <c r="BJ290" s="3">
        <v>46427</v>
      </c>
      <c r="BK290" s="3">
        <v>0</v>
      </c>
      <c r="BL290" s="3">
        <v>46427</v>
      </c>
      <c r="BM290" s="2">
        <f t="shared" ca="1" si="9"/>
        <v>3</v>
      </c>
      <c r="BN290" s="3" t="s">
        <v>2916</v>
      </c>
      <c r="BO290" s="3">
        <v>25000</v>
      </c>
      <c r="BP290" s="3">
        <v>100000</v>
      </c>
      <c r="BQ290" s="3">
        <v>50000</v>
      </c>
      <c r="BR290" s="3">
        <v>100000</v>
      </c>
      <c r="BS290">
        <v>100000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 t="s">
        <v>2938</v>
      </c>
      <c r="CA290" t="s">
        <v>2939</v>
      </c>
      <c r="CB290" t="s">
        <v>2941</v>
      </c>
    </row>
    <row r="291" spans="1:80" x14ac:dyDescent="0.25">
      <c r="A291">
        <v>289</v>
      </c>
      <c r="B291" t="s">
        <v>2308</v>
      </c>
      <c r="C291" s="1">
        <v>44873</v>
      </c>
      <c r="D291" s="2">
        <v>33</v>
      </c>
      <c r="E291" t="s">
        <v>4</v>
      </c>
      <c r="F291" t="s">
        <v>1311</v>
      </c>
      <c r="G291">
        <v>1</v>
      </c>
      <c r="H291" s="3">
        <v>11000000</v>
      </c>
      <c r="I291" s="3">
        <v>250000</v>
      </c>
      <c r="J291" s="3">
        <v>0</v>
      </c>
      <c r="K291" s="3">
        <v>0</v>
      </c>
      <c r="L291" s="3" t="s">
        <v>1191</v>
      </c>
      <c r="M291">
        <v>1354371</v>
      </c>
      <c r="N291" t="s">
        <v>589</v>
      </c>
      <c r="P291" t="s">
        <v>29</v>
      </c>
      <c r="Q291" t="s">
        <v>14</v>
      </c>
      <c r="R291">
        <v>10028</v>
      </c>
      <c r="S291" t="s">
        <v>29</v>
      </c>
      <c r="T291" t="s">
        <v>968</v>
      </c>
      <c r="U291">
        <v>0</v>
      </c>
      <c r="V291" t="s">
        <v>1000</v>
      </c>
      <c r="W291" t="s">
        <v>1194</v>
      </c>
      <c r="X291" t="s">
        <v>973</v>
      </c>
      <c r="Y291">
        <v>50000</v>
      </c>
      <c r="Z291" s="2">
        <v>2</v>
      </c>
      <c r="AA291" s="2" t="s">
        <v>1238</v>
      </c>
      <c r="AB291" t="s">
        <v>1238</v>
      </c>
      <c r="AC291">
        <v>781</v>
      </c>
      <c r="AD291" t="s">
        <v>1280</v>
      </c>
      <c r="AE291">
        <v>1</v>
      </c>
      <c r="AF291" t="s">
        <v>1290</v>
      </c>
      <c r="AG291">
        <v>0</v>
      </c>
      <c r="AH291">
        <v>0</v>
      </c>
      <c r="AI291">
        <v>0</v>
      </c>
      <c r="AJ291">
        <v>1915</v>
      </c>
      <c r="AK291">
        <v>2020</v>
      </c>
      <c r="AL291">
        <v>2020</v>
      </c>
      <c r="AM291" s="4" t="s">
        <v>1238</v>
      </c>
      <c r="AN291">
        <v>1</v>
      </c>
      <c r="AO291" t="s">
        <v>1317</v>
      </c>
      <c r="AP291">
        <f t="shared" si="8"/>
        <v>0</v>
      </c>
      <c r="AQ291">
        <v>1</v>
      </c>
      <c r="AR291" t="s">
        <v>1992</v>
      </c>
      <c r="AS291" t="s">
        <v>1995</v>
      </c>
      <c r="AT291" t="s">
        <v>1995</v>
      </c>
      <c r="AU291" t="s">
        <v>1996</v>
      </c>
      <c r="AV291" t="s">
        <v>1995</v>
      </c>
      <c r="AW291" t="s">
        <v>1996</v>
      </c>
      <c r="AX291" t="s">
        <v>2006</v>
      </c>
      <c r="AY291" t="s">
        <v>1996</v>
      </c>
      <c r="AZ291">
        <v>9486</v>
      </c>
      <c r="BA291" t="s">
        <v>1194</v>
      </c>
      <c r="BB291" t="s">
        <v>1194</v>
      </c>
      <c r="BC291" s="3">
        <v>26067.334800000001</v>
      </c>
      <c r="BD291" s="3">
        <v>4136.51</v>
      </c>
      <c r="BE291" s="3">
        <v>0</v>
      </c>
      <c r="BF291" s="3">
        <v>0</v>
      </c>
      <c r="BG291" s="3">
        <v>0</v>
      </c>
      <c r="BH291" s="3">
        <v>0</v>
      </c>
      <c r="BI291" s="3">
        <v>47421</v>
      </c>
      <c r="BJ291" s="3">
        <v>77625</v>
      </c>
      <c r="BK291" s="3">
        <v>0</v>
      </c>
      <c r="BL291" s="3">
        <v>77625</v>
      </c>
      <c r="BM291" s="2">
        <f t="shared" ca="1" si="9"/>
        <v>1</v>
      </c>
      <c r="BN291" s="3" t="s">
        <v>2916</v>
      </c>
      <c r="BO291" s="3">
        <v>100000</v>
      </c>
      <c r="BP291" s="3">
        <v>200000</v>
      </c>
      <c r="BQ291" s="3">
        <v>100000</v>
      </c>
      <c r="BR291" s="3">
        <v>500000</v>
      </c>
      <c r="BS291">
        <v>1000000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 t="s">
        <v>2006</v>
      </c>
      <c r="CA291" t="s">
        <v>2006</v>
      </c>
      <c r="CB291" t="s">
        <v>2006</v>
      </c>
    </row>
    <row r="292" spans="1:80" x14ac:dyDescent="0.25">
      <c r="A292">
        <v>290</v>
      </c>
      <c r="B292" t="s">
        <v>2309</v>
      </c>
      <c r="C292" s="1">
        <v>44750</v>
      </c>
      <c r="D292" s="2">
        <v>21</v>
      </c>
      <c r="E292" t="s">
        <v>4</v>
      </c>
      <c r="F292" t="s">
        <v>1311</v>
      </c>
      <c r="G292">
        <v>1</v>
      </c>
      <c r="H292" s="3">
        <v>8000000</v>
      </c>
      <c r="I292" s="3">
        <v>200000</v>
      </c>
      <c r="J292" s="3">
        <v>0</v>
      </c>
      <c r="K292" s="3">
        <v>0</v>
      </c>
      <c r="L292" s="3" t="s">
        <v>1191</v>
      </c>
      <c r="M292">
        <v>1360504</v>
      </c>
      <c r="N292" t="s">
        <v>590</v>
      </c>
      <c r="P292" t="s">
        <v>549</v>
      </c>
      <c r="Q292" t="s">
        <v>14</v>
      </c>
      <c r="R292">
        <v>11557</v>
      </c>
      <c r="S292" t="s">
        <v>38</v>
      </c>
      <c r="T292" t="s">
        <v>962</v>
      </c>
      <c r="U292">
        <v>0</v>
      </c>
      <c r="V292" t="s">
        <v>1107</v>
      </c>
      <c r="W292" t="s">
        <v>1194</v>
      </c>
      <c r="X292" t="s">
        <v>973</v>
      </c>
      <c r="Y292">
        <v>50000</v>
      </c>
      <c r="Z292" s="2">
        <v>3</v>
      </c>
      <c r="AA292" s="2" t="s">
        <v>1238</v>
      </c>
      <c r="AB292" t="s">
        <v>1238</v>
      </c>
      <c r="AC292">
        <v>680</v>
      </c>
      <c r="AD292" t="s">
        <v>1279</v>
      </c>
      <c r="AE292">
        <v>3</v>
      </c>
      <c r="AF292" t="s">
        <v>1290</v>
      </c>
      <c r="AG292">
        <v>0</v>
      </c>
      <c r="AH292">
        <v>0</v>
      </c>
      <c r="AI292">
        <v>0</v>
      </c>
      <c r="AJ292">
        <v>2020</v>
      </c>
      <c r="AK292" t="s">
        <v>1194</v>
      </c>
      <c r="AL292" t="s">
        <v>1194</v>
      </c>
      <c r="AM292" s="4" t="s">
        <v>1238</v>
      </c>
      <c r="AN292">
        <v>1</v>
      </c>
      <c r="AO292" t="s">
        <v>1315</v>
      </c>
      <c r="AP292">
        <f t="shared" si="8"/>
        <v>0</v>
      </c>
      <c r="AQ292">
        <v>1</v>
      </c>
      <c r="AR292" t="s">
        <v>1992</v>
      </c>
      <c r="AS292" t="s">
        <v>1995</v>
      </c>
      <c r="AT292" t="s">
        <v>1996</v>
      </c>
      <c r="AU292" t="s">
        <v>1996</v>
      </c>
      <c r="AV292" t="s">
        <v>1995</v>
      </c>
      <c r="AW292" t="s">
        <v>1996</v>
      </c>
      <c r="AX292" t="s">
        <v>2006</v>
      </c>
      <c r="AY292" t="s">
        <v>1996</v>
      </c>
      <c r="AZ292">
        <v>15000</v>
      </c>
      <c r="BA292" t="s">
        <v>1194</v>
      </c>
      <c r="BB292" t="s">
        <v>1194</v>
      </c>
      <c r="BC292" s="3">
        <v>20832.080699999999</v>
      </c>
      <c r="BD292" s="3">
        <v>4131.71</v>
      </c>
      <c r="BE292" s="3">
        <v>0</v>
      </c>
      <c r="BF292" s="3">
        <v>0</v>
      </c>
      <c r="BG292" s="3">
        <v>200</v>
      </c>
      <c r="BH292" s="3">
        <v>0</v>
      </c>
      <c r="BI292" s="3">
        <v>17476</v>
      </c>
      <c r="BJ292" s="3">
        <v>42640</v>
      </c>
      <c r="BK292" s="3">
        <v>0</v>
      </c>
      <c r="BL292" s="3">
        <v>42640</v>
      </c>
      <c r="BM292" s="2">
        <f t="shared" ca="1" si="9"/>
        <v>2</v>
      </c>
      <c r="BN292" s="3" t="s">
        <v>2916</v>
      </c>
      <c r="BO292" s="3">
        <v>2000000</v>
      </c>
      <c r="BP292" s="3">
        <v>50000</v>
      </c>
      <c r="BQ292" s="3">
        <v>1000000</v>
      </c>
      <c r="BR292" s="3">
        <v>250000</v>
      </c>
      <c r="BS292">
        <v>100000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 t="s">
        <v>2938</v>
      </c>
      <c r="CA292" t="s">
        <v>2939</v>
      </c>
      <c r="CB292" t="s">
        <v>2006</v>
      </c>
    </row>
    <row r="293" spans="1:80" x14ac:dyDescent="0.25">
      <c r="A293">
        <v>291</v>
      </c>
      <c r="B293" t="s">
        <v>2310</v>
      </c>
      <c r="C293" s="1">
        <v>44893</v>
      </c>
      <c r="D293" s="2">
        <v>33</v>
      </c>
      <c r="E293" t="s">
        <v>4</v>
      </c>
      <c r="F293" t="s">
        <v>1311</v>
      </c>
      <c r="G293">
        <v>0</v>
      </c>
      <c r="H293" s="3">
        <v>4000000</v>
      </c>
      <c r="I293" s="3">
        <v>0</v>
      </c>
      <c r="J293" s="3">
        <v>0</v>
      </c>
      <c r="K293" s="3">
        <v>0</v>
      </c>
      <c r="L293" s="3" t="s">
        <v>1191</v>
      </c>
      <c r="M293">
        <v>605674</v>
      </c>
      <c r="N293" t="s">
        <v>591</v>
      </c>
      <c r="P293" t="s">
        <v>592</v>
      </c>
      <c r="Q293" t="s">
        <v>21</v>
      </c>
      <c r="R293">
        <v>27609</v>
      </c>
      <c r="S293" t="s">
        <v>93</v>
      </c>
      <c r="T293" t="s">
        <v>973</v>
      </c>
      <c r="U293">
        <v>0</v>
      </c>
      <c r="V293" t="s">
        <v>1118</v>
      </c>
      <c r="W293" t="s">
        <v>1194</v>
      </c>
      <c r="X293" t="s">
        <v>973</v>
      </c>
      <c r="Y293">
        <v>10000</v>
      </c>
      <c r="Z293" s="2" t="s">
        <v>1194</v>
      </c>
      <c r="AA293" s="2" t="s">
        <v>1238</v>
      </c>
      <c r="AB293" t="s">
        <v>1238</v>
      </c>
      <c r="AC293">
        <v>738</v>
      </c>
      <c r="AD293" t="s">
        <v>1279</v>
      </c>
      <c r="AE293">
        <v>1</v>
      </c>
      <c r="AF293" t="s">
        <v>1290</v>
      </c>
      <c r="AG293">
        <v>0</v>
      </c>
      <c r="AH293">
        <v>0</v>
      </c>
      <c r="AI293">
        <v>0</v>
      </c>
      <c r="AJ293">
        <v>1962</v>
      </c>
      <c r="AK293">
        <v>2022</v>
      </c>
      <c r="AL293">
        <v>2017</v>
      </c>
      <c r="AM293" s="4" t="s">
        <v>1238</v>
      </c>
      <c r="AN293">
        <v>1</v>
      </c>
      <c r="AO293" t="s">
        <v>1315</v>
      </c>
      <c r="AP293">
        <f t="shared" si="8"/>
        <v>0</v>
      </c>
      <c r="AQ293">
        <v>0</v>
      </c>
      <c r="AR293" t="s">
        <v>1993</v>
      </c>
      <c r="AS293" t="s">
        <v>1995</v>
      </c>
      <c r="AT293" t="s">
        <v>1995</v>
      </c>
      <c r="AU293" t="s">
        <v>1996</v>
      </c>
      <c r="AV293" t="s">
        <v>1995</v>
      </c>
      <c r="AW293" t="s">
        <v>1996</v>
      </c>
      <c r="AX293" t="s">
        <v>2006</v>
      </c>
      <c r="AY293" t="s">
        <v>1996</v>
      </c>
      <c r="AZ293">
        <v>9285</v>
      </c>
      <c r="BA293" t="s">
        <v>1194</v>
      </c>
      <c r="BB293" t="s">
        <v>1194</v>
      </c>
      <c r="BC293" s="3">
        <v>7257.7646999999997</v>
      </c>
      <c r="BD293" s="3">
        <v>2966.6</v>
      </c>
      <c r="BE293" s="3">
        <v>0</v>
      </c>
      <c r="BF293" s="3">
        <v>0</v>
      </c>
      <c r="BG293" s="3">
        <v>150</v>
      </c>
      <c r="BH293" s="3">
        <v>0</v>
      </c>
      <c r="BI293" s="3">
        <v>6426</v>
      </c>
      <c r="BJ293" s="3">
        <v>16800</v>
      </c>
      <c r="BK293" s="3">
        <v>0</v>
      </c>
      <c r="BL293" s="3">
        <v>16800</v>
      </c>
      <c r="BM293" s="2">
        <f t="shared" ca="1" si="9"/>
        <v>4</v>
      </c>
      <c r="BN293" s="3">
        <v>100000</v>
      </c>
      <c r="BO293" s="3">
        <v>500000</v>
      </c>
      <c r="BP293" s="3">
        <v>100000</v>
      </c>
      <c r="BQ293" s="3">
        <v>50000</v>
      </c>
      <c r="BR293" s="3">
        <v>50000</v>
      </c>
      <c r="BS293">
        <v>50000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 t="s">
        <v>2942</v>
      </c>
      <c r="CA293" t="s">
        <v>2006</v>
      </c>
      <c r="CB293" t="s">
        <v>2941</v>
      </c>
    </row>
    <row r="294" spans="1:80" x14ac:dyDescent="0.25">
      <c r="A294">
        <v>292</v>
      </c>
      <c r="B294" t="s">
        <v>2311</v>
      </c>
      <c r="C294" s="1">
        <v>44712</v>
      </c>
      <c r="D294" s="2">
        <v>15</v>
      </c>
      <c r="E294" t="s">
        <v>4</v>
      </c>
      <c r="F294" t="s">
        <v>1311</v>
      </c>
      <c r="G294">
        <v>0</v>
      </c>
      <c r="H294" s="3">
        <v>4000000</v>
      </c>
      <c r="I294" s="3">
        <v>300000</v>
      </c>
      <c r="J294" s="3">
        <v>0</v>
      </c>
      <c r="K294" s="3">
        <v>0</v>
      </c>
      <c r="L294" s="3" t="s">
        <v>1191</v>
      </c>
      <c r="M294">
        <v>1856786</v>
      </c>
      <c r="N294" t="s">
        <v>593</v>
      </c>
      <c r="P294" t="s">
        <v>594</v>
      </c>
      <c r="Q294" t="s">
        <v>19</v>
      </c>
      <c r="R294">
        <v>92037</v>
      </c>
      <c r="S294" t="s">
        <v>77</v>
      </c>
      <c r="T294" t="s">
        <v>974</v>
      </c>
      <c r="U294">
        <v>0</v>
      </c>
      <c r="V294">
        <v>3</v>
      </c>
      <c r="W294" t="s">
        <v>1206</v>
      </c>
      <c r="X294" t="s">
        <v>973</v>
      </c>
      <c r="Y294">
        <v>10000</v>
      </c>
      <c r="Z294" s="2" t="s">
        <v>1194</v>
      </c>
      <c r="AA294" s="2" t="s">
        <v>1238</v>
      </c>
      <c r="AB294" t="s">
        <v>1238</v>
      </c>
      <c r="AC294" t="s">
        <v>1194</v>
      </c>
      <c r="AD294" t="s">
        <v>1279</v>
      </c>
      <c r="AE294">
        <v>2</v>
      </c>
      <c r="AF294" t="s">
        <v>1290</v>
      </c>
      <c r="AG294">
        <v>0</v>
      </c>
      <c r="AH294">
        <v>0</v>
      </c>
      <c r="AI294">
        <v>0</v>
      </c>
      <c r="AJ294">
        <v>1951</v>
      </c>
      <c r="AK294">
        <v>2022</v>
      </c>
      <c r="AL294" t="s">
        <v>1194</v>
      </c>
      <c r="AM294" s="4" t="s">
        <v>1238</v>
      </c>
      <c r="AN294">
        <v>0</v>
      </c>
      <c r="AO294" t="s">
        <v>1317</v>
      </c>
      <c r="AP294">
        <f t="shared" si="8"/>
        <v>0</v>
      </c>
      <c r="AQ294">
        <v>1</v>
      </c>
      <c r="AR294" t="s">
        <v>1992</v>
      </c>
      <c r="AS294" t="s">
        <v>1996</v>
      </c>
      <c r="AT294" t="s">
        <v>1996</v>
      </c>
      <c r="AU294" t="s">
        <v>1996</v>
      </c>
      <c r="AV294" t="s">
        <v>1995</v>
      </c>
      <c r="AW294" t="s">
        <v>1995</v>
      </c>
      <c r="AX294" t="s">
        <v>1194</v>
      </c>
      <c r="AY294" t="s">
        <v>1996</v>
      </c>
      <c r="AZ294">
        <v>4045</v>
      </c>
      <c r="BA294" t="s">
        <v>1194</v>
      </c>
      <c r="BB294" t="s">
        <v>2014</v>
      </c>
      <c r="BC294" s="3">
        <v>0</v>
      </c>
      <c r="BD294" s="3">
        <v>0</v>
      </c>
      <c r="BE294" s="3">
        <v>6453.81</v>
      </c>
      <c r="BF294" s="3">
        <v>6923.9</v>
      </c>
      <c r="BG294" s="3">
        <v>150</v>
      </c>
      <c r="BH294" s="3">
        <v>0</v>
      </c>
      <c r="BI294" s="3">
        <v>12084</v>
      </c>
      <c r="BJ294" s="3">
        <v>25611.71</v>
      </c>
      <c r="BK294" s="3">
        <v>0</v>
      </c>
      <c r="BL294" s="3">
        <v>25611.71</v>
      </c>
      <c r="BM294" s="2">
        <f t="shared" ca="1" si="9"/>
        <v>5</v>
      </c>
      <c r="BN294" s="3">
        <v>50000</v>
      </c>
      <c r="BO294" s="3">
        <v>1000000</v>
      </c>
      <c r="BP294" s="3">
        <v>200000</v>
      </c>
      <c r="BQ294" s="3">
        <v>25000</v>
      </c>
      <c r="BR294" s="3">
        <v>250000</v>
      </c>
      <c r="BS294">
        <v>100000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 t="s">
        <v>2950</v>
      </c>
      <c r="CA294" t="s">
        <v>1194</v>
      </c>
      <c r="CB294" t="s">
        <v>2941</v>
      </c>
    </row>
    <row r="295" spans="1:80" x14ac:dyDescent="0.25">
      <c r="A295">
        <v>293</v>
      </c>
      <c r="B295" t="s">
        <v>2312</v>
      </c>
      <c r="C295" s="1">
        <v>44797</v>
      </c>
      <c r="D295" s="2">
        <v>24</v>
      </c>
      <c r="E295" t="s">
        <v>4</v>
      </c>
      <c r="F295" t="s">
        <v>1311</v>
      </c>
      <c r="G295">
        <v>0</v>
      </c>
      <c r="H295" s="3">
        <v>3800000</v>
      </c>
      <c r="I295" s="3">
        <v>477300</v>
      </c>
      <c r="J295" s="3">
        <v>0</v>
      </c>
      <c r="K295" s="3">
        <v>0</v>
      </c>
      <c r="L295" s="3" t="s">
        <v>1191</v>
      </c>
      <c r="M295">
        <v>575762</v>
      </c>
      <c r="N295" t="s">
        <v>595</v>
      </c>
      <c r="P295" t="s">
        <v>316</v>
      </c>
      <c r="Q295" t="s">
        <v>19</v>
      </c>
      <c r="R295">
        <v>92264</v>
      </c>
      <c r="S295" t="s">
        <v>76</v>
      </c>
      <c r="T295" t="s">
        <v>965</v>
      </c>
      <c r="U295">
        <v>0</v>
      </c>
      <c r="V295">
        <v>22</v>
      </c>
      <c r="W295" t="s">
        <v>1202</v>
      </c>
      <c r="X295" t="s">
        <v>973</v>
      </c>
      <c r="Y295">
        <v>10000</v>
      </c>
      <c r="Z295" s="2" t="s">
        <v>1194</v>
      </c>
      <c r="AA295" s="2" t="s">
        <v>1238</v>
      </c>
      <c r="AB295" t="s">
        <v>1238</v>
      </c>
      <c r="AC295" t="s">
        <v>1194</v>
      </c>
      <c r="AD295" t="s">
        <v>1279</v>
      </c>
      <c r="AE295">
        <v>3</v>
      </c>
      <c r="AF295" t="s">
        <v>1290</v>
      </c>
      <c r="AG295">
        <v>0</v>
      </c>
      <c r="AH295">
        <v>0</v>
      </c>
      <c r="AI295">
        <v>0</v>
      </c>
      <c r="AJ295">
        <v>1978</v>
      </c>
      <c r="AK295">
        <v>2021</v>
      </c>
      <c r="AL295">
        <v>2003</v>
      </c>
      <c r="AM295" s="4" t="s">
        <v>1238</v>
      </c>
      <c r="AN295">
        <v>1</v>
      </c>
      <c r="AO295" t="s">
        <v>1315</v>
      </c>
      <c r="AP295">
        <f t="shared" si="8"/>
        <v>0</v>
      </c>
      <c r="AQ295">
        <v>0</v>
      </c>
      <c r="AR295" t="s">
        <v>1993</v>
      </c>
      <c r="AS295" t="s">
        <v>1995</v>
      </c>
      <c r="AT295" t="s">
        <v>1995</v>
      </c>
      <c r="AU295" t="s">
        <v>1996</v>
      </c>
      <c r="AV295" t="s">
        <v>1996</v>
      </c>
      <c r="AW295" t="s">
        <v>1996</v>
      </c>
      <c r="AX295" t="s">
        <v>1194</v>
      </c>
      <c r="AY295" t="s">
        <v>1996</v>
      </c>
      <c r="AZ295">
        <v>4890</v>
      </c>
      <c r="BA295">
        <v>3</v>
      </c>
      <c r="BB295" t="s">
        <v>2016</v>
      </c>
      <c r="BC295" s="3">
        <v>0</v>
      </c>
      <c r="BD295" s="3">
        <v>0</v>
      </c>
      <c r="BE295" s="3">
        <v>21910.91</v>
      </c>
      <c r="BF295" s="3">
        <v>6808.7</v>
      </c>
      <c r="BG295" s="3">
        <v>150</v>
      </c>
      <c r="BH295" s="3">
        <v>0</v>
      </c>
      <c r="BI295" s="3">
        <v>0</v>
      </c>
      <c r="BJ295" s="3">
        <v>28869.61</v>
      </c>
      <c r="BK295" s="3">
        <v>0</v>
      </c>
      <c r="BL295" s="3">
        <v>28869.61</v>
      </c>
      <c r="BM295" s="2">
        <f t="shared" ca="1" si="9"/>
        <v>1</v>
      </c>
      <c r="BN295" s="3">
        <v>100000</v>
      </c>
      <c r="BO295" s="3">
        <v>250000</v>
      </c>
      <c r="BP295" s="3" t="s">
        <v>2922</v>
      </c>
      <c r="BQ295" s="3">
        <v>500000</v>
      </c>
      <c r="BR295" s="3">
        <v>1000000</v>
      </c>
      <c r="BS295">
        <v>500000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 t="s">
        <v>2949</v>
      </c>
      <c r="CA295" t="s">
        <v>1194</v>
      </c>
      <c r="CB295" t="s">
        <v>2952</v>
      </c>
    </row>
    <row r="296" spans="1:80" x14ac:dyDescent="0.25">
      <c r="A296">
        <v>294</v>
      </c>
      <c r="B296" t="s">
        <v>2313</v>
      </c>
      <c r="C296" s="1">
        <v>44941</v>
      </c>
      <c r="D296" s="2">
        <v>3</v>
      </c>
      <c r="E296" t="s">
        <v>4</v>
      </c>
      <c r="F296" t="s">
        <v>1310</v>
      </c>
      <c r="G296">
        <v>0</v>
      </c>
      <c r="H296" s="3">
        <v>5444160</v>
      </c>
      <c r="I296" s="3">
        <v>200000</v>
      </c>
      <c r="J296" s="3">
        <v>0</v>
      </c>
      <c r="K296" s="3">
        <v>0</v>
      </c>
      <c r="L296" s="3" t="s">
        <v>1191</v>
      </c>
      <c r="M296">
        <v>1386232</v>
      </c>
      <c r="N296" t="s">
        <v>596</v>
      </c>
      <c r="P296" t="s">
        <v>62</v>
      </c>
      <c r="Q296" t="s">
        <v>19</v>
      </c>
      <c r="R296">
        <v>94114</v>
      </c>
      <c r="S296" t="s">
        <v>62</v>
      </c>
      <c r="T296" t="s">
        <v>975</v>
      </c>
      <c r="U296">
        <v>0</v>
      </c>
      <c r="V296">
        <v>33</v>
      </c>
      <c r="W296" t="s">
        <v>1198</v>
      </c>
      <c r="X296" t="s">
        <v>973</v>
      </c>
      <c r="Y296">
        <v>25000</v>
      </c>
      <c r="Z296" s="2" t="s">
        <v>1194</v>
      </c>
      <c r="AA296" s="2" t="s">
        <v>1238</v>
      </c>
      <c r="AB296" t="s">
        <v>1238</v>
      </c>
      <c r="AC296" t="s">
        <v>1194</v>
      </c>
      <c r="AD296" t="s">
        <v>1279</v>
      </c>
      <c r="AE296">
        <v>1</v>
      </c>
      <c r="AF296" t="s">
        <v>1194</v>
      </c>
      <c r="AG296">
        <v>0</v>
      </c>
      <c r="AH296">
        <v>0</v>
      </c>
      <c r="AI296">
        <v>0</v>
      </c>
      <c r="AJ296">
        <v>2019</v>
      </c>
      <c r="AK296" t="s">
        <v>1194</v>
      </c>
      <c r="AL296" t="s">
        <v>1194</v>
      </c>
      <c r="AM296" s="4" t="s">
        <v>1304</v>
      </c>
      <c r="AN296">
        <v>1</v>
      </c>
      <c r="AO296" t="s">
        <v>1316</v>
      </c>
      <c r="AP296">
        <f t="shared" si="8"/>
        <v>0</v>
      </c>
      <c r="AQ296">
        <v>1</v>
      </c>
      <c r="AR296" t="s">
        <v>1992</v>
      </c>
      <c r="AS296" t="s">
        <v>1996</v>
      </c>
      <c r="AT296" t="s">
        <v>1995</v>
      </c>
      <c r="AU296" t="s">
        <v>1995</v>
      </c>
      <c r="AV296" t="s">
        <v>1996</v>
      </c>
      <c r="AW296" t="s">
        <v>1996</v>
      </c>
      <c r="AX296" t="s">
        <v>1194</v>
      </c>
      <c r="AY296" t="s">
        <v>1996</v>
      </c>
      <c r="AZ296">
        <v>5300</v>
      </c>
      <c r="BA296">
        <v>2</v>
      </c>
      <c r="BB296" t="s">
        <v>2014</v>
      </c>
      <c r="BC296" s="3">
        <v>0</v>
      </c>
      <c r="BD296" s="3">
        <v>0</v>
      </c>
      <c r="BE296" s="3">
        <v>7543.89</v>
      </c>
      <c r="BF296" s="3">
        <v>28117.87</v>
      </c>
      <c r="BG296" s="3">
        <v>150</v>
      </c>
      <c r="BH296" s="3">
        <v>0</v>
      </c>
      <c r="BI296" s="3">
        <v>4293.1899999999996</v>
      </c>
      <c r="BJ296" s="3">
        <v>40104.949999999997</v>
      </c>
      <c r="BK296" s="3">
        <v>871</v>
      </c>
      <c r="BL296" s="3">
        <v>40975.949999999997</v>
      </c>
      <c r="BM296" s="2">
        <f t="shared" ca="1" si="9"/>
        <v>2</v>
      </c>
      <c r="BN296" s="3" t="s">
        <v>2916</v>
      </c>
      <c r="BO296" s="3">
        <v>25000</v>
      </c>
      <c r="BP296" s="3">
        <v>50000</v>
      </c>
      <c r="BQ296" s="3">
        <v>250000</v>
      </c>
      <c r="BR296" s="3">
        <v>500000</v>
      </c>
      <c r="BS296">
        <v>100000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 t="s">
        <v>2956</v>
      </c>
      <c r="CA296" t="s">
        <v>1194</v>
      </c>
      <c r="CB296" t="s">
        <v>2941</v>
      </c>
    </row>
    <row r="297" spans="1:80" x14ac:dyDescent="0.25">
      <c r="A297">
        <v>295</v>
      </c>
      <c r="B297" t="s">
        <v>2314</v>
      </c>
      <c r="C297" s="1">
        <v>44823</v>
      </c>
      <c r="D297" s="2">
        <v>27</v>
      </c>
      <c r="E297" t="s">
        <v>4</v>
      </c>
      <c r="F297" t="s">
        <v>1311</v>
      </c>
      <c r="G297">
        <v>1</v>
      </c>
      <c r="H297" s="3">
        <v>6528000</v>
      </c>
      <c r="I297" s="3">
        <v>500000</v>
      </c>
      <c r="J297" s="3">
        <v>0</v>
      </c>
      <c r="K297" s="3">
        <v>0</v>
      </c>
      <c r="L297" s="3" t="s">
        <v>1191</v>
      </c>
      <c r="M297">
        <v>551706</v>
      </c>
      <c r="N297" t="s">
        <v>597</v>
      </c>
      <c r="P297" t="s">
        <v>62</v>
      </c>
      <c r="Q297" t="s">
        <v>19</v>
      </c>
      <c r="R297">
        <v>94114</v>
      </c>
      <c r="S297" t="s">
        <v>62</v>
      </c>
      <c r="T297" t="s">
        <v>975</v>
      </c>
      <c r="U297">
        <v>0</v>
      </c>
      <c r="V297">
        <v>33</v>
      </c>
      <c r="W297" t="s">
        <v>1198</v>
      </c>
      <c r="X297" t="s">
        <v>973</v>
      </c>
      <c r="Y297">
        <v>10000</v>
      </c>
      <c r="Z297" s="2" t="s">
        <v>1194</v>
      </c>
      <c r="AA297" s="2" t="s">
        <v>1238</v>
      </c>
      <c r="AB297" t="s">
        <v>1238</v>
      </c>
      <c r="AC297" t="s">
        <v>1194</v>
      </c>
      <c r="AD297" t="s">
        <v>1279</v>
      </c>
      <c r="AE297">
        <v>1</v>
      </c>
      <c r="AF297" t="s">
        <v>1290</v>
      </c>
      <c r="AG297">
        <v>0</v>
      </c>
      <c r="AH297">
        <v>0</v>
      </c>
      <c r="AI297">
        <v>0</v>
      </c>
      <c r="AJ297">
        <v>1908</v>
      </c>
      <c r="AK297">
        <v>2022</v>
      </c>
      <c r="AL297">
        <v>2020</v>
      </c>
      <c r="AM297" s="4" t="s">
        <v>1238</v>
      </c>
      <c r="AN297">
        <v>1</v>
      </c>
      <c r="AO297" t="s">
        <v>1317</v>
      </c>
      <c r="AP297">
        <f t="shared" si="8"/>
        <v>0</v>
      </c>
      <c r="AQ297">
        <v>0</v>
      </c>
      <c r="AR297" t="s">
        <v>1993</v>
      </c>
      <c r="AS297" t="s">
        <v>1996</v>
      </c>
      <c r="AT297" t="s">
        <v>1995</v>
      </c>
      <c r="AU297" t="s">
        <v>1995</v>
      </c>
      <c r="AV297" t="s">
        <v>1996</v>
      </c>
      <c r="AW297" t="s">
        <v>1996</v>
      </c>
      <c r="AX297" t="s">
        <v>1194</v>
      </c>
      <c r="AY297" t="s">
        <v>1996</v>
      </c>
      <c r="AZ297">
        <v>3000</v>
      </c>
      <c r="BA297" t="s">
        <v>1194</v>
      </c>
      <c r="BB297" t="s">
        <v>2014</v>
      </c>
      <c r="BC297" s="3">
        <v>0</v>
      </c>
      <c r="BD297" s="3">
        <v>0</v>
      </c>
      <c r="BE297" s="3">
        <v>33240.71</v>
      </c>
      <c r="BF297" s="3">
        <v>8343.9599999999991</v>
      </c>
      <c r="BG297" s="3">
        <v>150</v>
      </c>
      <c r="BH297" s="3">
        <v>0</v>
      </c>
      <c r="BI297" s="3">
        <v>8585.48</v>
      </c>
      <c r="BJ297" s="3">
        <v>50320.15</v>
      </c>
      <c r="BK297" s="3">
        <v>0</v>
      </c>
      <c r="BL297" s="3">
        <v>50320.15</v>
      </c>
      <c r="BM297" s="2">
        <f t="shared" ca="1" si="9"/>
        <v>3</v>
      </c>
      <c r="BN297" s="3">
        <v>2000000</v>
      </c>
      <c r="BO297" s="3">
        <v>1000000</v>
      </c>
      <c r="BP297" s="3">
        <v>50000</v>
      </c>
      <c r="BQ297" s="3">
        <v>500000</v>
      </c>
      <c r="BR297" s="3">
        <v>1000000</v>
      </c>
      <c r="BS297">
        <v>500000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 t="s">
        <v>2950</v>
      </c>
      <c r="CA297" t="s">
        <v>1194</v>
      </c>
      <c r="CB297" t="s">
        <v>2941</v>
      </c>
    </row>
    <row r="298" spans="1:80" x14ac:dyDescent="0.25">
      <c r="A298">
        <v>296</v>
      </c>
      <c r="B298" t="s">
        <v>2315</v>
      </c>
      <c r="C298" s="1">
        <v>44953</v>
      </c>
      <c r="D298" s="2">
        <v>3</v>
      </c>
      <c r="E298" t="s">
        <v>4</v>
      </c>
      <c r="F298" t="s">
        <v>1310</v>
      </c>
      <c r="G298">
        <v>0</v>
      </c>
      <c r="H298" s="3">
        <v>14000000</v>
      </c>
      <c r="I298" s="3">
        <v>0</v>
      </c>
      <c r="J298" s="3">
        <v>0</v>
      </c>
      <c r="K298" s="3">
        <v>0</v>
      </c>
      <c r="L298" s="3" t="s">
        <v>1191</v>
      </c>
      <c r="M298">
        <v>1834097</v>
      </c>
      <c r="N298" t="s">
        <v>598</v>
      </c>
      <c r="P298" t="s">
        <v>29</v>
      </c>
      <c r="Q298" t="s">
        <v>14</v>
      </c>
      <c r="R298">
        <v>10014</v>
      </c>
      <c r="S298" t="s">
        <v>29</v>
      </c>
      <c r="T298" t="s">
        <v>962</v>
      </c>
      <c r="U298">
        <v>0</v>
      </c>
      <c r="V298" t="s">
        <v>997</v>
      </c>
      <c r="W298" t="s">
        <v>1194</v>
      </c>
      <c r="X298" t="s">
        <v>973</v>
      </c>
      <c r="Y298">
        <v>25000</v>
      </c>
      <c r="Z298" s="2">
        <v>2</v>
      </c>
      <c r="AA298" s="2" t="s">
        <v>1238</v>
      </c>
      <c r="AB298" t="s">
        <v>1238</v>
      </c>
      <c r="AC298">
        <v>735</v>
      </c>
      <c r="AD298" t="s">
        <v>1283</v>
      </c>
      <c r="AE298">
        <v>1</v>
      </c>
      <c r="AF298" t="s">
        <v>1290</v>
      </c>
      <c r="AG298">
        <v>1</v>
      </c>
      <c r="AH298">
        <v>0</v>
      </c>
      <c r="AI298">
        <v>1</v>
      </c>
      <c r="AJ298">
        <v>1899</v>
      </c>
      <c r="AK298" t="s">
        <v>1194</v>
      </c>
      <c r="AL298" t="s">
        <v>1194</v>
      </c>
      <c r="AM298" s="4" t="s">
        <v>1308</v>
      </c>
      <c r="AN298">
        <v>1</v>
      </c>
      <c r="AO298" t="s">
        <v>1317</v>
      </c>
      <c r="AP298">
        <f t="shared" si="8"/>
        <v>1</v>
      </c>
      <c r="AQ298">
        <v>1</v>
      </c>
      <c r="AR298" t="s">
        <v>1992</v>
      </c>
      <c r="AS298" t="s">
        <v>1996</v>
      </c>
      <c r="AT298" t="s">
        <v>1995</v>
      </c>
      <c r="AU298" t="s">
        <v>1995</v>
      </c>
      <c r="AV298" t="s">
        <v>1996</v>
      </c>
      <c r="AW298" t="s">
        <v>1996</v>
      </c>
      <c r="AX298" t="s">
        <v>2003</v>
      </c>
      <c r="AY298" t="s">
        <v>1996</v>
      </c>
      <c r="AZ298">
        <v>6650</v>
      </c>
      <c r="BA298" t="s">
        <v>1194</v>
      </c>
      <c r="BB298" t="s">
        <v>1194</v>
      </c>
      <c r="BC298" s="3">
        <v>65095.169800000003</v>
      </c>
      <c r="BD298" s="3">
        <v>10830.77</v>
      </c>
      <c r="BE298" s="3">
        <v>0</v>
      </c>
      <c r="BF298" s="3">
        <v>0</v>
      </c>
      <c r="BG298" s="3">
        <v>150</v>
      </c>
      <c r="BH298" s="3">
        <v>0</v>
      </c>
      <c r="BI298" s="3">
        <v>8850</v>
      </c>
      <c r="BJ298" s="3">
        <v>84926</v>
      </c>
      <c r="BK298" s="3">
        <v>1125</v>
      </c>
      <c r="BL298" s="3">
        <v>86051</v>
      </c>
      <c r="BM298" s="2">
        <f t="shared" ca="1" si="9"/>
        <v>6</v>
      </c>
      <c r="BN298" s="3" t="s">
        <v>2916</v>
      </c>
      <c r="BO298" s="3">
        <v>500000</v>
      </c>
      <c r="BP298" s="3">
        <v>50000</v>
      </c>
      <c r="BQ298" s="3">
        <v>2000000</v>
      </c>
      <c r="BR298" s="3">
        <v>50000</v>
      </c>
      <c r="BS298">
        <v>100000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 t="s">
        <v>2006</v>
      </c>
      <c r="CA298" t="s">
        <v>2006</v>
      </c>
      <c r="CB298" t="s">
        <v>2946</v>
      </c>
    </row>
    <row r="299" spans="1:80" x14ac:dyDescent="0.25">
      <c r="A299">
        <v>297</v>
      </c>
      <c r="B299" t="s">
        <v>2316</v>
      </c>
      <c r="C299" s="1">
        <v>44736</v>
      </c>
      <c r="D299" s="2">
        <v>18</v>
      </c>
      <c r="E299" t="s">
        <v>4</v>
      </c>
      <c r="F299" t="s">
        <v>1311</v>
      </c>
      <c r="G299">
        <v>0</v>
      </c>
      <c r="H299" s="3">
        <v>2100000</v>
      </c>
      <c r="I299" s="3">
        <v>0</v>
      </c>
      <c r="J299" s="3">
        <v>0</v>
      </c>
      <c r="K299" s="3">
        <v>0</v>
      </c>
      <c r="L299" s="3" t="s">
        <v>1191</v>
      </c>
      <c r="M299">
        <v>1922732</v>
      </c>
      <c r="N299" t="s">
        <v>599</v>
      </c>
      <c r="P299" t="s">
        <v>94</v>
      </c>
      <c r="Q299" t="s">
        <v>17</v>
      </c>
      <c r="R299">
        <v>29440</v>
      </c>
      <c r="S299" t="s">
        <v>94</v>
      </c>
      <c r="T299" t="s">
        <v>969</v>
      </c>
      <c r="U299">
        <v>0</v>
      </c>
      <c r="V299" t="s">
        <v>1119</v>
      </c>
      <c r="W299" t="s">
        <v>1194</v>
      </c>
      <c r="X299" t="s">
        <v>973</v>
      </c>
      <c r="Y299">
        <v>10000</v>
      </c>
      <c r="Z299" s="2">
        <v>5</v>
      </c>
      <c r="AA299" s="2" t="s">
        <v>1238</v>
      </c>
      <c r="AB299" t="s">
        <v>1238</v>
      </c>
      <c r="AC299">
        <v>721</v>
      </c>
      <c r="AD299" t="s">
        <v>1284</v>
      </c>
      <c r="AE299">
        <v>2</v>
      </c>
      <c r="AF299" t="s">
        <v>1291</v>
      </c>
      <c r="AG299">
        <v>0</v>
      </c>
      <c r="AH299">
        <v>0</v>
      </c>
      <c r="AI299">
        <v>0</v>
      </c>
      <c r="AJ299">
        <v>2022</v>
      </c>
      <c r="AK299" t="s">
        <v>1194</v>
      </c>
      <c r="AL299" t="s">
        <v>1194</v>
      </c>
      <c r="AM299" s="4" t="s">
        <v>1238</v>
      </c>
      <c r="AN299">
        <v>0</v>
      </c>
      <c r="AO299" t="s">
        <v>1317</v>
      </c>
      <c r="AP299">
        <f t="shared" si="8"/>
        <v>0</v>
      </c>
      <c r="AQ299">
        <v>0</v>
      </c>
      <c r="AR299" t="s">
        <v>1993</v>
      </c>
      <c r="AS299" t="s">
        <v>1996</v>
      </c>
      <c r="AT299" t="s">
        <v>1995</v>
      </c>
      <c r="AU299" t="s">
        <v>1995</v>
      </c>
      <c r="AV299" t="s">
        <v>1995</v>
      </c>
      <c r="AW299" t="s">
        <v>1995</v>
      </c>
      <c r="AX299" t="s">
        <v>2007</v>
      </c>
      <c r="AY299" t="s">
        <v>1995</v>
      </c>
      <c r="AZ299">
        <v>5000</v>
      </c>
      <c r="BA299" t="s">
        <v>1194</v>
      </c>
      <c r="BB299" t="s">
        <v>1194</v>
      </c>
      <c r="BC299" s="3">
        <v>3572.0237999999999</v>
      </c>
      <c r="BD299" s="3">
        <v>7702.41</v>
      </c>
      <c r="BE299" s="3">
        <v>0</v>
      </c>
      <c r="BF299" s="3">
        <v>0</v>
      </c>
      <c r="BG299" s="3">
        <v>150</v>
      </c>
      <c r="BH299" s="3">
        <v>0</v>
      </c>
      <c r="BI299" s="3">
        <v>626</v>
      </c>
      <c r="BJ299" s="3">
        <v>12050</v>
      </c>
      <c r="BK299" s="3">
        <v>300</v>
      </c>
      <c r="BL299" s="3">
        <v>12350</v>
      </c>
      <c r="BM299" s="2">
        <f t="shared" ca="1" si="9"/>
        <v>5</v>
      </c>
      <c r="BN299" s="3" t="s">
        <v>2916</v>
      </c>
      <c r="BO299" s="3">
        <v>1000000</v>
      </c>
      <c r="BP299" s="3">
        <v>100000</v>
      </c>
      <c r="BQ299" s="3">
        <v>100000</v>
      </c>
      <c r="BR299" s="3">
        <v>1000000</v>
      </c>
      <c r="BS299">
        <v>500000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 t="s">
        <v>2938</v>
      </c>
      <c r="CA299" t="s">
        <v>2944</v>
      </c>
      <c r="CB299" t="s">
        <v>2945</v>
      </c>
    </row>
    <row r="300" spans="1:80" x14ac:dyDescent="0.25">
      <c r="A300">
        <v>298</v>
      </c>
      <c r="B300" t="s">
        <v>2317</v>
      </c>
      <c r="C300" s="1">
        <v>44791</v>
      </c>
      <c r="D300" s="2">
        <v>24</v>
      </c>
      <c r="E300" t="s">
        <v>4</v>
      </c>
      <c r="F300" t="s">
        <v>1311</v>
      </c>
      <c r="G300">
        <v>0</v>
      </c>
      <c r="H300" s="3">
        <v>8043000</v>
      </c>
      <c r="I300" s="3">
        <v>150000</v>
      </c>
      <c r="J300" s="3">
        <v>0</v>
      </c>
      <c r="K300" s="3">
        <v>0</v>
      </c>
      <c r="L300" s="3" t="s">
        <v>1191</v>
      </c>
      <c r="M300">
        <v>1352349</v>
      </c>
      <c r="N300" t="s">
        <v>600</v>
      </c>
      <c r="P300" t="s">
        <v>62</v>
      </c>
      <c r="Q300" t="s">
        <v>19</v>
      </c>
      <c r="R300">
        <v>94118</v>
      </c>
      <c r="S300" t="s">
        <v>62</v>
      </c>
      <c r="T300" t="s">
        <v>975</v>
      </c>
      <c r="U300">
        <v>0</v>
      </c>
      <c r="V300">
        <v>33</v>
      </c>
      <c r="W300" t="s">
        <v>1198</v>
      </c>
      <c r="X300" t="s">
        <v>973</v>
      </c>
      <c r="Y300">
        <v>50000</v>
      </c>
      <c r="Z300" s="2" t="s">
        <v>1194</v>
      </c>
      <c r="AA300" s="2" t="s">
        <v>1238</v>
      </c>
      <c r="AB300" t="s">
        <v>1238</v>
      </c>
      <c r="AC300" t="s">
        <v>1194</v>
      </c>
      <c r="AD300" t="s">
        <v>1279</v>
      </c>
      <c r="AE300">
        <v>1</v>
      </c>
      <c r="AF300" t="s">
        <v>1290</v>
      </c>
      <c r="AG300">
        <v>0</v>
      </c>
      <c r="AH300">
        <v>0</v>
      </c>
      <c r="AI300">
        <v>0</v>
      </c>
      <c r="AJ300">
        <v>2021</v>
      </c>
      <c r="AK300" t="s">
        <v>1194</v>
      </c>
      <c r="AL300" t="s">
        <v>1194</v>
      </c>
      <c r="AM300" s="4" t="s">
        <v>1238</v>
      </c>
      <c r="AN300">
        <v>1</v>
      </c>
      <c r="AO300" t="s">
        <v>1315</v>
      </c>
      <c r="AP300">
        <f t="shared" si="8"/>
        <v>0</v>
      </c>
      <c r="AQ300">
        <v>1</v>
      </c>
      <c r="AR300" t="s">
        <v>1992</v>
      </c>
      <c r="AS300" t="s">
        <v>1996</v>
      </c>
      <c r="AT300" t="s">
        <v>1996</v>
      </c>
      <c r="AU300" t="s">
        <v>1996</v>
      </c>
      <c r="AV300" t="s">
        <v>1995</v>
      </c>
      <c r="AW300" t="s">
        <v>1995</v>
      </c>
      <c r="AX300" t="s">
        <v>1194</v>
      </c>
      <c r="AY300" t="s">
        <v>1996</v>
      </c>
      <c r="AZ300">
        <v>3528</v>
      </c>
      <c r="BA300">
        <v>3</v>
      </c>
      <c r="BB300" t="s">
        <v>2014</v>
      </c>
      <c r="BC300" s="3">
        <v>0</v>
      </c>
      <c r="BD300" s="3">
        <v>0</v>
      </c>
      <c r="BE300" s="3">
        <v>50306.82</v>
      </c>
      <c r="BF300" s="3">
        <v>6724.91</v>
      </c>
      <c r="BG300" s="3">
        <v>0</v>
      </c>
      <c r="BH300" s="3">
        <v>0</v>
      </c>
      <c r="BI300" s="3">
        <v>0</v>
      </c>
      <c r="BJ300" s="3">
        <v>57031.73</v>
      </c>
      <c r="BK300" s="3">
        <v>0</v>
      </c>
      <c r="BL300" s="3">
        <v>57031.73</v>
      </c>
      <c r="BM300" s="2">
        <f t="shared" ca="1" si="9"/>
        <v>2</v>
      </c>
      <c r="BN300" s="3" t="s">
        <v>2916</v>
      </c>
      <c r="BO300" s="3">
        <v>2000000</v>
      </c>
      <c r="BP300" s="3">
        <v>50000</v>
      </c>
      <c r="BQ300" s="3">
        <v>250000</v>
      </c>
      <c r="BR300" s="3">
        <v>500000</v>
      </c>
      <c r="BS300">
        <v>2000000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 t="s">
        <v>2953</v>
      </c>
      <c r="CA300" t="s">
        <v>1194</v>
      </c>
      <c r="CB300" t="s">
        <v>2949</v>
      </c>
    </row>
    <row r="301" spans="1:80" x14ac:dyDescent="0.25">
      <c r="A301">
        <v>299</v>
      </c>
      <c r="B301" t="s">
        <v>2318</v>
      </c>
      <c r="C301" s="1">
        <v>44960</v>
      </c>
      <c r="D301" s="2">
        <v>6</v>
      </c>
      <c r="E301" t="s">
        <v>4</v>
      </c>
      <c r="F301" t="s">
        <v>1310</v>
      </c>
      <c r="G301">
        <v>0</v>
      </c>
      <c r="H301" s="3">
        <v>3300000</v>
      </c>
      <c r="I301" s="3">
        <v>765000</v>
      </c>
      <c r="J301" s="3">
        <v>0</v>
      </c>
      <c r="K301" s="3">
        <v>0</v>
      </c>
      <c r="L301" s="3" t="s">
        <v>1191</v>
      </c>
      <c r="M301">
        <v>1523585</v>
      </c>
      <c r="N301" t="s">
        <v>601</v>
      </c>
      <c r="P301" t="s">
        <v>518</v>
      </c>
      <c r="Q301" t="s">
        <v>13</v>
      </c>
      <c r="R301">
        <v>2539</v>
      </c>
      <c r="S301" t="s">
        <v>55</v>
      </c>
      <c r="T301" t="s">
        <v>963</v>
      </c>
      <c r="U301">
        <v>0</v>
      </c>
      <c r="V301" t="s">
        <v>1027</v>
      </c>
      <c r="W301" t="s">
        <v>1194</v>
      </c>
      <c r="X301" t="s">
        <v>973</v>
      </c>
      <c r="Y301">
        <v>10000</v>
      </c>
      <c r="Z301" s="2">
        <v>2</v>
      </c>
      <c r="AA301" s="2" t="s">
        <v>1238</v>
      </c>
      <c r="AB301" t="s">
        <v>1238</v>
      </c>
      <c r="AC301">
        <v>701</v>
      </c>
      <c r="AD301" t="s">
        <v>1279</v>
      </c>
      <c r="AE301">
        <v>4</v>
      </c>
      <c r="AF301" t="s">
        <v>1290</v>
      </c>
      <c r="AG301">
        <v>0</v>
      </c>
      <c r="AH301">
        <v>0</v>
      </c>
      <c r="AI301">
        <v>0</v>
      </c>
      <c r="AJ301">
        <v>2022</v>
      </c>
      <c r="AK301" t="s">
        <v>1194</v>
      </c>
      <c r="AL301" t="s">
        <v>1194</v>
      </c>
      <c r="AM301" s="4" t="s">
        <v>1304</v>
      </c>
      <c r="AN301">
        <v>0</v>
      </c>
      <c r="AO301" t="s">
        <v>1315</v>
      </c>
      <c r="AP301">
        <f t="shared" si="8"/>
        <v>0</v>
      </c>
      <c r="AQ301">
        <v>1</v>
      </c>
      <c r="AR301" t="s">
        <v>1992</v>
      </c>
      <c r="AS301" t="s">
        <v>1996</v>
      </c>
      <c r="AT301" t="s">
        <v>1996</v>
      </c>
      <c r="AU301" t="s">
        <v>1995</v>
      </c>
      <c r="AV301" t="s">
        <v>1995</v>
      </c>
      <c r="AW301" t="s">
        <v>1995</v>
      </c>
      <c r="AX301" t="s">
        <v>2006</v>
      </c>
      <c r="AY301" t="s">
        <v>1996</v>
      </c>
      <c r="AZ301">
        <v>4408</v>
      </c>
      <c r="BA301" t="s">
        <v>1194</v>
      </c>
      <c r="BB301" t="s">
        <v>1194</v>
      </c>
      <c r="BC301" s="3">
        <v>7816.5982999999997</v>
      </c>
      <c r="BD301" s="3">
        <v>7145.49</v>
      </c>
      <c r="BE301" s="3">
        <v>0</v>
      </c>
      <c r="BF301" s="3">
        <v>0</v>
      </c>
      <c r="BG301" s="3">
        <v>150</v>
      </c>
      <c r="BH301" s="3">
        <v>0</v>
      </c>
      <c r="BI301" s="3">
        <v>6579</v>
      </c>
      <c r="BJ301" s="3">
        <v>21691</v>
      </c>
      <c r="BK301" s="3">
        <v>250</v>
      </c>
      <c r="BL301" s="3">
        <v>21941</v>
      </c>
      <c r="BM301" s="2">
        <f t="shared" ca="1" si="9"/>
        <v>1</v>
      </c>
      <c r="BN301" s="3">
        <v>500000</v>
      </c>
      <c r="BO301" s="3">
        <v>500000</v>
      </c>
      <c r="BP301" s="3">
        <v>100000</v>
      </c>
      <c r="BQ301" s="3">
        <v>250000</v>
      </c>
      <c r="BR301" s="3">
        <v>100000</v>
      </c>
      <c r="BS301">
        <v>500000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 t="s">
        <v>2942</v>
      </c>
      <c r="CA301" t="s">
        <v>2006</v>
      </c>
      <c r="CB301" t="s">
        <v>2006</v>
      </c>
    </row>
    <row r="302" spans="1:80" x14ac:dyDescent="0.25">
      <c r="A302">
        <v>300</v>
      </c>
      <c r="B302" t="s">
        <v>2319</v>
      </c>
      <c r="C302" s="1">
        <v>44837</v>
      </c>
      <c r="D302" s="2">
        <v>30</v>
      </c>
      <c r="E302" t="s">
        <v>4</v>
      </c>
      <c r="F302" t="s">
        <v>1311</v>
      </c>
      <c r="G302">
        <v>1</v>
      </c>
      <c r="H302" s="3">
        <v>2250000</v>
      </c>
      <c r="I302" s="3">
        <v>68000</v>
      </c>
      <c r="J302" s="3">
        <v>0</v>
      </c>
      <c r="K302" s="3">
        <v>0</v>
      </c>
      <c r="L302" s="3" t="s">
        <v>1191</v>
      </c>
      <c r="M302">
        <v>1288111</v>
      </c>
      <c r="N302" t="s">
        <v>602</v>
      </c>
      <c r="P302" t="s">
        <v>603</v>
      </c>
      <c r="Q302" t="s">
        <v>14</v>
      </c>
      <c r="R302">
        <v>11959</v>
      </c>
      <c r="S302" t="s">
        <v>26</v>
      </c>
      <c r="T302" t="s">
        <v>970</v>
      </c>
      <c r="U302">
        <v>0</v>
      </c>
      <c r="V302" t="s">
        <v>998</v>
      </c>
      <c r="W302" t="s">
        <v>1194</v>
      </c>
      <c r="X302" t="s">
        <v>973</v>
      </c>
      <c r="Y302">
        <v>25000</v>
      </c>
      <c r="Z302" s="2">
        <v>2</v>
      </c>
      <c r="AA302" s="2" t="s">
        <v>1238</v>
      </c>
      <c r="AB302" t="s">
        <v>1238</v>
      </c>
      <c r="AC302">
        <v>697</v>
      </c>
      <c r="AD302" t="s">
        <v>1279</v>
      </c>
      <c r="AE302">
        <v>4</v>
      </c>
      <c r="AF302" t="s">
        <v>1291</v>
      </c>
      <c r="AG302">
        <v>0</v>
      </c>
      <c r="AH302">
        <v>0</v>
      </c>
      <c r="AI302">
        <v>0</v>
      </c>
      <c r="AJ302">
        <v>2006</v>
      </c>
      <c r="AK302" t="s">
        <v>1194</v>
      </c>
      <c r="AL302" t="s">
        <v>1194</v>
      </c>
      <c r="AM302" s="4" t="s">
        <v>1238</v>
      </c>
      <c r="AN302">
        <v>0</v>
      </c>
      <c r="AO302" t="s">
        <v>1315</v>
      </c>
      <c r="AP302">
        <f t="shared" si="8"/>
        <v>0</v>
      </c>
      <c r="AQ302">
        <v>1</v>
      </c>
      <c r="AR302" t="s">
        <v>1992</v>
      </c>
      <c r="AS302" t="s">
        <v>1996</v>
      </c>
      <c r="AT302" t="s">
        <v>1995</v>
      </c>
      <c r="AU302" t="s">
        <v>1996</v>
      </c>
      <c r="AV302" t="s">
        <v>1996</v>
      </c>
      <c r="AW302" t="s">
        <v>1995</v>
      </c>
      <c r="AX302" t="s">
        <v>2006</v>
      </c>
      <c r="AY302" t="s">
        <v>1996</v>
      </c>
      <c r="AZ302">
        <v>4426</v>
      </c>
      <c r="BA302" t="s">
        <v>1194</v>
      </c>
      <c r="BB302" t="s">
        <v>1194</v>
      </c>
      <c r="BC302" s="3">
        <v>8503.2937999999995</v>
      </c>
      <c r="BD302" s="3">
        <v>10002.49</v>
      </c>
      <c r="BE302" s="3">
        <v>0</v>
      </c>
      <c r="BF302" s="3">
        <v>0</v>
      </c>
      <c r="BG302" s="3">
        <v>150</v>
      </c>
      <c r="BH302" s="3">
        <v>0</v>
      </c>
      <c r="BI302" s="3">
        <v>2013</v>
      </c>
      <c r="BJ302" s="3">
        <v>20669</v>
      </c>
      <c r="BK302" s="3">
        <v>0</v>
      </c>
      <c r="BL302" s="3">
        <v>20669</v>
      </c>
      <c r="BM302" s="2">
        <f t="shared" ca="1" si="9"/>
        <v>5</v>
      </c>
      <c r="BN302" s="3" t="s">
        <v>2916</v>
      </c>
      <c r="BO302" s="3">
        <v>1000000</v>
      </c>
      <c r="BP302" s="3">
        <v>50000</v>
      </c>
      <c r="BQ302" s="3">
        <v>25000</v>
      </c>
      <c r="BR302" s="3">
        <v>50000</v>
      </c>
      <c r="BS302">
        <v>50000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 t="s">
        <v>2947</v>
      </c>
      <c r="CA302" t="s">
        <v>2006</v>
      </c>
      <c r="CB302" t="s">
        <v>2006</v>
      </c>
    </row>
    <row r="303" spans="1:80" x14ac:dyDescent="0.25">
      <c r="A303">
        <v>301</v>
      </c>
      <c r="B303" t="s">
        <v>2320</v>
      </c>
      <c r="C303" s="1">
        <v>44932</v>
      </c>
      <c r="D303" s="2">
        <v>3</v>
      </c>
      <c r="E303" t="s">
        <v>4</v>
      </c>
      <c r="F303" t="s">
        <v>1310</v>
      </c>
      <c r="G303">
        <v>0</v>
      </c>
      <c r="H303" s="3">
        <v>1150000</v>
      </c>
      <c r="I303" s="3">
        <v>205000</v>
      </c>
      <c r="J303" s="3">
        <v>0</v>
      </c>
      <c r="K303" s="3">
        <v>0</v>
      </c>
      <c r="L303" s="3" t="s">
        <v>1191</v>
      </c>
      <c r="M303">
        <v>1815114</v>
      </c>
      <c r="N303" t="s">
        <v>604</v>
      </c>
      <c r="P303" t="s">
        <v>605</v>
      </c>
      <c r="Q303" t="s">
        <v>20</v>
      </c>
      <c r="R303">
        <v>30560</v>
      </c>
      <c r="S303" t="s">
        <v>95</v>
      </c>
      <c r="T303" t="s">
        <v>973</v>
      </c>
      <c r="U303">
        <v>0</v>
      </c>
      <c r="V303">
        <v>12</v>
      </c>
      <c r="W303" t="s">
        <v>1195</v>
      </c>
      <c r="X303" t="s">
        <v>973</v>
      </c>
      <c r="Y303">
        <v>10000</v>
      </c>
      <c r="Z303" s="2" t="s">
        <v>1194</v>
      </c>
      <c r="AA303" s="2">
        <v>0</v>
      </c>
      <c r="AB303" t="s">
        <v>1238</v>
      </c>
      <c r="AC303">
        <v>746</v>
      </c>
      <c r="AD303" t="s">
        <v>1279</v>
      </c>
      <c r="AE303">
        <v>9</v>
      </c>
      <c r="AF303" t="s">
        <v>1290</v>
      </c>
      <c r="AG303">
        <v>0</v>
      </c>
      <c r="AH303">
        <v>0</v>
      </c>
      <c r="AI303">
        <v>0</v>
      </c>
      <c r="AJ303">
        <v>1993</v>
      </c>
      <c r="AK303" t="s">
        <v>1194</v>
      </c>
      <c r="AL303" t="s">
        <v>1194</v>
      </c>
      <c r="AM303" s="4" t="s">
        <v>1306</v>
      </c>
      <c r="AN303">
        <v>1</v>
      </c>
      <c r="AO303" t="s">
        <v>1316</v>
      </c>
      <c r="AP303">
        <f t="shared" si="8"/>
        <v>0</v>
      </c>
      <c r="AQ303">
        <v>1</v>
      </c>
      <c r="AR303" t="s">
        <v>1992</v>
      </c>
      <c r="AS303" t="s">
        <v>1995</v>
      </c>
      <c r="AT303" t="s">
        <v>1996</v>
      </c>
      <c r="AU303" t="s">
        <v>1995</v>
      </c>
      <c r="AV303" t="s">
        <v>1995</v>
      </c>
      <c r="AW303" t="s">
        <v>1996</v>
      </c>
      <c r="AX303" t="s">
        <v>2006</v>
      </c>
      <c r="AY303" t="s">
        <v>1996</v>
      </c>
      <c r="AZ303">
        <v>2476</v>
      </c>
      <c r="BA303" t="s">
        <v>1194</v>
      </c>
      <c r="BB303" t="s">
        <v>1194</v>
      </c>
      <c r="BC303" s="3">
        <v>5565.2129999999997</v>
      </c>
      <c r="BD303" s="3">
        <v>5945.77</v>
      </c>
      <c r="BE303" s="3">
        <v>0</v>
      </c>
      <c r="BF303" s="3">
        <v>0</v>
      </c>
      <c r="BG303" s="3">
        <v>0</v>
      </c>
      <c r="BH303" s="3">
        <v>0</v>
      </c>
      <c r="BI303" s="3">
        <v>1361.5</v>
      </c>
      <c r="BJ303" s="3">
        <v>12872</v>
      </c>
      <c r="BK303" s="3">
        <v>0</v>
      </c>
      <c r="BL303" s="3">
        <v>12872</v>
      </c>
      <c r="BM303" s="2">
        <f t="shared" ca="1" si="9"/>
        <v>1</v>
      </c>
      <c r="BN303" s="3">
        <v>250000</v>
      </c>
      <c r="BO303" s="3">
        <v>25000</v>
      </c>
      <c r="BP303" s="3" t="s">
        <v>2922</v>
      </c>
      <c r="BQ303" s="3">
        <v>500000</v>
      </c>
      <c r="BR303" s="3">
        <v>500000</v>
      </c>
      <c r="BS303">
        <v>1000000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 t="s">
        <v>2942</v>
      </c>
      <c r="CA303" t="s">
        <v>2006</v>
      </c>
      <c r="CB303" t="s">
        <v>2945</v>
      </c>
    </row>
    <row r="304" spans="1:80" x14ac:dyDescent="0.25">
      <c r="A304">
        <v>302</v>
      </c>
      <c r="B304" t="s">
        <v>2321</v>
      </c>
      <c r="C304" s="1">
        <v>44825</v>
      </c>
      <c r="D304" s="2">
        <v>27</v>
      </c>
      <c r="E304" t="s">
        <v>4</v>
      </c>
      <c r="F304" t="s">
        <v>1311</v>
      </c>
      <c r="G304">
        <v>0</v>
      </c>
      <c r="H304" s="3">
        <v>4000000</v>
      </c>
      <c r="I304" s="3">
        <v>211000</v>
      </c>
      <c r="J304" s="3">
        <v>52750</v>
      </c>
      <c r="K304" s="3">
        <v>0</v>
      </c>
      <c r="L304" s="3" t="s">
        <v>1191</v>
      </c>
      <c r="M304">
        <v>1497834</v>
      </c>
      <c r="N304" t="s">
        <v>606</v>
      </c>
      <c r="P304" t="s">
        <v>27</v>
      </c>
      <c r="Q304" t="s">
        <v>15</v>
      </c>
      <c r="R304">
        <v>33480</v>
      </c>
      <c r="S304" t="s">
        <v>27</v>
      </c>
      <c r="T304" t="s">
        <v>967</v>
      </c>
      <c r="U304">
        <v>0</v>
      </c>
      <c r="V304" t="s">
        <v>989</v>
      </c>
      <c r="W304" t="s">
        <v>1194</v>
      </c>
      <c r="X304" t="s">
        <v>973</v>
      </c>
      <c r="Y304">
        <v>25000</v>
      </c>
      <c r="Z304" s="2">
        <v>10</v>
      </c>
      <c r="AA304" s="2" t="s">
        <v>1238</v>
      </c>
      <c r="AB304" t="s">
        <v>1238</v>
      </c>
      <c r="AC304">
        <v>750</v>
      </c>
      <c r="AD304" t="s">
        <v>1280</v>
      </c>
      <c r="AE304">
        <v>1</v>
      </c>
      <c r="AF304" t="s">
        <v>1291</v>
      </c>
      <c r="AG304">
        <v>0</v>
      </c>
      <c r="AH304">
        <v>0</v>
      </c>
      <c r="AI304">
        <v>0</v>
      </c>
      <c r="AJ304">
        <v>1993</v>
      </c>
      <c r="AK304" t="s">
        <v>1194</v>
      </c>
      <c r="AL304">
        <v>2005</v>
      </c>
      <c r="AM304" s="4" t="s">
        <v>1238</v>
      </c>
      <c r="AN304">
        <v>0</v>
      </c>
      <c r="AO304" t="s">
        <v>1315</v>
      </c>
      <c r="AP304">
        <f t="shared" si="8"/>
        <v>0</v>
      </c>
      <c r="AQ304">
        <v>1</v>
      </c>
      <c r="AR304" t="s">
        <v>1992</v>
      </c>
      <c r="AS304" t="s">
        <v>1996</v>
      </c>
      <c r="AT304" t="s">
        <v>1995</v>
      </c>
      <c r="AU304" t="s">
        <v>1996</v>
      </c>
      <c r="AV304" t="s">
        <v>1996</v>
      </c>
      <c r="AW304" t="s">
        <v>1996</v>
      </c>
      <c r="AX304" t="s">
        <v>2008</v>
      </c>
      <c r="AY304" t="s">
        <v>1995</v>
      </c>
      <c r="AZ304">
        <v>4058</v>
      </c>
      <c r="BA304" t="s">
        <v>1194</v>
      </c>
      <c r="BB304" t="s">
        <v>1194</v>
      </c>
      <c r="BC304" s="3">
        <v>11075.0646</v>
      </c>
      <c r="BD304" s="3">
        <v>29961.94</v>
      </c>
      <c r="BE304" s="3">
        <v>0</v>
      </c>
      <c r="BF304" s="3">
        <v>0</v>
      </c>
      <c r="BG304" s="3">
        <v>0</v>
      </c>
      <c r="BH304" s="3">
        <v>0</v>
      </c>
      <c r="BI304" s="3">
        <v>43812</v>
      </c>
      <c r="BJ304" s="3">
        <v>84849</v>
      </c>
      <c r="BK304" s="3">
        <v>1364.4</v>
      </c>
      <c r="BL304" s="3">
        <v>86213.4</v>
      </c>
      <c r="BM304" s="2">
        <f t="shared" ca="1" si="9"/>
        <v>4</v>
      </c>
      <c r="BN304" s="3">
        <v>1000000</v>
      </c>
      <c r="BO304" s="3">
        <v>50000</v>
      </c>
      <c r="BP304" s="3">
        <v>50000</v>
      </c>
      <c r="BQ304" s="3">
        <v>1000000</v>
      </c>
      <c r="BR304" s="3">
        <v>100000</v>
      </c>
      <c r="BS304">
        <v>50000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 t="s">
        <v>2940</v>
      </c>
      <c r="CA304" t="s">
        <v>2939</v>
      </c>
      <c r="CB304" t="s">
        <v>2941</v>
      </c>
    </row>
    <row r="305" spans="1:80" x14ac:dyDescent="0.25">
      <c r="A305">
        <v>303</v>
      </c>
      <c r="B305" t="s">
        <v>2322</v>
      </c>
      <c r="C305" s="1">
        <v>44682</v>
      </c>
      <c r="D305" s="2">
        <v>15</v>
      </c>
      <c r="E305" t="s">
        <v>4</v>
      </c>
      <c r="F305" t="s">
        <v>1311</v>
      </c>
      <c r="G305">
        <v>0</v>
      </c>
      <c r="H305" s="3">
        <v>0</v>
      </c>
      <c r="I305" s="3">
        <v>0</v>
      </c>
      <c r="J305" s="3">
        <v>500000</v>
      </c>
      <c r="K305" s="3">
        <v>0</v>
      </c>
      <c r="L305" s="3" t="s">
        <v>1192</v>
      </c>
      <c r="M305">
        <v>1871426</v>
      </c>
      <c r="N305" t="s">
        <v>607</v>
      </c>
      <c r="O305" t="s">
        <v>608</v>
      </c>
      <c r="P305" t="s">
        <v>609</v>
      </c>
      <c r="Q305" t="s">
        <v>15</v>
      </c>
      <c r="R305">
        <v>34145</v>
      </c>
      <c r="S305" t="s">
        <v>63</v>
      </c>
      <c r="T305" t="s">
        <v>967</v>
      </c>
      <c r="U305">
        <v>1</v>
      </c>
      <c r="V305" t="s">
        <v>1044</v>
      </c>
      <c r="W305" t="s">
        <v>1194</v>
      </c>
      <c r="X305" t="s">
        <v>1309</v>
      </c>
      <c r="Y305">
        <v>10000</v>
      </c>
      <c r="Z305" s="2">
        <v>10</v>
      </c>
      <c r="AA305" s="2" t="s">
        <v>1238</v>
      </c>
      <c r="AB305" t="s">
        <v>1238</v>
      </c>
      <c r="AC305">
        <v>641</v>
      </c>
      <c r="AD305" t="s">
        <v>1281</v>
      </c>
      <c r="AE305">
        <v>3</v>
      </c>
      <c r="AF305" t="s">
        <v>1291</v>
      </c>
      <c r="AG305">
        <v>0</v>
      </c>
      <c r="AH305">
        <v>0</v>
      </c>
      <c r="AI305">
        <v>0</v>
      </c>
      <c r="AJ305">
        <v>1996</v>
      </c>
      <c r="AK305" t="s">
        <v>1194</v>
      </c>
      <c r="AL305">
        <v>2020</v>
      </c>
      <c r="AM305" s="4" t="s">
        <v>1238</v>
      </c>
      <c r="AN305">
        <v>1</v>
      </c>
      <c r="AO305" t="s">
        <v>1316</v>
      </c>
      <c r="AP305">
        <f t="shared" si="8"/>
        <v>0</v>
      </c>
      <c r="AQ305">
        <v>1</v>
      </c>
      <c r="AR305" t="s">
        <v>1992</v>
      </c>
      <c r="AS305" t="s">
        <v>1995</v>
      </c>
      <c r="AT305" t="s">
        <v>1995</v>
      </c>
      <c r="AU305" t="s">
        <v>1996</v>
      </c>
      <c r="AV305" t="s">
        <v>1995</v>
      </c>
      <c r="AW305" t="s">
        <v>1995</v>
      </c>
      <c r="AX305" t="s">
        <v>2003</v>
      </c>
      <c r="AY305" t="s">
        <v>1996</v>
      </c>
      <c r="AZ305">
        <v>2112</v>
      </c>
      <c r="BA305" t="s">
        <v>1194</v>
      </c>
      <c r="BB305" t="s">
        <v>1194</v>
      </c>
      <c r="BC305" s="3">
        <v>1696.6349</v>
      </c>
      <c r="BD305" s="3">
        <v>5473.52</v>
      </c>
      <c r="BE305" s="3">
        <v>0</v>
      </c>
      <c r="BF305" s="3">
        <v>0</v>
      </c>
      <c r="BG305" s="3">
        <v>300</v>
      </c>
      <c r="BH305" s="3">
        <v>0</v>
      </c>
      <c r="BI305" s="3">
        <v>-270</v>
      </c>
      <c r="BJ305" s="3">
        <v>7200</v>
      </c>
      <c r="BK305" s="3">
        <v>150</v>
      </c>
      <c r="BL305" s="3">
        <v>7350</v>
      </c>
      <c r="BM305" s="2">
        <f t="shared" ca="1" si="9"/>
        <v>1</v>
      </c>
      <c r="BN305" s="3" t="s">
        <v>2916</v>
      </c>
      <c r="BO305" s="3">
        <v>50000</v>
      </c>
      <c r="BP305" s="3">
        <v>50000</v>
      </c>
      <c r="BQ305" s="3">
        <v>50000</v>
      </c>
      <c r="BR305" s="3">
        <v>500000</v>
      </c>
      <c r="BS305">
        <v>1000000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 t="s">
        <v>2938</v>
      </c>
      <c r="CA305" t="s">
        <v>2939</v>
      </c>
      <c r="CB305" t="s">
        <v>2941</v>
      </c>
    </row>
    <row r="306" spans="1:80" x14ac:dyDescent="0.25">
      <c r="A306">
        <v>304</v>
      </c>
      <c r="B306" t="s">
        <v>2323</v>
      </c>
      <c r="C306" s="1">
        <v>44930</v>
      </c>
      <c r="D306" s="2">
        <v>3</v>
      </c>
      <c r="E306" t="s">
        <v>4</v>
      </c>
      <c r="F306" t="s">
        <v>1310</v>
      </c>
      <c r="G306">
        <v>0</v>
      </c>
      <c r="H306" s="3">
        <v>3000000</v>
      </c>
      <c r="I306" s="3">
        <v>600000</v>
      </c>
      <c r="J306" s="3">
        <v>0</v>
      </c>
      <c r="K306" s="3">
        <v>0</v>
      </c>
      <c r="L306" s="3" t="s">
        <v>1191</v>
      </c>
      <c r="M306">
        <v>1825374</v>
      </c>
      <c r="N306" t="s">
        <v>610</v>
      </c>
      <c r="P306" t="s">
        <v>611</v>
      </c>
      <c r="Q306" t="s">
        <v>13</v>
      </c>
      <c r="R306">
        <v>2556</v>
      </c>
      <c r="S306" t="s">
        <v>51</v>
      </c>
      <c r="T306" t="s">
        <v>970</v>
      </c>
      <c r="U306">
        <v>0</v>
      </c>
      <c r="V306" t="s">
        <v>1120</v>
      </c>
      <c r="W306" t="s">
        <v>1194</v>
      </c>
      <c r="X306" t="s">
        <v>973</v>
      </c>
      <c r="Y306">
        <v>25000</v>
      </c>
      <c r="Z306" s="2">
        <v>2</v>
      </c>
      <c r="AA306" s="2" t="s">
        <v>1238</v>
      </c>
      <c r="AB306" t="s">
        <v>1238</v>
      </c>
      <c r="AC306">
        <v>720</v>
      </c>
      <c r="AD306" t="s">
        <v>1279</v>
      </c>
      <c r="AE306">
        <v>3</v>
      </c>
      <c r="AF306" t="s">
        <v>1290</v>
      </c>
      <c r="AG306">
        <v>0</v>
      </c>
      <c r="AH306">
        <v>0</v>
      </c>
      <c r="AI306">
        <v>0</v>
      </c>
      <c r="AJ306">
        <v>2021</v>
      </c>
      <c r="AK306" t="s">
        <v>1194</v>
      </c>
      <c r="AL306" t="s">
        <v>1194</v>
      </c>
      <c r="AM306" s="4" t="s">
        <v>1304</v>
      </c>
      <c r="AN306">
        <v>0</v>
      </c>
      <c r="AO306" t="s">
        <v>1315</v>
      </c>
      <c r="AP306">
        <f t="shared" si="8"/>
        <v>0</v>
      </c>
      <c r="AQ306">
        <v>0</v>
      </c>
      <c r="AR306" t="s">
        <v>1993</v>
      </c>
      <c r="AS306" t="s">
        <v>1996</v>
      </c>
      <c r="AT306" t="s">
        <v>1995</v>
      </c>
      <c r="AU306" t="s">
        <v>1996</v>
      </c>
      <c r="AV306" t="s">
        <v>1996</v>
      </c>
      <c r="AW306" t="s">
        <v>1995</v>
      </c>
      <c r="AX306" t="s">
        <v>2006</v>
      </c>
      <c r="AY306" t="s">
        <v>1996</v>
      </c>
      <c r="AZ306">
        <v>5000</v>
      </c>
      <c r="BA306" t="s">
        <v>1194</v>
      </c>
      <c r="BB306" t="s">
        <v>1194</v>
      </c>
      <c r="BC306" s="3">
        <v>5976.3127000000004</v>
      </c>
      <c r="BD306" s="3">
        <v>4473.72</v>
      </c>
      <c r="BE306" s="3">
        <v>0</v>
      </c>
      <c r="BF306" s="3">
        <v>0</v>
      </c>
      <c r="BG306" s="3">
        <v>0</v>
      </c>
      <c r="BH306" s="3">
        <v>0</v>
      </c>
      <c r="BI306" s="3">
        <v>5282</v>
      </c>
      <c r="BJ306" s="3">
        <v>15732</v>
      </c>
      <c r="BK306" s="3">
        <v>0</v>
      </c>
      <c r="BL306" s="3">
        <v>15732</v>
      </c>
      <c r="BM306" s="2">
        <f t="shared" ca="1" si="9"/>
        <v>1</v>
      </c>
      <c r="BN306" s="3" t="s">
        <v>2916</v>
      </c>
      <c r="BO306" s="3">
        <v>500000</v>
      </c>
      <c r="BP306" s="3">
        <v>100000</v>
      </c>
      <c r="BQ306" s="3">
        <v>1000000</v>
      </c>
      <c r="BR306" s="3">
        <v>50000</v>
      </c>
      <c r="BS306">
        <v>1000000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 t="s">
        <v>2942</v>
      </c>
      <c r="CA306" t="s">
        <v>2006</v>
      </c>
      <c r="CB306" t="s">
        <v>2006</v>
      </c>
    </row>
    <row r="307" spans="1:80" x14ac:dyDescent="0.25">
      <c r="A307">
        <v>305</v>
      </c>
      <c r="B307" t="s">
        <v>2324</v>
      </c>
      <c r="C307" s="1">
        <v>44892</v>
      </c>
      <c r="D307" s="2">
        <v>33</v>
      </c>
      <c r="E307" t="s">
        <v>4</v>
      </c>
      <c r="F307" t="s">
        <v>1311</v>
      </c>
      <c r="G307">
        <v>1</v>
      </c>
      <c r="H307" s="3">
        <v>4000000</v>
      </c>
      <c r="I307" s="3">
        <v>0</v>
      </c>
      <c r="J307" s="3">
        <v>0</v>
      </c>
      <c r="K307" s="3">
        <v>0</v>
      </c>
      <c r="L307" s="3" t="s">
        <v>1191</v>
      </c>
      <c r="M307">
        <v>1797441</v>
      </c>
      <c r="N307" t="s">
        <v>612</v>
      </c>
      <c r="P307" t="s">
        <v>613</v>
      </c>
      <c r="Q307" t="s">
        <v>19</v>
      </c>
      <c r="R307">
        <v>92661</v>
      </c>
      <c r="S307" t="s">
        <v>37</v>
      </c>
      <c r="T307" t="s">
        <v>974</v>
      </c>
      <c r="U307">
        <v>0</v>
      </c>
      <c r="V307">
        <v>18</v>
      </c>
      <c r="W307" t="s">
        <v>1217</v>
      </c>
      <c r="X307" t="s">
        <v>973</v>
      </c>
      <c r="Y307">
        <v>10000</v>
      </c>
      <c r="Z307" s="2" t="s">
        <v>1194</v>
      </c>
      <c r="AA307" s="2" t="s">
        <v>1238</v>
      </c>
      <c r="AB307" t="s">
        <v>1238</v>
      </c>
      <c r="AC307" t="s">
        <v>1194</v>
      </c>
      <c r="AD307" t="s">
        <v>1279</v>
      </c>
      <c r="AE307">
        <v>2</v>
      </c>
      <c r="AF307" t="s">
        <v>1290</v>
      </c>
      <c r="AG307">
        <v>0</v>
      </c>
      <c r="AH307">
        <v>0</v>
      </c>
      <c r="AI307">
        <v>0</v>
      </c>
      <c r="AJ307">
        <v>2021</v>
      </c>
      <c r="AK307" t="s">
        <v>1194</v>
      </c>
      <c r="AL307" t="s">
        <v>1194</v>
      </c>
      <c r="AM307" s="4" t="s">
        <v>1238</v>
      </c>
      <c r="AN307">
        <v>1</v>
      </c>
      <c r="AO307" t="s">
        <v>1316</v>
      </c>
      <c r="AP307">
        <f t="shared" si="8"/>
        <v>0</v>
      </c>
      <c r="AQ307">
        <v>1</v>
      </c>
      <c r="AR307" t="s">
        <v>1992</v>
      </c>
      <c r="AS307" t="s">
        <v>1995</v>
      </c>
      <c r="AT307" t="s">
        <v>1995</v>
      </c>
      <c r="AU307" t="s">
        <v>1995</v>
      </c>
      <c r="AV307" t="s">
        <v>1996</v>
      </c>
      <c r="AW307" t="s">
        <v>1996</v>
      </c>
      <c r="AX307" t="s">
        <v>1194</v>
      </c>
      <c r="AY307" t="s">
        <v>1996</v>
      </c>
      <c r="AZ307">
        <v>4833</v>
      </c>
      <c r="BA307" t="s">
        <v>1194</v>
      </c>
      <c r="BB307" t="s">
        <v>2014</v>
      </c>
      <c r="BC307" s="3">
        <v>0</v>
      </c>
      <c r="BD307" s="3">
        <v>0</v>
      </c>
      <c r="BE307" s="3">
        <v>13417.38</v>
      </c>
      <c r="BF307" s="3">
        <v>5466.24</v>
      </c>
      <c r="BG307" s="3">
        <v>150</v>
      </c>
      <c r="BH307" s="3">
        <v>0</v>
      </c>
      <c r="BI307" s="3">
        <v>1000</v>
      </c>
      <c r="BJ307" s="3">
        <v>20033.62</v>
      </c>
      <c r="BK307" s="3">
        <v>0</v>
      </c>
      <c r="BL307" s="3">
        <v>20033.62</v>
      </c>
      <c r="BM307" s="2">
        <f t="shared" ca="1" si="9"/>
        <v>1</v>
      </c>
      <c r="BN307" s="3" t="s">
        <v>2916</v>
      </c>
      <c r="BO307" s="3">
        <v>1000000</v>
      </c>
      <c r="BP307" s="3">
        <v>100000</v>
      </c>
      <c r="BQ307" s="3">
        <v>100000</v>
      </c>
      <c r="BR307" s="3">
        <v>500000</v>
      </c>
      <c r="BS307">
        <v>500000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 t="s">
        <v>2950</v>
      </c>
      <c r="CA307" t="s">
        <v>1194</v>
      </c>
      <c r="CB307" t="s">
        <v>2949</v>
      </c>
    </row>
    <row r="308" spans="1:80" x14ac:dyDescent="0.25">
      <c r="A308">
        <v>306</v>
      </c>
      <c r="B308" t="s">
        <v>2325</v>
      </c>
      <c r="C308" s="1">
        <v>44929</v>
      </c>
      <c r="D308" s="2">
        <v>3</v>
      </c>
      <c r="E308" t="s">
        <v>4</v>
      </c>
      <c r="F308" t="s">
        <v>1310</v>
      </c>
      <c r="G308">
        <v>0</v>
      </c>
      <c r="H308" s="3">
        <v>5900649</v>
      </c>
      <c r="I308" s="3">
        <v>42240</v>
      </c>
      <c r="J308" s="3">
        <v>0</v>
      </c>
      <c r="K308" s="3">
        <v>0</v>
      </c>
      <c r="L308" s="3" t="s">
        <v>1191</v>
      </c>
      <c r="M308">
        <v>1426364</v>
      </c>
      <c r="N308" t="s">
        <v>614</v>
      </c>
      <c r="P308" t="s">
        <v>615</v>
      </c>
      <c r="Q308" t="s">
        <v>16</v>
      </c>
      <c r="R308">
        <v>7762</v>
      </c>
      <c r="S308" t="s">
        <v>52</v>
      </c>
      <c r="T308" t="s">
        <v>970</v>
      </c>
      <c r="U308">
        <v>0</v>
      </c>
      <c r="V308" t="s">
        <v>1121</v>
      </c>
      <c r="W308" t="s">
        <v>1194</v>
      </c>
      <c r="X308" t="s">
        <v>973</v>
      </c>
      <c r="Y308">
        <v>25000</v>
      </c>
      <c r="Z308" s="2">
        <v>2.0000003390000001</v>
      </c>
      <c r="AA308" s="2" t="s">
        <v>1238</v>
      </c>
      <c r="AB308" t="s">
        <v>1238</v>
      </c>
      <c r="AC308">
        <v>788</v>
      </c>
      <c r="AD308" t="s">
        <v>1279</v>
      </c>
      <c r="AE308">
        <v>4</v>
      </c>
      <c r="AF308" t="s">
        <v>1290</v>
      </c>
      <c r="AG308">
        <v>0</v>
      </c>
      <c r="AH308">
        <v>0</v>
      </c>
      <c r="AI308">
        <v>0</v>
      </c>
      <c r="AJ308">
        <v>2020</v>
      </c>
      <c r="AK308" t="s">
        <v>1194</v>
      </c>
      <c r="AL308" t="s">
        <v>1194</v>
      </c>
      <c r="AM308" s="4" t="s">
        <v>1304</v>
      </c>
      <c r="AN308">
        <v>0</v>
      </c>
      <c r="AO308" t="s">
        <v>1315</v>
      </c>
      <c r="AP308">
        <f t="shared" si="8"/>
        <v>0</v>
      </c>
      <c r="AQ308">
        <v>1</v>
      </c>
      <c r="AR308" t="s">
        <v>1992</v>
      </c>
      <c r="AS308" t="s">
        <v>1995</v>
      </c>
      <c r="AT308" t="s">
        <v>1995</v>
      </c>
      <c r="AU308" t="s">
        <v>1996</v>
      </c>
      <c r="AV308" t="s">
        <v>1995</v>
      </c>
      <c r="AW308" t="s">
        <v>1996</v>
      </c>
      <c r="AX308" t="s">
        <v>2006</v>
      </c>
      <c r="AY308" t="s">
        <v>1996</v>
      </c>
      <c r="AZ308">
        <v>5850</v>
      </c>
      <c r="BA308" t="s">
        <v>1194</v>
      </c>
      <c r="BB308" t="s">
        <v>1194</v>
      </c>
      <c r="BC308" s="3">
        <v>8604.9783000000007</v>
      </c>
      <c r="BD308" s="3">
        <v>4916.42</v>
      </c>
      <c r="BE308" s="3">
        <v>0</v>
      </c>
      <c r="BF308" s="3">
        <v>0</v>
      </c>
      <c r="BG308" s="3">
        <v>0</v>
      </c>
      <c r="BH308" s="3">
        <v>0</v>
      </c>
      <c r="BI308" s="3">
        <v>11439</v>
      </c>
      <c r="BJ308" s="3">
        <v>24960</v>
      </c>
      <c r="BK308" s="3">
        <v>0</v>
      </c>
      <c r="BL308" s="3">
        <v>24960</v>
      </c>
      <c r="BM308" s="2">
        <f t="shared" ca="1" si="9"/>
        <v>1</v>
      </c>
      <c r="BN308" s="3">
        <v>500000</v>
      </c>
      <c r="BO308" s="3">
        <v>100000</v>
      </c>
      <c r="BP308" s="3">
        <v>50000</v>
      </c>
      <c r="BQ308" s="3">
        <v>250000</v>
      </c>
      <c r="BR308" s="3">
        <v>500000</v>
      </c>
      <c r="BS308">
        <v>50000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 t="s">
        <v>2938</v>
      </c>
      <c r="CA308" t="s">
        <v>2939</v>
      </c>
      <c r="CB308" t="s">
        <v>2006</v>
      </c>
    </row>
    <row r="309" spans="1:80" x14ac:dyDescent="0.25">
      <c r="A309">
        <v>307</v>
      </c>
      <c r="B309" t="s">
        <v>2326</v>
      </c>
      <c r="C309" s="1">
        <v>44972</v>
      </c>
      <c r="D309" s="2">
        <v>6</v>
      </c>
      <c r="E309" t="s">
        <v>4</v>
      </c>
      <c r="F309" t="s">
        <v>1310</v>
      </c>
      <c r="G309">
        <v>0</v>
      </c>
      <c r="H309" s="3">
        <v>2000000</v>
      </c>
      <c r="I309" s="3">
        <v>200000</v>
      </c>
      <c r="J309" s="3">
        <v>0</v>
      </c>
      <c r="K309" s="3">
        <v>0</v>
      </c>
      <c r="L309" s="3" t="s">
        <v>1191</v>
      </c>
      <c r="M309">
        <v>2034352</v>
      </c>
      <c r="N309" t="s">
        <v>616</v>
      </c>
      <c r="P309" t="s">
        <v>617</v>
      </c>
      <c r="Q309" t="s">
        <v>17</v>
      </c>
      <c r="R309">
        <v>29576</v>
      </c>
      <c r="S309" t="s">
        <v>96</v>
      </c>
      <c r="T309" t="s">
        <v>969</v>
      </c>
      <c r="U309">
        <v>1</v>
      </c>
      <c r="V309" t="s">
        <v>1122</v>
      </c>
      <c r="W309" t="s">
        <v>1194</v>
      </c>
      <c r="X309" t="s">
        <v>1309</v>
      </c>
      <c r="Y309">
        <v>10000</v>
      </c>
      <c r="Z309" s="2">
        <v>5</v>
      </c>
      <c r="AA309" s="2" t="s">
        <v>1238</v>
      </c>
      <c r="AB309" t="s">
        <v>1238</v>
      </c>
      <c r="AC309">
        <v>892</v>
      </c>
      <c r="AD309" t="s">
        <v>1279</v>
      </c>
      <c r="AE309">
        <v>2</v>
      </c>
      <c r="AF309" t="s">
        <v>1292</v>
      </c>
      <c r="AG309">
        <v>0</v>
      </c>
      <c r="AH309">
        <v>0</v>
      </c>
      <c r="AI309">
        <v>0</v>
      </c>
      <c r="AJ309">
        <v>2022</v>
      </c>
      <c r="AK309" t="s">
        <v>1194</v>
      </c>
      <c r="AL309" t="s">
        <v>1194</v>
      </c>
      <c r="AM309" s="4" t="s">
        <v>1304</v>
      </c>
      <c r="AN309">
        <v>1</v>
      </c>
      <c r="AO309" t="s">
        <v>1315</v>
      </c>
      <c r="AP309">
        <f t="shared" si="8"/>
        <v>0</v>
      </c>
      <c r="AQ309">
        <v>1</v>
      </c>
      <c r="AR309" t="s">
        <v>1992</v>
      </c>
      <c r="AS309" t="s">
        <v>1995</v>
      </c>
      <c r="AT309" t="s">
        <v>1995</v>
      </c>
      <c r="AU309" t="s">
        <v>1996</v>
      </c>
      <c r="AV309" t="s">
        <v>1995</v>
      </c>
      <c r="AW309" t="s">
        <v>1995</v>
      </c>
      <c r="AX309" t="s">
        <v>2007</v>
      </c>
      <c r="AY309" t="s">
        <v>1995</v>
      </c>
      <c r="AZ309">
        <v>4500</v>
      </c>
      <c r="BA309" t="s">
        <v>1194</v>
      </c>
      <c r="BB309" t="s">
        <v>1194</v>
      </c>
      <c r="BC309" s="3">
        <v>3332.5034999999998</v>
      </c>
      <c r="BD309" s="3">
        <v>4898.62</v>
      </c>
      <c r="BE309" s="3">
        <v>0</v>
      </c>
      <c r="BF309" s="3">
        <v>0</v>
      </c>
      <c r="BG309" s="3">
        <v>150</v>
      </c>
      <c r="BH309" s="3">
        <v>0</v>
      </c>
      <c r="BI309" s="3">
        <v>8779</v>
      </c>
      <c r="BJ309" s="3">
        <v>17160</v>
      </c>
      <c r="BK309" s="3">
        <v>1446.56</v>
      </c>
      <c r="BL309" s="3">
        <v>18606.560000000001</v>
      </c>
      <c r="BM309" s="2">
        <f t="shared" ca="1" si="9"/>
        <v>3</v>
      </c>
      <c r="BN309" s="3">
        <v>50000</v>
      </c>
      <c r="BO309" s="3">
        <v>250000</v>
      </c>
      <c r="BP309" s="3">
        <v>50000</v>
      </c>
      <c r="BQ309" s="3">
        <v>250000</v>
      </c>
      <c r="BR309" s="3" t="s">
        <v>2916</v>
      </c>
      <c r="BS309">
        <v>2000000</v>
      </c>
      <c r="BT309">
        <v>0</v>
      </c>
      <c r="BU309">
        <v>1</v>
      </c>
      <c r="BV309">
        <v>0</v>
      </c>
      <c r="BW309">
        <v>0</v>
      </c>
      <c r="BX309">
        <v>1</v>
      </c>
      <c r="BY309">
        <v>0</v>
      </c>
      <c r="BZ309" t="s">
        <v>2938</v>
      </c>
      <c r="CA309" t="s">
        <v>2944</v>
      </c>
      <c r="CB309" t="s">
        <v>2006</v>
      </c>
    </row>
    <row r="310" spans="1:80" x14ac:dyDescent="0.25">
      <c r="A310">
        <v>308</v>
      </c>
      <c r="B310" t="s">
        <v>2327</v>
      </c>
      <c r="C310" s="1">
        <v>44758</v>
      </c>
      <c r="D310" s="2">
        <v>21</v>
      </c>
      <c r="E310" t="s">
        <v>4</v>
      </c>
      <c r="F310" t="s">
        <v>1311</v>
      </c>
      <c r="G310">
        <v>1</v>
      </c>
      <c r="H310" s="3">
        <v>2300000</v>
      </c>
      <c r="I310" s="3">
        <v>152975</v>
      </c>
      <c r="J310" s="3">
        <v>0</v>
      </c>
      <c r="K310" s="3">
        <v>0</v>
      </c>
      <c r="L310" s="3" t="s">
        <v>1191</v>
      </c>
      <c r="M310">
        <v>1432717</v>
      </c>
      <c r="N310" t="s">
        <v>618</v>
      </c>
      <c r="P310" t="s">
        <v>204</v>
      </c>
      <c r="Q310" t="s">
        <v>13</v>
      </c>
      <c r="R310">
        <v>2446</v>
      </c>
      <c r="S310" t="s">
        <v>60</v>
      </c>
      <c r="T310" t="s">
        <v>968</v>
      </c>
      <c r="U310">
        <v>0</v>
      </c>
      <c r="V310" t="s">
        <v>1123</v>
      </c>
      <c r="W310" t="s">
        <v>1194</v>
      </c>
      <c r="X310" t="s">
        <v>973</v>
      </c>
      <c r="Y310">
        <v>10000</v>
      </c>
      <c r="Z310" s="2">
        <v>2</v>
      </c>
      <c r="AA310" s="2" t="s">
        <v>1238</v>
      </c>
      <c r="AB310" t="s">
        <v>1238</v>
      </c>
      <c r="AC310">
        <v>0</v>
      </c>
      <c r="AD310" t="s">
        <v>1279</v>
      </c>
      <c r="AE310">
        <v>1</v>
      </c>
      <c r="AF310" t="s">
        <v>1290</v>
      </c>
      <c r="AG310">
        <v>0</v>
      </c>
      <c r="AH310">
        <v>0</v>
      </c>
      <c r="AI310">
        <v>0</v>
      </c>
      <c r="AJ310">
        <v>1920</v>
      </c>
      <c r="AK310" t="s">
        <v>1194</v>
      </c>
      <c r="AL310" t="s">
        <v>1194</v>
      </c>
      <c r="AM310" s="4" t="s">
        <v>1238</v>
      </c>
      <c r="AN310">
        <v>1</v>
      </c>
      <c r="AO310" t="s">
        <v>1317</v>
      </c>
      <c r="AP310">
        <f t="shared" si="8"/>
        <v>0</v>
      </c>
      <c r="AQ310">
        <v>1</v>
      </c>
      <c r="AR310" t="s">
        <v>1992</v>
      </c>
      <c r="AS310" t="s">
        <v>1995</v>
      </c>
      <c r="AT310" t="s">
        <v>1996</v>
      </c>
      <c r="AU310" t="s">
        <v>1996</v>
      </c>
      <c r="AV310" t="s">
        <v>1996</v>
      </c>
      <c r="AW310" t="s">
        <v>1996</v>
      </c>
      <c r="AX310" t="s">
        <v>2006</v>
      </c>
      <c r="AY310" t="s">
        <v>1996</v>
      </c>
      <c r="AZ310">
        <v>2598</v>
      </c>
      <c r="BA310" t="s">
        <v>1194</v>
      </c>
      <c r="BB310" t="s">
        <v>1194</v>
      </c>
      <c r="BC310" s="3">
        <v>5735.5254000000004</v>
      </c>
      <c r="BD310" s="3">
        <v>2231.84</v>
      </c>
      <c r="BE310" s="3">
        <v>0</v>
      </c>
      <c r="BF310" s="3">
        <v>0</v>
      </c>
      <c r="BG310" s="3">
        <v>120</v>
      </c>
      <c r="BH310" s="3">
        <v>0</v>
      </c>
      <c r="BI310" s="3">
        <v>3795</v>
      </c>
      <c r="BJ310" s="3">
        <v>11882</v>
      </c>
      <c r="BK310" s="3">
        <v>0</v>
      </c>
      <c r="BL310" s="3">
        <v>11882</v>
      </c>
      <c r="BM310" s="2">
        <f t="shared" ca="1" si="9"/>
        <v>2</v>
      </c>
      <c r="BN310" s="3">
        <v>500000</v>
      </c>
      <c r="BO310" s="3">
        <v>25000</v>
      </c>
      <c r="BP310" s="3">
        <v>50000</v>
      </c>
      <c r="BQ310" s="3">
        <v>500000</v>
      </c>
      <c r="BR310" s="3">
        <v>1000000</v>
      </c>
      <c r="BS310">
        <v>50000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 t="s">
        <v>2006</v>
      </c>
      <c r="CA310" t="s">
        <v>2006</v>
      </c>
      <c r="CB310" t="s">
        <v>2941</v>
      </c>
    </row>
    <row r="311" spans="1:80" x14ac:dyDescent="0.25">
      <c r="A311">
        <v>309</v>
      </c>
      <c r="B311" t="s">
        <v>2328</v>
      </c>
      <c r="C311" s="1">
        <v>44762</v>
      </c>
      <c r="D311" s="2">
        <v>21</v>
      </c>
      <c r="E311" t="s">
        <v>4</v>
      </c>
      <c r="F311" t="s">
        <v>1311</v>
      </c>
      <c r="G311">
        <v>1</v>
      </c>
      <c r="H311" s="3">
        <v>15000000</v>
      </c>
      <c r="I311" s="3">
        <v>0</v>
      </c>
      <c r="J311" s="3">
        <v>0</v>
      </c>
      <c r="K311" s="3">
        <v>0</v>
      </c>
      <c r="L311" s="3" t="s">
        <v>1191</v>
      </c>
      <c r="M311">
        <v>428354</v>
      </c>
      <c r="N311" t="s">
        <v>619</v>
      </c>
      <c r="P311" t="s">
        <v>267</v>
      </c>
      <c r="Q311" t="s">
        <v>19</v>
      </c>
      <c r="R311">
        <v>94027</v>
      </c>
      <c r="S311" t="s">
        <v>66</v>
      </c>
      <c r="T311" t="s">
        <v>975</v>
      </c>
      <c r="U311">
        <v>0</v>
      </c>
      <c r="V311">
        <v>48</v>
      </c>
      <c r="W311" t="s">
        <v>1201</v>
      </c>
      <c r="X311" t="s">
        <v>973</v>
      </c>
      <c r="Y311">
        <v>50000</v>
      </c>
      <c r="Z311" s="2" t="s">
        <v>1194</v>
      </c>
      <c r="AA311" s="2" t="s">
        <v>1238</v>
      </c>
      <c r="AB311" t="s">
        <v>1238</v>
      </c>
      <c r="AC311" t="s">
        <v>1194</v>
      </c>
      <c r="AD311" t="s">
        <v>1279</v>
      </c>
      <c r="AE311">
        <v>2</v>
      </c>
      <c r="AF311" t="s">
        <v>1290</v>
      </c>
      <c r="AG311">
        <v>0</v>
      </c>
      <c r="AH311">
        <v>0</v>
      </c>
      <c r="AI311">
        <v>0</v>
      </c>
      <c r="AJ311">
        <v>2021</v>
      </c>
      <c r="AK311" t="s">
        <v>1194</v>
      </c>
      <c r="AL311" t="s">
        <v>1194</v>
      </c>
      <c r="AM311" s="4" t="s">
        <v>1238</v>
      </c>
      <c r="AN311">
        <v>1</v>
      </c>
      <c r="AO311" t="s">
        <v>1316</v>
      </c>
      <c r="AP311">
        <f t="shared" si="8"/>
        <v>0</v>
      </c>
      <c r="AQ311">
        <v>1</v>
      </c>
      <c r="AR311" t="s">
        <v>1992</v>
      </c>
      <c r="AS311" t="s">
        <v>1995</v>
      </c>
      <c r="AT311" t="s">
        <v>1996</v>
      </c>
      <c r="AU311" t="s">
        <v>1995</v>
      </c>
      <c r="AV311" t="s">
        <v>1996</v>
      </c>
      <c r="AW311" t="s">
        <v>1995</v>
      </c>
      <c r="AX311" t="s">
        <v>1194</v>
      </c>
      <c r="AY311" t="s">
        <v>1996</v>
      </c>
      <c r="AZ311">
        <v>17381</v>
      </c>
      <c r="BA311">
        <v>3</v>
      </c>
      <c r="BB311" t="s">
        <v>2014</v>
      </c>
      <c r="BC311" s="3">
        <v>0</v>
      </c>
      <c r="BD311" s="3">
        <v>0</v>
      </c>
      <c r="BE311" s="3">
        <v>15473.69</v>
      </c>
      <c r="BF311" s="3">
        <v>137395.98000000001</v>
      </c>
      <c r="BG311" s="3">
        <v>150</v>
      </c>
      <c r="BH311" s="3">
        <v>0</v>
      </c>
      <c r="BI311" s="3">
        <v>0</v>
      </c>
      <c r="BJ311" s="3">
        <v>153019.67000000001</v>
      </c>
      <c r="BK311" s="3">
        <v>0</v>
      </c>
      <c r="BL311" s="3">
        <v>153019.67000000001</v>
      </c>
      <c r="BM311" s="2">
        <f t="shared" ca="1" si="9"/>
        <v>1</v>
      </c>
      <c r="BN311" s="3">
        <v>1000000</v>
      </c>
      <c r="BO311" s="3">
        <v>500000</v>
      </c>
      <c r="BP311" s="3">
        <v>50000</v>
      </c>
      <c r="BQ311" s="3">
        <v>100000</v>
      </c>
      <c r="BR311" s="3">
        <v>250000</v>
      </c>
      <c r="BS311" t="s">
        <v>2916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 t="s">
        <v>2950</v>
      </c>
      <c r="CA311" t="s">
        <v>1194</v>
      </c>
      <c r="CB311" t="s">
        <v>2941</v>
      </c>
    </row>
    <row r="312" spans="1:80" x14ac:dyDescent="0.25">
      <c r="A312">
        <v>310</v>
      </c>
      <c r="B312" t="s">
        <v>2329</v>
      </c>
      <c r="C312" s="1">
        <v>44907</v>
      </c>
      <c r="D312" s="2">
        <v>36</v>
      </c>
      <c r="E312" t="s">
        <v>4</v>
      </c>
      <c r="F312" t="s">
        <v>1311</v>
      </c>
      <c r="G312">
        <v>1</v>
      </c>
      <c r="H312" s="3">
        <v>2333000</v>
      </c>
      <c r="I312" s="3">
        <v>150000</v>
      </c>
      <c r="J312" s="3">
        <v>50000</v>
      </c>
      <c r="K312" s="3">
        <v>0</v>
      </c>
      <c r="L312" s="3" t="s">
        <v>1191</v>
      </c>
      <c r="M312">
        <v>1914448</v>
      </c>
      <c r="N312" t="s">
        <v>620</v>
      </c>
      <c r="P312" t="s">
        <v>621</v>
      </c>
      <c r="Q312" t="s">
        <v>15</v>
      </c>
      <c r="R312">
        <v>32250</v>
      </c>
      <c r="S312" t="s">
        <v>58</v>
      </c>
      <c r="T312" t="s">
        <v>964</v>
      </c>
      <c r="U312">
        <v>1</v>
      </c>
      <c r="V312" t="s">
        <v>1124</v>
      </c>
      <c r="W312" t="s">
        <v>1194</v>
      </c>
      <c r="X312" t="s">
        <v>1309</v>
      </c>
      <c r="Y312">
        <v>10000</v>
      </c>
      <c r="Z312" s="2">
        <v>5</v>
      </c>
      <c r="AA312" s="2" t="s">
        <v>1238</v>
      </c>
      <c r="AB312" t="s">
        <v>1238</v>
      </c>
      <c r="AC312">
        <v>771</v>
      </c>
      <c r="AD312" t="s">
        <v>1280</v>
      </c>
      <c r="AE312">
        <v>2</v>
      </c>
      <c r="AF312" t="s">
        <v>1290</v>
      </c>
      <c r="AG312">
        <v>0</v>
      </c>
      <c r="AH312">
        <v>0</v>
      </c>
      <c r="AI312">
        <v>0</v>
      </c>
      <c r="AJ312">
        <v>2022</v>
      </c>
      <c r="AK312" t="s">
        <v>1194</v>
      </c>
      <c r="AL312" t="s">
        <v>1194</v>
      </c>
      <c r="AM312" s="4" t="s">
        <v>1238</v>
      </c>
      <c r="AN312">
        <v>0</v>
      </c>
      <c r="AO312" t="s">
        <v>1316</v>
      </c>
      <c r="AP312">
        <f t="shared" si="8"/>
        <v>0</v>
      </c>
      <c r="AQ312">
        <v>0</v>
      </c>
      <c r="AR312" t="s">
        <v>1993</v>
      </c>
      <c r="AS312" t="s">
        <v>1995</v>
      </c>
      <c r="AT312" t="s">
        <v>1995</v>
      </c>
      <c r="AU312" t="s">
        <v>1995</v>
      </c>
      <c r="AV312" t="s">
        <v>1996</v>
      </c>
      <c r="AW312" t="s">
        <v>1995</v>
      </c>
      <c r="AX312" t="s">
        <v>2006</v>
      </c>
      <c r="AY312" t="s">
        <v>1996</v>
      </c>
      <c r="AZ312">
        <v>3981</v>
      </c>
      <c r="BA312" t="s">
        <v>1194</v>
      </c>
      <c r="BB312" t="s">
        <v>1194</v>
      </c>
      <c r="BC312" s="3">
        <v>4287.6322</v>
      </c>
      <c r="BD312" s="3">
        <v>3330.32</v>
      </c>
      <c r="BE312" s="3">
        <v>0</v>
      </c>
      <c r="BF312" s="3">
        <v>0</v>
      </c>
      <c r="BG312" s="3">
        <v>300</v>
      </c>
      <c r="BH312" s="3">
        <v>0</v>
      </c>
      <c r="BI312" s="3">
        <v>13612</v>
      </c>
      <c r="BJ312" s="3">
        <v>21530</v>
      </c>
      <c r="BK312" s="3">
        <v>400</v>
      </c>
      <c r="BL312" s="3">
        <v>21930</v>
      </c>
      <c r="BM312" s="2">
        <f t="shared" ca="1" si="9"/>
        <v>1</v>
      </c>
      <c r="BN312" s="3">
        <v>500000</v>
      </c>
      <c r="BO312" s="3">
        <v>500000</v>
      </c>
      <c r="BP312" s="3">
        <v>50000</v>
      </c>
      <c r="BQ312" s="3">
        <v>100000</v>
      </c>
      <c r="BR312" s="3">
        <v>50000</v>
      </c>
      <c r="BS312">
        <v>100000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 t="s">
        <v>2947</v>
      </c>
      <c r="CA312" t="s">
        <v>2939</v>
      </c>
      <c r="CB312" t="s">
        <v>2945</v>
      </c>
    </row>
    <row r="313" spans="1:80" x14ac:dyDescent="0.25">
      <c r="A313">
        <v>311</v>
      </c>
      <c r="B313" t="s">
        <v>2330</v>
      </c>
      <c r="C313" s="1">
        <v>44672</v>
      </c>
      <c r="D313" s="2">
        <v>12</v>
      </c>
      <c r="E313" t="s">
        <v>4</v>
      </c>
      <c r="F313" t="s">
        <v>1311</v>
      </c>
      <c r="G313">
        <v>1</v>
      </c>
      <c r="H313" s="3">
        <v>4000000</v>
      </c>
      <c r="I313" s="3">
        <v>1600000</v>
      </c>
      <c r="J313" s="3">
        <v>0</v>
      </c>
      <c r="K313" s="3">
        <v>0</v>
      </c>
      <c r="L313" s="3" t="s">
        <v>1191</v>
      </c>
      <c r="M313">
        <v>1437596</v>
      </c>
      <c r="N313" t="s">
        <v>622</v>
      </c>
      <c r="P313" t="s">
        <v>537</v>
      </c>
      <c r="Q313" t="s">
        <v>14</v>
      </c>
      <c r="R313">
        <v>10538</v>
      </c>
      <c r="S313" t="s">
        <v>36</v>
      </c>
      <c r="T313" t="s">
        <v>963</v>
      </c>
      <c r="U313">
        <v>0</v>
      </c>
      <c r="V313" t="s">
        <v>1125</v>
      </c>
      <c r="W313" t="s">
        <v>1194</v>
      </c>
      <c r="X313" t="s">
        <v>973</v>
      </c>
      <c r="Y313">
        <v>25000</v>
      </c>
      <c r="Z313" s="2">
        <v>1</v>
      </c>
      <c r="AA313" s="2" t="s">
        <v>1238</v>
      </c>
      <c r="AB313" t="s">
        <v>1238</v>
      </c>
      <c r="AC313">
        <v>709</v>
      </c>
      <c r="AD313" t="s">
        <v>1279</v>
      </c>
      <c r="AE313">
        <v>2</v>
      </c>
      <c r="AF313" t="s">
        <v>1291</v>
      </c>
      <c r="AG313">
        <v>0</v>
      </c>
      <c r="AH313">
        <v>0</v>
      </c>
      <c r="AI313">
        <v>0</v>
      </c>
      <c r="AJ313">
        <v>1951</v>
      </c>
      <c r="AK313" t="s">
        <v>1194</v>
      </c>
      <c r="AL313" t="s">
        <v>1194</v>
      </c>
      <c r="AM313" s="4" t="s">
        <v>1238</v>
      </c>
      <c r="AN313">
        <v>0</v>
      </c>
      <c r="AO313" t="s">
        <v>1315</v>
      </c>
      <c r="AP313">
        <f t="shared" si="8"/>
        <v>0</v>
      </c>
      <c r="AQ313">
        <v>1</v>
      </c>
      <c r="AR313" t="s">
        <v>1992</v>
      </c>
      <c r="AS313" t="s">
        <v>1995</v>
      </c>
      <c r="AT313" t="s">
        <v>1995</v>
      </c>
      <c r="AU313" t="s">
        <v>1995</v>
      </c>
      <c r="AV313" t="s">
        <v>1996</v>
      </c>
      <c r="AW313" t="s">
        <v>1996</v>
      </c>
      <c r="AX313" t="s">
        <v>2006</v>
      </c>
      <c r="AY313" t="s">
        <v>1996</v>
      </c>
      <c r="AZ313">
        <v>7000</v>
      </c>
      <c r="BA313" t="s">
        <v>1194</v>
      </c>
      <c r="BB313" t="s">
        <v>1194</v>
      </c>
      <c r="BC313" s="3">
        <v>16492.2212</v>
      </c>
      <c r="BD313" s="3">
        <v>7683.38</v>
      </c>
      <c r="BE313" s="3">
        <v>0</v>
      </c>
      <c r="BF313" s="3">
        <v>0</v>
      </c>
      <c r="BG313" s="3">
        <v>200</v>
      </c>
      <c r="BH313" s="3">
        <v>0</v>
      </c>
      <c r="BI313" s="3">
        <v>824</v>
      </c>
      <c r="BJ313" s="3">
        <v>25200</v>
      </c>
      <c r="BK313" s="3">
        <v>0</v>
      </c>
      <c r="BL313" s="3">
        <v>25200</v>
      </c>
      <c r="BM313" s="2">
        <f t="shared" ca="1" si="9"/>
        <v>4</v>
      </c>
      <c r="BN313" s="3" t="s">
        <v>2916</v>
      </c>
      <c r="BO313" s="3">
        <v>500000</v>
      </c>
      <c r="BP313" s="3">
        <v>50000</v>
      </c>
      <c r="BQ313" s="3">
        <v>250000</v>
      </c>
      <c r="BR313" s="3">
        <v>100000</v>
      </c>
      <c r="BS313">
        <v>100000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 t="s">
        <v>2006</v>
      </c>
      <c r="CA313" t="s">
        <v>2006</v>
      </c>
      <c r="CB313" t="s">
        <v>2006</v>
      </c>
    </row>
    <row r="314" spans="1:80" x14ac:dyDescent="0.25">
      <c r="A314">
        <v>312</v>
      </c>
      <c r="B314" t="s">
        <v>2331</v>
      </c>
      <c r="C314" s="1">
        <v>44896</v>
      </c>
      <c r="D314" s="2">
        <v>36</v>
      </c>
      <c r="E314" t="s">
        <v>4</v>
      </c>
      <c r="F314" t="s">
        <v>1311</v>
      </c>
      <c r="G314">
        <v>0</v>
      </c>
      <c r="H314" s="3">
        <v>2245000</v>
      </c>
      <c r="I314" s="3">
        <v>180000</v>
      </c>
      <c r="J314" s="3">
        <v>0</v>
      </c>
      <c r="K314" s="3">
        <v>0</v>
      </c>
      <c r="L314" s="3" t="s">
        <v>1191</v>
      </c>
      <c r="M314">
        <v>1624663</v>
      </c>
      <c r="N314" t="s">
        <v>623</v>
      </c>
      <c r="P314" t="s">
        <v>278</v>
      </c>
      <c r="Q314" t="s">
        <v>15</v>
      </c>
      <c r="R314">
        <v>33308</v>
      </c>
      <c r="S314" t="s">
        <v>68</v>
      </c>
      <c r="T314" t="s">
        <v>964</v>
      </c>
      <c r="U314">
        <v>0</v>
      </c>
      <c r="V314" t="s">
        <v>1045</v>
      </c>
      <c r="W314" t="s">
        <v>1194</v>
      </c>
      <c r="X314" t="s">
        <v>973</v>
      </c>
      <c r="Y314">
        <v>10000</v>
      </c>
      <c r="Z314" s="2">
        <v>5</v>
      </c>
      <c r="AA314" s="2" t="s">
        <v>1238</v>
      </c>
      <c r="AB314" t="s">
        <v>1238</v>
      </c>
      <c r="AC314">
        <v>846</v>
      </c>
      <c r="AD314" t="s">
        <v>1280</v>
      </c>
      <c r="AE314">
        <v>1</v>
      </c>
      <c r="AF314" t="s">
        <v>1290</v>
      </c>
      <c r="AG314">
        <v>0</v>
      </c>
      <c r="AH314">
        <v>0</v>
      </c>
      <c r="AI314">
        <v>0</v>
      </c>
      <c r="AJ314">
        <v>2021</v>
      </c>
      <c r="AK314" t="s">
        <v>1194</v>
      </c>
      <c r="AL314" t="s">
        <v>1194</v>
      </c>
      <c r="AM314" s="4" t="s">
        <v>1238</v>
      </c>
      <c r="AN314">
        <v>0</v>
      </c>
      <c r="AO314" t="s">
        <v>1315</v>
      </c>
      <c r="AP314">
        <f t="shared" si="8"/>
        <v>0</v>
      </c>
      <c r="AQ314">
        <v>1</v>
      </c>
      <c r="AR314" t="s">
        <v>1992</v>
      </c>
      <c r="AS314" t="s">
        <v>1995</v>
      </c>
      <c r="AT314" t="s">
        <v>1996</v>
      </c>
      <c r="AU314" t="s">
        <v>1996</v>
      </c>
      <c r="AV314" t="s">
        <v>1995</v>
      </c>
      <c r="AW314" t="s">
        <v>1995</v>
      </c>
      <c r="AX314" t="s">
        <v>2007</v>
      </c>
      <c r="AY314" t="s">
        <v>1995</v>
      </c>
      <c r="AZ314">
        <v>3656</v>
      </c>
      <c r="BA314" t="s">
        <v>1194</v>
      </c>
      <c r="BB314" t="s">
        <v>1194</v>
      </c>
      <c r="BC314" s="3">
        <v>5453.0472</v>
      </c>
      <c r="BD314" s="3">
        <v>13050.73</v>
      </c>
      <c r="BE314" s="3">
        <v>0</v>
      </c>
      <c r="BF314" s="3">
        <v>0</v>
      </c>
      <c r="BG314" s="3">
        <v>300</v>
      </c>
      <c r="BH314" s="3">
        <v>0</v>
      </c>
      <c r="BI314" s="3">
        <v>1931</v>
      </c>
      <c r="BJ314" s="3">
        <v>20735</v>
      </c>
      <c r="BK314" s="3">
        <v>765.77</v>
      </c>
      <c r="BL314" s="3">
        <v>21500.77</v>
      </c>
      <c r="BM314" s="2">
        <f t="shared" ca="1" si="9"/>
        <v>3</v>
      </c>
      <c r="BN314" s="3">
        <v>1000000</v>
      </c>
      <c r="BO314" s="3">
        <v>20000</v>
      </c>
      <c r="BP314" s="3">
        <v>50000</v>
      </c>
      <c r="BQ314" s="3">
        <v>250000</v>
      </c>
      <c r="BR314" s="3">
        <v>500000</v>
      </c>
      <c r="BS314">
        <v>100000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 t="s">
        <v>2940</v>
      </c>
      <c r="CA314" t="s">
        <v>2939</v>
      </c>
      <c r="CB314" t="s">
        <v>2941</v>
      </c>
    </row>
    <row r="315" spans="1:80" x14ac:dyDescent="0.25">
      <c r="A315">
        <v>313</v>
      </c>
      <c r="B315" t="s">
        <v>2332</v>
      </c>
      <c r="C315" s="1">
        <v>44749</v>
      </c>
      <c r="D315" s="2">
        <v>21</v>
      </c>
      <c r="E315" t="s">
        <v>4</v>
      </c>
      <c r="F315" t="s">
        <v>1311</v>
      </c>
      <c r="G315">
        <v>1</v>
      </c>
      <c r="H315" s="3">
        <v>7000000</v>
      </c>
      <c r="I315" s="3">
        <v>500000</v>
      </c>
      <c r="J315" s="3">
        <v>0</v>
      </c>
      <c r="K315" s="3">
        <v>0</v>
      </c>
      <c r="L315" s="3" t="s">
        <v>1191</v>
      </c>
      <c r="M315">
        <v>1441224</v>
      </c>
      <c r="N315" t="s">
        <v>624</v>
      </c>
      <c r="P315" t="s">
        <v>625</v>
      </c>
      <c r="Q315" t="s">
        <v>15</v>
      </c>
      <c r="R315">
        <v>33435</v>
      </c>
      <c r="S315" t="s">
        <v>27</v>
      </c>
      <c r="T315" t="s">
        <v>967</v>
      </c>
      <c r="U315">
        <v>1</v>
      </c>
      <c r="V315" t="s">
        <v>989</v>
      </c>
      <c r="W315" t="s">
        <v>1194</v>
      </c>
      <c r="X315" t="s">
        <v>1309</v>
      </c>
      <c r="Y315">
        <v>25000</v>
      </c>
      <c r="Z315" s="2">
        <v>5</v>
      </c>
      <c r="AA315" s="2" t="s">
        <v>1238</v>
      </c>
      <c r="AB315" t="s">
        <v>1238</v>
      </c>
      <c r="AC315">
        <v>757</v>
      </c>
      <c r="AD315" t="s">
        <v>1280</v>
      </c>
      <c r="AE315">
        <v>2</v>
      </c>
      <c r="AF315" t="s">
        <v>1291</v>
      </c>
      <c r="AG315">
        <v>0</v>
      </c>
      <c r="AH315">
        <v>0</v>
      </c>
      <c r="AI315">
        <v>0</v>
      </c>
      <c r="AJ315">
        <v>2022</v>
      </c>
      <c r="AK315" t="s">
        <v>1194</v>
      </c>
      <c r="AL315">
        <v>2022</v>
      </c>
      <c r="AM315" s="4" t="s">
        <v>1238</v>
      </c>
      <c r="AN315">
        <v>0</v>
      </c>
      <c r="AO315" t="s">
        <v>1315</v>
      </c>
      <c r="AP315">
        <f t="shared" si="8"/>
        <v>0</v>
      </c>
      <c r="AQ315">
        <v>1</v>
      </c>
      <c r="AR315" t="s">
        <v>1992</v>
      </c>
      <c r="AS315" t="s">
        <v>1996</v>
      </c>
      <c r="AT315" t="s">
        <v>1995</v>
      </c>
      <c r="AU315" t="s">
        <v>1996</v>
      </c>
      <c r="AV315" t="s">
        <v>1995</v>
      </c>
      <c r="AW315" t="s">
        <v>1995</v>
      </c>
      <c r="AX315" t="s">
        <v>2007</v>
      </c>
      <c r="AY315" t="s">
        <v>1995</v>
      </c>
      <c r="AZ315">
        <v>4615</v>
      </c>
      <c r="BA315" t="s">
        <v>1194</v>
      </c>
      <c r="BB315" t="s">
        <v>1194</v>
      </c>
      <c r="BC315" s="3">
        <v>12442.6767</v>
      </c>
      <c r="BD315" s="3">
        <v>34751.760000000002</v>
      </c>
      <c r="BE315" s="3">
        <v>0</v>
      </c>
      <c r="BF315" s="3">
        <v>0</v>
      </c>
      <c r="BG315" s="3">
        <v>300</v>
      </c>
      <c r="BH315" s="3">
        <v>0</v>
      </c>
      <c r="BI315" s="3">
        <v>38756</v>
      </c>
      <c r="BJ315" s="3">
        <v>86250</v>
      </c>
      <c r="BK315" s="3">
        <v>1050</v>
      </c>
      <c r="BL315" s="3">
        <v>87300</v>
      </c>
      <c r="BM315" s="2">
        <f t="shared" ca="1" si="9"/>
        <v>2</v>
      </c>
      <c r="BN315" s="3">
        <v>250000</v>
      </c>
      <c r="BO315" s="3">
        <v>25000</v>
      </c>
      <c r="BP315" s="3" t="s">
        <v>2922</v>
      </c>
      <c r="BQ315" s="3">
        <v>250000</v>
      </c>
      <c r="BR315" s="3">
        <v>250000</v>
      </c>
      <c r="BS315">
        <v>500000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 t="s">
        <v>2938</v>
      </c>
      <c r="CA315" t="s">
        <v>2939</v>
      </c>
      <c r="CB315" t="s">
        <v>2941</v>
      </c>
    </row>
    <row r="316" spans="1:80" x14ac:dyDescent="0.25">
      <c r="A316">
        <v>314</v>
      </c>
      <c r="B316" t="s">
        <v>2333</v>
      </c>
      <c r="C316" s="1">
        <v>44839</v>
      </c>
      <c r="D316" s="2">
        <v>30</v>
      </c>
      <c r="E316" t="s">
        <v>4</v>
      </c>
      <c r="F316" t="s">
        <v>1311</v>
      </c>
      <c r="G316">
        <v>0</v>
      </c>
      <c r="H316" s="3">
        <v>3700000</v>
      </c>
      <c r="I316" s="3">
        <v>700000</v>
      </c>
      <c r="J316" s="3">
        <v>0</v>
      </c>
      <c r="K316" s="3">
        <v>0</v>
      </c>
      <c r="L316" s="3" t="s">
        <v>1191</v>
      </c>
      <c r="M316">
        <v>1440587</v>
      </c>
      <c r="N316" t="s">
        <v>626</v>
      </c>
      <c r="P316" t="s">
        <v>204</v>
      </c>
      <c r="Q316" t="s">
        <v>13</v>
      </c>
      <c r="R316">
        <v>2467</v>
      </c>
      <c r="S316" t="s">
        <v>53</v>
      </c>
      <c r="T316" t="s">
        <v>968</v>
      </c>
      <c r="U316">
        <v>0</v>
      </c>
      <c r="V316" t="s">
        <v>1021</v>
      </c>
      <c r="W316" t="s">
        <v>1194</v>
      </c>
      <c r="X316" t="s">
        <v>973</v>
      </c>
      <c r="Y316">
        <v>10000</v>
      </c>
      <c r="Z316" s="2">
        <v>2</v>
      </c>
      <c r="AA316" s="2" t="s">
        <v>1238</v>
      </c>
      <c r="AB316" t="s">
        <v>1238</v>
      </c>
      <c r="AC316">
        <v>738</v>
      </c>
      <c r="AD316" t="s">
        <v>1279</v>
      </c>
      <c r="AE316">
        <v>1</v>
      </c>
      <c r="AF316" t="s">
        <v>1290</v>
      </c>
      <c r="AG316">
        <v>0</v>
      </c>
      <c r="AH316">
        <v>0</v>
      </c>
      <c r="AI316">
        <v>0</v>
      </c>
      <c r="AJ316">
        <v>1910</v>
      </c>
      <c r="AK316">
        <v>2008</v>
      </c>
      <c r="AL316">
        <v>2008</v>
      </c>
      <c r="AM316" s="4" t="s">
        <v>1238</v>
      </c>
      <c r="AN316">
        <v>0</v>
      </c>
      <c r="AO316" t="s">
        <v>1315</v>
      </c>
      <c r="AP316">
        <f t="shared" si="8"/>
        <v>0</v>
      </c>
      <c r="AQ316">
        <v>1</v>
      </c>
      <c r="AR316" t="s">
        <v>1992</v>
      </c>
      <c r="AS316" t="s">
        <v>1996</v>
      </c>
      <c r="AT316" t="s">
        <v>1995</v>
      </c>
      <c r="AU316" t="s">
        <v>1996</v>
      </c>
      <c r="AV316" t="s">
        <v>1996</v>
      </c>
      <c r="AW316" t="s">
        <v>1995</v>
      </c>
      <c r="AX316" t="s">
        <v>2006</v>
      </c>
      <c r="AY316" t="s">
        <v>1996</v>
      </c>
      <c r="AZ316">
        <v>4010</v>
      </c>
      <c r="BA316" t="s">
        <v>1194</v>
      </c>
      <c r="BB316" t="s">
        <v>1194</v>
      </c>
      <c r="BC316" s="3">
        <v>8439.4910999999993</v>
      </c>
      <c r="BD316" s="3">
        <v>3772.39</v>
      </c>
      <c r="BE316" s="3">
        <v>0</v>
      </c>
      <c r="BF316" s="3">
        <v>0</v>
      </c>
      <c r="BG316" s="3">
        <v>150</v>
      </c>
      <c r="BH316" s="3">
        <v>0</v>
      </c>
      <c r="BI316" s="3">
        <v>7878</v>
      </c>
      <c r="BJ316" s="3">
        <v>20240</v>
      </c>
      <c r="BK316" s="3">
        <v>0</v>
      </c>
      <c r="BL316" s="3">
        <v>20240</v>
      </c>
      <c r="BM316" s="2">
        <f t="shared" ca="1" si="9"/>
        <v>1</v>
      </c>
      <c r="BN316" s="3">
        <v>1000000</v>
      </c>
      <c r="BO316" s="3">
        <v>1000000</v>
      </c>
      <c r="BP316" s="3" t="s">
        <v>2922</v>
      </c>
      <c r="BQ316" s="3">
        <v>250000</v>
      </c>
      <c r="BR316" s="3">
        <v>100000</v>
      </c>
      <c r="BS316">
        <v>250000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 t="s">
        <v>2938</v>
      </c>
      <c r="CA316" t="s">
        <v>2006</v>
      </c>
      <c r="CB316" t="s">
        <v>2941</v>
      </c>
    </row>
    <row r="317" spans="1:80" x14ac:dyDescent="0.25">
      <c r="A317">
        <v>315</v>
      </c>
      <c r="B317" t="s">
        <v>2334</v>
      </c>
      <c r="C317" s="1">
        <v>44812</v>
      </c>
      <c r="D317" s="2">
        <v>27</v>
      </c>
      <c r="E317" t="s">
        <v>4</v>
      </c>
      <c r="F317" t="s">
        <v>1311</v>
      </c>
      <c r="G317">
        <v>1</v>
      </c>
      <c r="H317" s="3">
        <v>0</v>
      </c>
      <c r="I317" s="3">
        <v>0</v>
      </c>
      <c r="J317" s="3">
        <v>4445000</v>
      </c>
      <c r="K317" s="3">
        <v>0</v>
      </c>
      <c r="L317" s="3" t="s">
        <v>1192</v>
      </c>
      <c r="M317">
        <v>1982365</v>
      </c>
      <c r="N317" t="s">
        <v>627</v>
      </c>
      <c r="O317" t="s">
        <v>628</v>
      </c>
      <c r="P317" t="s">
        <v>29</v>
      </c>
      <c r="Q317" t="s">
        <v>14</v>
      </c>
      <c r="R317">
        <v>10013</v>
      </c>
      <c r="S317" t="s">
        <v>29</v>
      </c>
      <c r="T317" t="s">
        <v>962</v>
      </c>
      <c r="U317">
        <v>0</v>
      </c>
      <c r="V317" t="s">
        <v>1115</v>
      </c>
      <c r="W317" t="s">
        <v>1194</v>
      </c>
      <c r="X317" t="s">
        <v>973</v>
      </c>
      <c r="Y317">
        <v>10000</v>
      </c>
      <c r="Z317" s="2">
        <v>1</v>
      </c>
      <c r="AA317" s="2" t="s">
        <v>1238</v>
      </c>
      <c r="AB317" t="s">
        <v>1238</v>
      </c>
      <c r="AC317">
        <v>831</v>
      </c>
      <c r="AD317" t="s">
        <v>1281</v>
      </c>
      <c r="AE317">
        <v>1</v>
      </c>
      <c r="AF317" t="s">
        <v>1290</v>
      </c>
      <c r="AG317">
        <v>0</v>
      </c>
      <c r="AH317">
        <v>0</v>
      </c>
      <c r="AI317">
        <v>0</v>
      </c>
      <c r="AJ317">
        <v>2015</v>
      </c>
      <c r="AK317" t="s">
        <v>1194</v>
      </c>
      <c r="AL317" t="s">
        <v>1194</v>
      </c>
      <c r="AM317" s="4" t="s">
        <v>1238</v>
      </c>
      <c r="AN317">
        <v>0</v>
      </c>
      <c r="AO317" t="s">
        <v>1316</v>
      </c>
      <c r="AP317">
        <f t="shared" si="8"/>
        <v>0</v>
      </c>
      <c r="AQ317">
        <v>1</v>
      </c>
      <c r="AR317" t="s">
        <v>1992</v>
      </c>
      <c r="AS317" t="s">
        <v>1996</v>
      </c>
      <c r="AT317" t="s">
        <v>1995</v>
      </c>
      <c r="AU317" t="s">
        <v>1996</v>
      </c>
      <c r="AV317" t="s">
        <v>1995</v>
      </c>
      <c r="AW317" t="s">
        <v>1996</v>
      </c>
      <c r="AX317" t="s">
        <v>2006</v>
      </c>
      <c r="AY317" t="s">
        <v>1996</v>
      </c>
      <c r="AZ317">
        <v>3243</v>
      </c>
      <c r="BA317" t="s">
        <v>1194</v>
      </c>
      <c r="BB317" t="s">
        <v>1194</v>
      </c>
      <c r="BC317" s="3">
        <v>16567.601600000002</v>
      </c>
      <c r="BD317" s="3">
        <v>2648.99</v>
      </c>
      <c r="BE317" s="3">
        <v>0</v>
      </c>
      <c r="BF317" s="3">
        <v>0</v>
      </c>
      <c r="BG317" s="3">
        <v>150</v>
      </c>
      <c r="BH317" s="3">
        <v>0</v>
      </c>
      <c r="BI317" s="3">
        <v>2800</v>
      </c>
      <c r="BJ317" s="3">
        <v>22167</v>
      </c>
      <c r="BK317" s="3">
        <v>0</v>
      </c>
      <c r="BL317" s="3">
        <v>22167</v>
      </c>
      <c r="BM317" s="2">
        <f t="shared" ca="1" si="9"/>
        <v>6</v>
      </c>
      <c r="BN317" s="3">
        <v>100000</v>
      </c>
      <c r="BO317" s="3">
        <v>1000000</v>
      </c>
      <c r="BP317" s="3">
        <v>50000</v>
      </c>
      <c r="BQ317" s="3">
        <v>25000</v>
      </c>
      <c r="BR317" s="3">
        <v>1000000</v>
      </c>
      <c r="BS317">
        <v>100000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 t="s">
        <v>2942</v>
      </c>
      <c r="CA317" t="s">
        <v>2006</v>
      </c>
      <c r="CB317" t="s">
        <v>2946</v>
      </c>
    </row>
    <row r="318" spans="1:80" x14ac:dyDescent="0.25">
      <c r="A318">
        <v>317</v>
      </c>
      <c r="B318" t="s">
        <v>2335</v>
      </c>
      <c r="C318" s="1">
        <v>44880</v>
      </c>
      <c r="D318" s="2">
        <v>33</v>
      </c>
      <c r="E318" t="s">
        <v>4</v>
      </c>
      <c r="F318" t="s">
        <v>1311</v>
      </c>
      <c r="G318">
        <v>1</v>
      </c>
      <c r="H318" s="3">
        <v>0</v>
      </c>
      <c r="I318" s="3">
        <v>0</v>
      </c>
      <c r="J318" s="3">
        <v>6731155</v>
      </c>
      <c r="K318" s="3">
        <v>0</v>
      </c>
      <c r="L318" s="3" t="s">
        <v>1192</v>
      </c>
      <c r="M318">
        <v>1798069</v>
      </c>
      <c r="N318" t="s">
        <v>629</v>
      </c>
      <c r="O318" t="s">
        <v>630</v>
      </c>
      <c r="P318" t="s">
        <v>29</v>
      </c>
      <c r="Q318" t="s">
        <v>14</v>
      </c>
      <c r="R318">
        <v>10028</v>
      </c>
      <c r="S318" t="s">
        <v>29</v>
      </c>
      <c r="T318" t="s">
        <v>968</v>
      </c>
      <c r="U318">
        <v>0</v>
      </c>
      <c r="V318" t="s">
        <v>1000</v>
      </c>
      <c r="W318" t="s">
        <v>1194</v>
      </c>
      <c r="X318" t="s">
        <v>973</v>
      </c>
      <c r="Y318">
        <v>10000</v>
      </c>
      <c r="Z318" s="2">
        <v>1.9999985140000001</v>
      </c>
      <c r="AA318" s="2" t="s">
        <v>1238</v>
      </c>
      <c r="AB318" t="s">
        <v>1238</v>
      </c>
      <c r="AC318">
        <v>803</v>
      </c>
      <c r="AD318" t="s">
        <v>1281</v>
      </c>
      <c r="AE318">
        <v>1</v>
      </c>
      <c r="AF318" t="s">
        <v>1290</v>
      </c>
      <c r="AG318">
        <v>0</v>
      </c>
      <c r="AH318">
        <v>0</v>
      </c>
      <c r="AI318">
        <v>0</v>
      </c>
      <c r="AJ318">
        <v>1987</v>
      </c>
      <c r="AK318">
        <v>2011</v>
      </c>
      <c r="AL318" t="s">
        <v>1194</v>
      </c>
      <c r="AM318" s="4" t="s">
        <v>1238</v>
      </c>
      <c r="AN318">
        <v>0</v>
      </c>
      <c r="AO318" t="s">
        <v>1315</v>
      </c>
      <c r="AP318">
        <f t="shared" si="8"/>
        <v>0</v>
      </c>
      <c r="AQ318">
        <v>0</v>
      </c>
      <c r="AR318" t="s">
        <v>1993</v>
      </c>
      <c r="AS318" t="s">
        <v>1995</v>
      </c>
      <c r="AT318" t="s">
        <v>1996</v>
      </c>
      <c r="AU318" t="s">
        <v>1996</v>
      </c>
      <c r="AV318" t="s">
        <v>1995</v>
      </c>
      <c r="AW318" t="s">
        <v>1995</v>
      </c>
      <c r="AX318" t="s">
        <v>2006</v>
      </c>
      <c r="AY318" t="s">
        <v>1996</v>
      </c>
      <c r="AZ318">
        <v>4756</v>
      </c>
      <c r="BA318" t="s">
        <v>1194</v>
      </c>
      <c r="BB318" t="s">
        <v>1194</v>
      </c>
      <c r="BC318" s="3">
        <v>30356.062300000001</v>
      </c>
      <c r="BD318" s="3">
        <v>4706.55</v>
      </c>
      <c r="BE318" s="3">
        <v>0</v>
      </c>
      <c r="BF318" s="3">
        <v>0</v>
      </c>
      <c r="BG318" s="3">
        <v>150</v>
      </c>
      <c r="BH318" s="3">
        <v>0</v>
      </c>
      <c r="BI318" s="3">
        <v>1245</v>
      </c>
      <c r="BJ318" s="3">
        <v>36458</v>
      </c>
      <c r="BK318" s="3">
        <v>0</v>
      </c>
      <c r="BL318" s="3">
        <v>36458</v>
      </c>
      <c r="BM318" s="2">
        <f t="shared" ca="1" si="9"/>
        <v>6</v>
      </c>
      <c r="BN318" s="3">
        <v>250000</v>
      </c>
      <c r="BO318" s="3">
        <v>250000</v>
      </c>
      <c r="BP318" s="3" t="s">
        <v>2922</v>
      </c>
      <c r="BQ318" s="3">
        <v>50000</v>
      </c>
      <c r="BR318" s="3">
        <v>50000</v>
      </c>
      <c r="BS318" t="s">
        <v>2916</v>
      </c>
      <c r="BT318">
        <v>0</v>
      </c>
      <c r="BU318">
        <v>0</v>
      </c>
      <c r="BV318">
        <v>1</v>
      </c>
      <c r="BW318">
        <v>0</v>
      </c>
      <c r="BX318">
        <v>0</v>
      </c>
      <c r="BY318">
        <v>0</v>
      </c>
      <c r="BZ318" t="s">
        <v>2006</v>
      </c>
      <c r="CA318" t="s">
        <v>2006</v>
      </c>
      <c r="CB318" t="s">
        <v>2946</v>
      </c>
    </row>
    <row r="319" spans="1:80" x14ac:dyDescent="0.25">
      <c r="A319">
        <v>318</v>
      </c>
      <c r="B319" t="s">
        <v>2336</v>
      </c>
      <c r="C319" s="1">
        <v>44928</v>
      </c>
      <c r="D319" s="2">
        <v>3</v>
      </c>
      <c r="E319" t="s">
        <v>4</v>
      </c>
      <c r="F319" t="s">
        <v>1310</v>
      </c>
      <c r="G319">
        <v>0</v>
      </c>
      <c r="H319" s="3">
        <v>10000000</v>
      </c>
      <c r="I319" s="3">
        <v>0</v>
      </c>
      <c r="J319" s="3">
        <v>0</v>
      </c>
      <c r="K319" s="3">
        <v>0</v>
      </c>
      <c r="L319" s="3" t="s">
        <v>1191</v>
      </c>
      <c r="M319">
        <v>541510</v>
      </c>
      <c r="N319" t="s">
        <v>631</v>
      </c>
      <c r="P319" t="s">
        <v>62</v>
      </c>
      <c r="Q319" t="s">
        <v>19</v>
      </c>
      <c r="R319">
        <v>94121</v>
      </c>
      <c r="S319" t="s">
        <v>62</v>
      </c>
      <c r="T319" t="s">
        <v>974</v>
      </c>
      <c r="U319">
        <v>0</v>
      </c>
      <c r="V319">
        <v>33</v>
      </c>
      <c r="W319" t="s">
        <v>1198</v>
      </c>
      <c r="X319" t="s">
        <v>973</v>
      </c>
      <c r="Y319">
        <v>50000</v>
      </c>
      <c r="Z319" s="2" t="s">
        <v>1194</v>
      </c>
      <c r="AA319" s="2" t="s">
        <v>1238</v>
      </c>
      <c r="AB319" t="s">
        <v>1238</v>
      </c>
      <c r="AC319" t="s">
        <v>1194</v>
      </c>
      <c r="AD319" t="s">
        <v>1285</v>
      </c>
      <c r="AE319">
        <v>1</v>
      </c>
      <c r="AF319" t="s">
        <v>1290</v>
      </c>
      <c r="AG319">
        <v>0</v>
      </c>
      <c r="AH319">
        <v>0</v>
      </c>
      <c r="AI319">
        <v>0</v>
      </c>
      <c r="AJ319">
        <v>2022</v>
      </c>
      <c r="AK319" t="s">
        <v>1194</v>
      </c>
      <c r="AL319" t="s">
        <v>1194</v>
      </c>
      <c r="AM319" s="4" t="s">
        <v>1304</v>
      </c>
      <c r="AN319">
        <v>0</v>
      </c>
      <c r="AO319" t="s">
        <v>1316</v>
      </c>
      <c r="AP319">
        <f t="shared" si="8"/>
        <v>0</v>
      </c>
      <c r="AQ319">
        <v>1</v>
      </c>
      <c r="AR319" t="s">
        <v>1992</v>
      </c>
      <c r="AS319" t="s">
        <v>1996</v>
      </c>
      <c r="AT319" t="s">
        <v>1995</v>
      </c>
      <c r="AU319" t="s">
        <v>1995</v>
      </c>
      <c r="AV319" t="s">
        <v>1995</v>
      </c>
      <c r="AW319" t="s">
        <v>1996</v>
      </c>
      <c r="AX319" t="s">
        <v>1194</v>
      </c>
      <c r="AY319" t="s">
        <v>1996</v>
      </c>
      <c r="AZ319">
        <v>10000</v>
      </c>
      <c r="BA319" t="s">
        <v>1194</v>
      </c>
      <c r="BB319" t="s">
        <v>2016</v>
      </c>
      <c r="BC319" s="3">
        <v>0</v>
      </c>
      <c r="BD319" s="3">
        <v>0</v>
      </c>
      <c r="BE319" s="3">
        <v>8989.2099999999991</v>
      </c>
      <c r="BF319" s="3">
        <v>10914.82</v>
      </c>
      <c r="BG319" s="3">
        <v>150</v>
      </c>
      <c r="BH319" s="3">
        <v>0</v>
      </c>
      <c r="BI319" s="3">
        <v>69946</v>
      </c>
      <c r="BJ319" s="3">
        <v>90000.03</v>
      </c>
      <c r="BK319" s="3">
        <v>0</v>
      </c>
      <c r="BL319" s="3">
        <v>90000.03</v>
      </c>
      <c r="BM319" s="2">
        <f t="shared" ca="1" si="9"/>
        <v>1</v>
      </c>
      <c r="BN319" s="3" t="s">
        <v>2916</v>
      </c>
      <c r="BO319" s="3">
        <v>500000</v>
      </c>
      <c r="BP319" s="3">
        <v>50000</v>
      </c>
      <c r="BQ319" s="3">
        <v>1000000</v>
      </c>
      <c r="BR319" s="3">
        <v>100000</v>
      </c>
      <c r="BS319">
        <v>50000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 t="s">
        <v>2949</v>
      </c>
      <c r="CA319" t="s">
        <v>1194</v>
      </c>
      <c r="CB319" t="s">
        <v>2949</v>
      </c>
    </row>
    <row r="320" spans="1:80" x14ac:dyDescent="0.25">
      <c r="A320">
        <v>319</v>
      </c>
      <c r="B320" t="s">
        <v>2337</v>
      </c>
      <c r="C320" s="1">
        <v>44641</v>
      </c>
      <c r="D320" s="2">
        <v>9</v>
      </c>
      <c r="E320" t="s">
        <v>4</v>
      </c>
      <c r="F320" t="s">
        <v>1310</v>
      </c>
      <c r="G320">
        <v>0</v>
      </c>
      <c r="H320" s="3">
        <v>5000000</v>
      </c>
      <c r="I320" s="3">
        <v>1000000</v>
      </c>
      <c r="J320" s="3">
        <v>0</v>
      </c>
      <c r="K320" s="3">
        <v>0</v>
      </c>
      <c r="L320" s="3" t="s">
        <v>1191</v>
      </c>
      <c r="M320">
        <v>1830270</v>
      </c>
      <c r="N320" t="s">
        <v>632</v>
      </c>
      <c r="P320" t="s">
        <v>27</v>
      </c>
      <c r="Q320" t="s">
        <v>15</v>
      </c>
      <c r="R320">
        <v>33480</v>
      </c>
      <c r="S320" t="s">
        <v>27</v>
      </c>
      <c r="T320" t="s">
        <v>967</v>
      </c>
      <c r="U320">
        <v>1</v>
      </c>
      <c r="V320" t="s">
        <v>989</v>
      </c>
      <c r="W320" t="s">
        <v>1194</v>
      </c>
      <c r="X320" t="s">
        <v>1309</v>
      </c>
      <c r="Y320">
        <v>50000</v>
      </c>
      <c r="Z320" s="2">
        <v>25</v>
      </c>
      <c r="AA320" s="2" t="s">
        <v>1238</v>
      </c>
      <c r="AB320" t="s">
        <v>1238</v>
      </c>
      <c r="AC320">
        <v>720</v>
      </c>
      <c r="AD320" t="s">
        <v>1279</v>
      </c>
      <c r="AE320">
        <v>1</v>
      </c>
      <c r="AF320" t="s">
        <v>1291</v>
      </c>
      <c r="AG320">
        <v>0</v>
      </c>
      <c r="AH320">
        <v>0</v>
      </c>
      <c r="AI320">
        <v>0</v>
      </c>
      <c r="AJ320">
        <v>1925</v>
      </c>
      <c r="AK320" t="s">
        <v>1194</v>
      </c>
      <c r="AL320">
        <v>2020</v>
      </c>
      <c r="AM320" s="4" t="s">
        <v>1308</v>
      </c>
      <c r="AN320">
        <v>0</v>
      </c>
      <c r="AO320" t="s">
        <v>1315</v>
      </c>
      <c r="AP320">
        <f t="shared" si="8"/>
        <v>0</v>
      </c>
      <c r="AQ320">
        <v>1</v>
      </c>
      <c r="AR320" t="s">
        <v>1992</v>
      </c>
      <c r="AS320" t="s">
        <v>1996</v>
      </c>
      <c r="AT320" t="s">
        <v>1995</v>
      </c>
      <c r="AU320" t="s">
        <v>1995</v>
      </c>
      <c r="AV320" t="s">
        <v>1996</v>
      </c>
      <c r="AW320" t="s">
        <v>1995</v>
      </c>
      <c r="AX320" t="s">
        <v>2003</v>
      </c>
      <c r="AY320" t="s">
        <v>1996</v>
      </c>
      <c r="AZ320">
        <v>5618</v>
      </c>
      <c r="BA320" t="s">
        <v>1194</v>
      </c>
      <c r="BB320" t="s">
        <v>1194</v>
      </c>
      <c r="BC320" s="3">
        <v>16227.0779</v>
      </c>
      <c r="BD320" s="3">
        <v>28129.17</v>
      </c>
      <c r="BE320" s="3">
        <v>0</v>
      </c>
      <c r="BF320" s="3">
        <v>0</v>
      </c>
      <c r="BG320" s="3">
        <v>300</v>
      </c>
      <c r="BH320" s="3">
        <v>0</v>
      </c>
      <c r="BI320" s="3">
        <v>25794</v>
      </c>
      <c r="BJ320" s="3">
        <v>70450</v>
      </c>
      <c r="BK320" s="3">
        <v>0</v>
      </c>
      <c r="BL320" s="3">
        <v>70450</v>
      </c>
      <c r="BM320" s="2">
        <f t="shared" ca="1" si="9"/>
        <v>6</v>
      </c>
      <c r="BN320" s="3">
        <v>2000000</v>
      </c>
      <c r="BO320" s="3">
        <v>1000000</v>
      </c>
      <c r="BP320" s="3">
        <v>100000</v>
      </c>
      <c r="BQ320" s="3">
        <v>2000000</v>
      </c>
      <c r="BR320" s="3">
        <v>1000000</v>
      </c>
      <c r="BS320">
        <v>1000000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 t="s">
        <v>2006</v>
      </c>
      <c r="CA320" t="s">
        <v>2006</v>
      </c>
      <c r="CB320" t="s">
        <v>2941</v>
      </c>
    </row>
    <row r="321" spans="1:80" x14ac:dyDescent="0.25">
      <c r="A321">
        <v>320</v>
      </c>
      <c r="B321" t="s">
        <v>2338</v>
      </c>
      <c r="C321" s="1">
        <v>44811</v>
      </c>
      <c r="D321" s="2">
        <v>27</v>
      </c>
      <c r="E321" t="s">
        <v>4</v>
      </c>
      <c r="F321" t="s">
        <v>1311</v>
      </c>
      <c r="G321">
        <v>0</v>
      </c>
      <c r="H321" s="3">
        <v>5240000</v>
      </c>
      <c r="I321" s="3">
        <v>125000</v>
      </c>
      <c r="J321" s="3">
        <v>0</v>
      </c>
      <c r="K321" s="3">
        <v>0</v>
      </c>
      <c r="L321" s="3" t="s">
        <v>1191</v>
      </c>
      <c r="M321">
        <v>1486914</v>
      </c>
      <c r="N321" t="s">
        <v>633</v>
      </c>
      <c r="P321" t="s">
        <v>62</v>
      </c>
      <c r="Q321" t="s">
        <v>19</v>
      </c>
      <c r="R321">
        <v>94114</v>
      </c>
      <c r="S321" t="s">
        <v>62</v>
      </c>
      <c r="T321" t="s">
        <v>975</v>
      </c>
      <c r="U321">
        <v>0</v>
      </c>
      <c r="V321">
        <v>33</v>
      </c>
      <c r="W321" t="s">
        <v>1198</v>
      </c>
      <c r="X321" t="s">
        <v>973</v>
      </c>
      <c r="Y321">
        <v>10000</v>
      </c>
      <c r="Z321" s="2" t="s">
        <v>1194</v>
      </c>
      <c r="AA321" s="2" t="s">
        <v>1238</v>
      </c>
      <c r="AB321" t="s">
        <v>1238</v>
      </c>
      <c r="AC321" t="s">
        <v>1194</v>
      </c>
      <c r="AD321" t="s">
        <v>1279</v>
      </c>
      <c r="AE321">
        <v>1</v>
      </c>
      <c r="AF321" t="s">
        <v>1290</v>
      </c>
      <c r="AG321">
        <v>0</v>
      </c>
      <c r="AH321">
        <v>0</v>
      </c>
      <c r="AI321">
        <v>0</v>
      </c>
      <c r="AJ321">
        <v>1900</v>
      </c>
      <c r="AK321">
        <v>2021</v>
      </c>
      <c r="AL321" t="s">
        <v>1194</v>
      </c>
      <c r="AM321" s="4" t="s">
        <v>1238</v>
      </c>
      <c r="AN321">
        <v>0</v>
      </c>
      <c r="AO321" t="s">
        <v>1317</v>
      </c>
      <c r="AP321">
        <f t="shared" si="8"/>
        <v>0</v>
      </c>
      <c r="AQ321">
        <v>0</v>
      </c>
      <c r="AR321" t="s">
        <v>1993</v>
      </c>
      <c r="AS321" t="s">
        <v>1996</v>
      </c>
      <c r="AT321" t="s">
        <v>1995</v>
      </c>
      <c r="AU321" t="s">
        <v>1996</v>
      </c>
      <c r="AV321" t="s">
        <v>1995</v>
      </c>
      <c r="AW321" t="s">
        <v>1995</v>
      </c>
      <c r="AX321" t="s">
        <v>1194</v>
      </c>
      <c r="AY321" t="s">
        <v>1996</v>
      </c>
      <c r="AZ321">
        <v>5115</v>
      </c>
      <c r="BA321">
        <v>3</v>
      </c>
      <c r="BB321" t="s">
        <v>2014</v>
      </c>
      <c r="BC321" s="3">
        <v>0</v>
      </c>
      <c r="BD321" s="3">
        <v>0</v>
      </c>
      <c r="BE321" s="3">
        <v>23273.86</v>
      </c>
      <c r="BF321" s="3">
        <v>6928.14</v>
      </c>
      <c r="BG321" s="3">
        <v>150</v>
      </c>
      <c r="BH321" s="3">
        <v>0</v>
      </c>
      <c r="BI321" s="3">
        <v>3179.25</v>
      </c>
      <c r="BJ321" s="3">
        <v>33531.25</v>
      </c>
      <c r="BK321" s="3">
        <v>0</v>
      </c>
      <c r="BL321" s="3">
        <v>33531.25</v>
      </c>
      <c r="BM321" s="2">
        <f t="shared" ca="1" si="9"/>
        <v>3</v>
      </c>
      <c r="BN321" s="3">
        <v>2000000</v>
      </c>
      <c r="BO321" s="3">
        <v>500000</v>
      </c>
      <c r="BP321" s="3">
        <v>50000</v>
      </c>
      <c r="BQ321" s="3">
        <v>100000</v>
      </c>
      <c r="BR321" s="3">
        <v>50000</v>
      </c>
      <c r="BS321">
        <v>500000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 t="s">
        <v>2950</v>
      </c>
      <c r="CA321" t="s">
        <v>1194</v>
      </c>
      <c r="CB321" t="s">
        <v>2941</v>
      </c>
    </row>
    <row r="322" spans="1:80" x14ac:dyDescent="0.25">
      <c r="A322">
        <v>321</v>
      </c>
      <c r="B322" t="s">
        <v>2339</v>
      </c>
      <c r="C322" s="1">
        <v>44821</v>
      </c>
      <c r="D322" s="2">
        <v>27</v>
      </c>
      <c r="E322" t="s">
        <v>4</v>
      </c>
      <c r="F322" t="s">
        <v>1311</v>
      </c>
      <c r="G322">
        <v>0</v>
      </c>
      <c r="H322" s="3">
        <v>9250000</v>
      </c>
      <c r="I322" s="3">
        <v>1750000</v>
      </c>
      <c r="J322" s="3">
        <v>0</v>
      </c>
      <c r="K322" s="3">
        <v>0</v>
      </c>
      <c r="L322" s="3" t="s">
        <v>1191</v>
      </c>
      <c r="M322">
        <v>1536341</v>
      </c>
      <c r="N322" t="s">
        <v>634</v>
      </c>
      <c r="P322" t="s">
        <v>518</v>
      </c>
      <c r="Q322" t="s">
        <v>13</v>
      </c>
      <c r="R322">
        <v>2539</v>
      </c>
      <c r="S322" t="s">
        <v>55</v>
      </c>
      <c r="T322" t="s">
        <v>963</v>
      </c>
      <c r="U322">
        <v>0</v>
      </c>
      <c r="V322" t="s">
        <v>1027</v>
      </c>
      <c r="W322" t="s">
        <v>1194</v>
      </c>
      <c r="X322" t="s">
        <v>973</v>
      </c>
      <c r="Y322">
        <v>25000</v>
      </c>
      <c r="Z322" s="2">
        <v>5</v>
      </c>
      <c r="AA322" s="2" t="s">
        <v>1238</v>
      </c>
      <c r="AB322" t="s">
        <v>1238</v>
      </c>
      <c r="AC322">
        <v>907</v>
      </c>
      <c r="AD322" t="s">
        <v>1279</v>
      </c>
      <c r="AE322">
        <v>4</v>
      </c>
      <c r="AF322" t="s">
        <v>1290</v>
      </c>
      <c r="AG322">
        <v>0</v>
      </c>
      <c r="AH322">
        <v>0</v>
      </c>
      <c r="AI322">
        <v>0</v>
      </c>
      <c r="AJ322">
        <v>2020</v>
      </c>
      <c r="AK322" t="s">
        <v>1194</v>
      </c>
      <c r="AL322" t="s">
        <v>1194</v>
      </c>
      <c r="AM322" s="4" t="s">
        <v>1238</v>
      </c>
      <c r="AN322">
        <v>1</v>
      </c>
      <c r="AO322" t="s">
        <v>1315</v>
      </c>
      <c r="AP322">
        <f t="shared" si="8"/>
        <v>0</v>
      </c>
      <c r="AQ322">
        <v>1</v>
      </c>
      <c r="AR322" t="s">
        <v>1992</v>
      </c>
      <c r="AS322" t="s">
        <v>1995</v>
      </c>
      <c r="AT322" t="s">
        <v>1996</v>
      </c>
      <c r="AU322" t="s">
        <v>1995</v>
      </c>
      <c r="AV322" t="s">
        <v>1996</v>
      </c>
      <c r="AW322" t="s">
        <v>1996</v>
      </c>
      <c r="AX322" t="s">
        <v>2006</v>
      </c>
      <c r="AY322" t="s">
        <v>1996</v>
      </c>
      <c r="AZ322">
        <v>8000</v>
      </c>
      <c r="BA322" t="s">
        <v>1194</v>
      </c>
      <c r="BB322" t="s">
        <v>1194</v>
      </c>
      <c r="BC322" s="3">
        <v>15897.907300000001</v>
      </c>
      <c r="BD322" s="3">
        <v>10969.34</v>
      </c>
      <c r="BE322" s="3">
        <v>0</v>
      </c>
      <c r="BF322" s="3">
        <v>0</v>
      </c>
      <c r="BG322" s="3">
        <v>0</v>
      </c>
      <c r="BH322" s="3">
        <v>0</v>
      </c>
      <c r="BI322" s="3">
        <v>27583</v>
      </c>
      <c r="BJ322" s="3">
        <v>54450</v>
      </c>
      <c r="BK322" s="3">
        <v>0</v>
      </c>
      <c r="BL322" s="3">
        <v>54450</v>
      </c>
      <c r="BM322" s="2">
        <f t="shared" ca="1" si="9"/>
        <v>3</v>
      </c>
      <c r="BN322" s="3" t="s">
        <v>2916</v>
      </c>
      <c r="BO322" s="3">
        <v>100000</v>
      </c>
      <c r="BP322" s="3">
        <v>100000</v>
      </c>
      <c r="BQ322" s="3">
        <v>1000000</v>
      </c>
      <c r="BR322" s="3">
        <v>100000</v>
      </c>
      <c r="BS322">
        <v>2000000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 t="s">
        <v>2006</v>
      </c>
      <c r="CA322" t="s">
        <v>2006</v>
      </c>
      <c r="CB322" t="s">
        <v>2006</v>
      </c>
    </row>
    <row r="323" spans="1:80" x14ac:dyDescent="0.25">
      <c r="A323">
        <v>322</v>
      </c>
      <c r="B323" t="s">
        <v>2340</v>
      </c>
      <c r="C323" s="1">
        <v>44762</v>
      </c>
      <c r="D323" s="2">
        <v>21</v>
      </c>
      <c r="E323" t="s">
        <v>4</v>
      </c>
      <c r="F323" t="s">
        <v>1311</v>
      </c>
      <c r="G323">
        <v>1</v>
      </c>
      <c r="H323" s="3">
        <v>1222530</v>
      </c>
      <c r="I323" s="3">
        <v>120000</v>
      </c>
      <c r="J323" s="3">
        <v>0</v>
      </c>
      <c r="K323" s="3">
        <v>0</v>
      </c>
      <c r="L323" s="3" t="s">
        <v>1191</v>
      </c>
      <c r="M323">
        <v>1498700</v>
      </c>
      <c r="N323" t="s">
        <v>635</v>
      </c>
      <c r="P323" t="s">
        <v>636</v>
      </c>
      <c r="Q323" t="s">
        <v>15</v>
      </c>
      <c r="R323">
        <v>32456</v>
      </c>
      <c r="S323" t="s">
        <v>89</v>
      </c>
      <c r="T323" t="s">
        <v>964</v>
      </c>
      <c r="U323">
        <v>1</v>
      </c>
      <c r="V323" t="s">
        <v>1097</v>
      </c>
      <c r="W323" t="s">
        <v>1194</v>
      </c>
      <c r="X323" t="s">
        <v>1309</v>
      </c>
      <c r="Y323">
        <v>10000</v>
      </c>
      <c r="Z323" s="2">
        <v>5.000040899</v>
      </c>
      <c r="AA323" s="2" t="s">
        <v>1238</v>
      </c>
      <c r="AB323" t="s">
        <v>1238</v>
      </c>
      <c r="AC323">
        <v>785</v>
      </c>
      <c r="AD323" t="s">
        <v>1279</v>
      </c>
      <c r="AE323">
        <v>5</v>
      </c>
      <c r="AF323" t="s">
        <v>1291</v>
      </c>
      <c r="AG323">
        <v>0</v>
      </c>
      <c r="AH323">
        <v>0</v>
      </c>
      <c r="AI323">
        <v>0</v>
      </c>
      <c r="AJ323">
        <v>2004</v>
      </c>
      <c r="AK323" t="s">
        <v>1194</v>
      </c>
      <c r="AL323" t="s">
        <v>1194</v>
      </c>
      <c r="AM323" s="4" t="s">
        <v>1238</v>
      </c>
      <c r="AN323">
        <v>0</v>
      </c>
      <c r="AO323" t="s">
        <v>1315</v>
      </c>
      <c r="AP323">
        <f t="shared" si="8"/>
        <v>0</v>
      </c>
      <c r="AQ323">
        <v>1</v>
      </c>
      <c r="AR323" t="s">
        <v>1992</v>
      </c>
      <c r="AS323" t="s">
        <v>1995</v>
      </c>
      <c r="AT323" t="s">
        <v>1996</v>
      </c>
      <c r="AU323" t="s">
        <v>1996</v>
      </c>
      <c r="AV323" t="s">
        <v>1996</v>
      </c>
      <c r="AW323" t="s">
        <v>1995</v>
      </c>
      <c r="AX323" t="s">
        <v>2006</v>
      </c>
      <c r="AY323" t="s">
        <v>1996</v>
      </c>
      <c r="AZ323">
        <v>2924</v>
      </c>
      <c r="BA323" t="s">
        <v>1194</v>
      </c>
      <c r="BB323" t="s">
        <v>1194</v>
      </c>
      <c r="BC323" s="3">
        <v>2745.9231</v>
      </c>
      <c r="BD323" s="3">
        <v>1589.13</v>
      </c>
      <c r="BE323" s="3">
        <v>0</v>
      </c>
      <c r="BF323" s="3">
        <v>0</v>
      </c>
      <c r="BG323" s="3">
        <v>200</v>
      </c>
      <c r="BH323" s="3">
        <v>0</v>
      </c>
      <c r="BI323" s="3">
        <v>6705</v>
      </c>
      <c r="BJ323" s="3">
        <v>11240</v>
      </c>
      <c r="BK323" s="3">
        <v>0</v>
      </c>
      <c r="BL323" s="3">
        <v>11240</v>
      </c>
      <c r="BM323" s="2">
        <f t="shared" ca="1" si="9"/>
        <v>6</v>
      </c>
      <c r="BN323" s="3">
        <v>250000</v>
      </c>
      <c r="BO323" s="3">
        <v>100000</v>
      </c>
      <c r="BP323" s="3">
        <v>50000</v>
      </c>
      <c r="BQ323" s="3">
        <v>1000000</v>
      </c>
      <c r="BR323" s="3">
        <v>250000</v>
      </c>
      <c r="BS323">
        <v>50000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 t="s">
        <v>2942</v>
      </c>
      <c r="CA323" t="s">
        <v>2939</v>
      </c>
      <c r="CB323" t="s">
        <v>2941</v>
      </c>
    </row>
    <row r="324" spans="1:80" x14ac:dyDescent="0.25">
      <c r="A324">
        <v>323</v>
      </c>
      <c r="B324" t="s">
        <v>2341</v>
      </c>
      <c r="C324" s="1">
        <v>44762</v>
      </c>
      <c r="D324" s="2">
        <v>21</v>
      </c>
      <c r="E324" t="s">
        <v>4</v>
      </c>
      <c r="F324" t="s">
        <v>1311</v>
      </c>
      <c r="G324">
        <v>0</v>
      </c>
      <c r="H324" s="3">
        <v>1500000</v>
      </c>
      <c r="I324" s="3">
        <v>150000</v>
      </c>
      <c r="J324" s="3">
        <v>0</v>
      </c>
      <c r="K324" s="3">
        <v>0</v>
      </c>
      <c r="L324" s="3" t="s">
        <v>1191</v>
      </c>
      <c r="M324">
        <v>1498724</v>
      </c>
      <c r="N324" t="s">
        <v>637</v>
      </c>
      <c r="P324" t="s">
        <v>636</v>
      </c>
      <c r="Q324" t="s">
        <v>15</v>
      </c>
      <c r="R324">
        <v>32456</v>
      </c>
      <c r="S324" t="s">
        <v>89</v>
      </c>
      <c r="T324" t="s">
        <v>964</v>
      </c>
      <c r="U324">
        <v>1</v>
      </c>
      <c r="V324" t="s">
        <v>1097</v>
      </c>
      <c r="W324" t="s">
        <v>1194</v>
      </c>
      <c r="X324" t="s">
        <v>1309</v>
      </c>
      <c r="Y324">
        <v>10000</v>
      </c>
      <c r="Z324" s="2">
        <v>5</v>
      </c>
      <c r="AA324" s="2" t="s">
        <v>1238</v>
      </c>
      <c r="AB324" t="s">
        <v>1238</v>
      </c>
      <c r="AC324">
        <v>785</v>
      </c>
      <c r="AD324" t="s">
        <v>1279</v>
      </c>
      <c r="AE324">
        <v>5</v>
      </c>
      <c r="AF324" t="s">
        <v>1292</v>
      </c>
      <c r="AG324">
        <v>0</v>
      </c>
      <c r="AH324">
        <v>0</v>
      </c>
      <c r="AI324">
        <v>0</v>
      </c>
      <c r="AJ324">
        <v>2005</v>
      </c>
      <c r="AK324">
        <v>2020</v>
      </c>
      <c r="AL324">
        <v>2020</v>
      </c>
      <c r="AM324" s="4" t="s">
        <v>1238</v>
      </c>
      <c r="AN324">
        <v>1</v>
      </c>
      <c r="AO324" t="s">
        <v>1317</v>
      </c>
      <c r="AP324">
        <f t="shared" ref="AP324:AP387" si="10">AI324</f>
        <v>0</v>
      </c>
      <c r="AQ324">
        <v>0</v>
      </c>
      <c r="AR324" t="s">
        <v>1993</v>
      </c>
      <c r="AS324" t="s">
        <v>1995</v>
      </c>
      <c r="AT324" t="s">
        <v>1996</v>
      </c>
      <c r="AU324" t="s">
        <v>1995</v>
      </c>
      <c r="AV324" t="s">
        <v>1996</v>
      </c>
      <c r="AW324" t="s">
        <v>1995</v>
      </c>
      <c r="AX324" t="s">
        <v>2006</v>
      </c>
      <c r="AY324" t="s">
        <v>1996</v>
      </c>
      <c r="AZ324">
        <v>3491</v>
      </c>
      <c r="BA324" t="s">
        <v>1194</v>
      </c>
      <c r="BB324" t="s">
        <v>1194</v>
      </c>
      <c r="BC324" s="3">
        <v>2961.4369999999999</v>
      </c>
      <c r="BD324" s="3">
        <v>1764.74</v>
      </c>
      <c r="BE324" s="3">
        <v>0</v>
      </c>
      <c r="BF324" s="3">
        <v>0</v>
      </c>
      <c r="BG324" s="3">
        <v>200</v>
      </c>
      <c r="BH324" s="3">
        <v>0</v>
      </c>
      <c r="BI324" s="3">
        <v>7784</v>
      </c>
      <c r="BJ324" s="3">
        <v>12710</v>
      </c>
      <c r="BK324" s="3">
        <v>0</v>
      </c>
      <c r="BL324" s="3">
        <v>12710</v>
      </c>
      <c r="BM324" s="2">
        <f t="shared" ref="BM324:BM387" ca="1" si="11">IF(ROUND((6*RAND()),0)=0,1,(ROUND((6*RAND()),0)))</f>
        <v>0</v>
      </c>
      <c r="BN324" s="3">
        <v>100000</v>
      </c>
      <c r="BO324" s="3">
        <v>2000000</v>
      </c>
      <c r="BP324" s="3" t="s">
        <v>2922</v>
      </c>
      <c r="BQ324" s="3">
        <v>50000</v>
      </c>
      <c r="BR324" s="3" t="s">
        <v>2916</v>
      </c>
      <c r="BS324">
        <v>2000000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 t="s">
        <v>2943</v>
      </c>
      <c r="CA324" t="s">
        <v>2939</v>
      </c>
      <c r="CB324" t="s">
        <v>2941</v>
      </c>
    </row>
    <row r="325" spans="1:80" x14ac:dyDescent="0.25">
      <c r="A325">
        <v>324</v>
      </c>
      <c r="B325" t="s">
        <v>2342</v>
      </c>
      <c r="C325" s="1">
        <v>44762</v>
      </c>
      <c r="D325" s="2">
        <v>21</v>
      </c>
      <c r="E325" t="s">
        <v>5</v>
      </c>
      <c r="F325" t="s">
        <v>1310</v>
      </c>
      <c r="G325">
        <v>0</v>
      </c>
      <c r="H325" s="3">
        <v>1700000</v>
      </c>
      <c r="I325" s="3">
        <v>170000</v>
      </c>
      <c r="J325" s="3">
        <v>0</v>
      </c>
      <c r="K325" s="3">
        <v>0</v>
      </c>
      <c r="L325" s="3" t="s">
        <v>1191</v>
      </c>
      <c r="M325">
        <v>1498653</v>
      </c>
      <c r="N325" t="s">
        <v>638</v>
      </c>
      <c r="P325" t="s">
        <v>636</v>
      </c>
      <c r="Q325" t="s">
        <v>15</v>
      </c>
      <c r="R325">
        <v>32457</v>
      </c>
      <c r="S325" t="s">
        <v>89</v>
      </c>
      <c r="T325" t="s">
        <v>966</v>
      </c>
      <c r="U325">
        <v>1</v>
      </c>
      <c r="V325" t="s">
        <v>1126</v>
      </c>
      <c r="W325" t="s">
        <v>1194</v>
      </c>
      <c r="X325" t="s">
        <v>1309</v>
      </c>
      <c r="Y325">
        <v>10000</v>
      </c>
      <c r="Z325" s="2">
        <v>5</v>
      </c>
      <c r="AA325" s="2" t="s">
        <v>1238</v>
      </c>
      <c r="AB325" t="s">
        <v>1238</v>
      </c>
      <c r="AC325">
        <v>785</v>
      </c>
      <c r="AD325" t="s">
        <v>1279</v>
      </c>
      <c r="AE325">
        <v>5</v>
      </c>
      <c r="AF325" t="s">
        <v>1292</v>
      </c>
      <c r="AG325">
        <v>0</v>
      </c>
      <c r="AH325">
        <v>0</v>
      </c>
      <c r="AI325">
        <v>0</v>
      </c>
      <c r="AJ325">
        <v>2005</v>
      </c>
      <c r="AK325">
        <v>2005</v>
      </c>
      <c r="AL325" t="s">
        <v>1194</v>
      </c>
      <c r="AM325" s="4" t="s">
        <v>1305</v>
      </c>
      <c r="AN325">
        <v>1</v>
      </c>
      <c r="AO325" t="s">
        <v>1316</v>
      </c>
      <c r="AP325">
        <f t="shared" si="10"/>
        <v>0</v>
      </c>
      <c r="AQ325">
        <v>1</v>
      </c>
      <c r="AR325" t="s">
        <v>1992</v>
      </c>
      <c r="AS325" t="s">
        <v>1996</v>
      </c>
      <c r="AT325" t="s">
        <v>1995</v>
      </c>
      <c r="AU325" t="s">
        <v>1996</v>
      </c>
      <c r="AV325" t="s">
        <v>1996</v>
      </c>
      <c r="AW325" t="s">
        <v>1995</v>
      </c>
      <c r="AX325" t="s">
        <v>2006</v>
      </c>
      <c r="AY325" t="s">
        <v>1996</v>
      </c>
      <c r="AZ325">
        <v>4229</v>
      </c>
      <c r="BA325" t="s">
        <v>1194</v>
      </c>
      <c r="BB325" t="s">
        <v>1194</v>
      </c>
      <c r="BC325" s="3">
        <v>3363.4960999999998</v>
      </c>
      <c r="BD325" s="3">
        <v>1672.87</v>
      </c>
      <c r="BE325" s="3">
        <v>0</v>
      </c>
      <c r="BF325" s="3">
        <v>0</v>
      </c>
      <c r="BG325" s="3">
        <v>200</v>
      </c>
      <c r="BH325" s="3">
        <v>0</v>
      </c>
      <c r="BI325" s="3">
        <v>8354</v>
      </c>
      <c r="BJ325" s="3">
        <v>13590</v>
      </c>
      <c r="BK325" s="3">
        <v>0</v>
      </c>
      <c r="BL325" s="3">
        <v>13590</v>
      </c>
      <c r="BM325" s="2">
        <f t="shared" ca="1" si="11"/>
        <v>5</v>
      </c>
      <c r="BN325" s="3">
        <v>250000</v>
      </c>
      <c r="BO325" s="3">
        <v>25000</v>
      </c>
      <c r="BP325" s="3">
        <v>100000</v>
      </c>
      <c r="BQ325" s="3">
        <v>1000000</v>
      </c>
      <c r="BR325" s="3">
        <v>250000</v>
      </c>
      <c r="BS325">
        <v>500000</v>
      </c>
      <c r="BT325">
        <v>0</v>
      </c>
      <c r="BU325">
        <v>0</v>
      </c>
      <c r="BV325">
        <v>0</v>
      </c>
      <c r="BW325">
        <v>1</v>
      </c>
      <c r="BX325">
        <v>1</v>
      </c>
      <c r="BY325">
        <v>0</v>
      </c>
      <c r="BZ325" t="s">
        <v>2943</v>
      </c>
      <c r="CA325" t="s">
        <v>2939</v>
      </c>
      <c r="CB325" t="s">
        <v>2941</v>
      </c>
    </row>
    <row r="326" spans="1:80" x14ac:dyDescent="0.25">
      <c r="A326">
        <v>325</v>
      </c>
      <c r="B326" t="s">
        <v>2343</v>
      </c>
      <c r="C326" s="1">
        <v>44750</v>
      </c>
      <c r="D326" s="2">
        <v>21</v>
      </c>
      <c r="E326" t="s">
        <v>4</v>
      </c>
      <c r="F326" t="s">
        <v>1311</v>
      </c>
      <c r="G326">
        <v>0</v>
      </c>
      <c r="H326" s="3">
        <v>4500000</v>
      </c>
      <c r="I326" s="3">
        <v>0</v>
      </c>
      <c r="J326" s="3">
        <v>0</v>
      </c>
      <c r="K326" s="3">
        <v>0</v>
      </c>
      <c r="L326" s="3" t="s">
        <v>1191</v>
      </c>
      <c r="M326">
        <v>93147</v>
      </c>
      <c r="N326" t="s">
        <v>639</v>
      </c>
      <c r="P326" t="s">
        <v>640</v>
      </c>
      <c r="Q326" t="s">
        <v>16</v>
      </c>
      <c r="R326">
        <v>8403</v>
      </c>
      <c r="S326" t="s">
        <v>30</v>
      </c>
      <c r="T326" t="s">
        <v>970</v>
      </c>
      <c r="U326">
        <v>1</v>
      </c>
      <c r="V326" t="s">
        <v>1127</v>
      </c>
      <c r="W326" t="s">
        <v>1194</v>
      </c>
      <c r="X326" t="s">
        <v>1309</v>
      </c>
      <c r="Y326">
        <v>25000</v>
      </c>
      <c r="Z326" s="2">
        <v>2</v>
      </c>
      <c r="AA326" s="2" t="s">
        <v>1238</v>
      </c>
      <c r="AB326" t="s">
        <v>1238</v>
      </c>
      <c r="AC326">
        <v>721</v>
      </c>
      <c r="AD326" t="s">
        <v>1279</v>
      </c>
      <c r="AE326">
        <v>4</v>
      </c>
      <c r="AF326" t="s">
        <v>1291</v>
      </c>
      <c r="AG326">
        <v>0</v>
      </c>
      <c r="AH326">
        <v>0</v>
      </c>
      <c r="AI326">
        <v>0</v>
      </c>
      <c r="AJ326">
        <v>2022</v>
      </c>
      <c r="AK326" t="s">
        <v>1194</v>
      </c>
      <c r="AL326" t="s">
        <v>1194</v>
      </c>
      <c r="AM326" s="4" t="s">
        <v>1238</v>
      </c>
      <c r="AN326">
        <v>1</v>
      </c>
      <c r="AO326" t="s">
        <v>1316</v>
      </c>
      <c r="AP326">
        <f t="shared" si="10"/>
        <v>0</v>
      </c>
      <c r="AQ326">
        <v>0</v>
      </c>
      <c r="AR326" t="s">
        <v>1993</v>
      </c>
      <c r="AS326" t="s">
        <v>1996</v>
      </c>
      <c r="AT326" t="s">
        <v>1996</v>
      </c>
      <c r="AU326" t="s">
        <v>1995</v>
      </c>
      <c r="AV326" t="s">
        <v>1996</v>
      </c>
      <c r="AW326" t="s">
        <v>1995</v>
      </c>
      <c r="AX326" t="s">
        <v>2006</v>
      </c>
      <c r="AY326" t="s">
        <v>1996</v>
      </c>
      <c r="AZ326">
        <v>9000</v>
      </c>
      <c r="BA326" t="s">
        <v>1194</v>
      </c>
      <c r="BB326" t="s">
        <v>1194</v>
      </c>
      <c r="BC326" s="3">
        <v>7910.1238999999996</v>
      </c>
      <c r="BD326" s="3">
        <v>6757.54</v>
      </c>
      <c r="BE326" s="3">
        <v>0</v>
      </c>
      <c r="BF326" s="3">
        <v>0</v>
      </c>
      <c r="BG326" s="3">
        <v>0</v>
      </c>
      <c r="BH326" s="3">
        <v>0</v>
      </c>
      <c r="BI326" s="3">
        <v>8057</v>
      </c>
      <c r="BJ326" s="3">
        <v>22725</v>
      </c>
      <c r="BK326" s="3">
        <v>300</v>
      </c>
      <c r="BL326" s="3">
        <v>23025</v>
      </c>
      <c r="BM326" s="2">
        <f t="shared" ca="1" si="11"/>
        <v>5</v>
      </c>
      <c r="BN326" s="3">
        <v>2000000</v>
      </c>
      <c r="BO326" s="3">
        <v>1000000</v>
      </c>
      <c r="BP326" s="3">
        <v>50000</v>
      </c>
      <c r="BQ326" s="3">
        <v>500000</v>
      </c>
      <c r="BR326" s="3" t="s">
        <v>2916</v>
      </c>
      <c r="BS326">
        <v>1000000</v>
      </c>
      <c r="BT326">
        <v>0</v>
      </c>
      <c r="BU326">
        <v>0</v>
      </c>
      <c r="BV326">
        <v>0</v>
      </c>
      <c r="BW326">
        <v>1</v>
      </c>
      <c r="BX326">
        <v>0</v>
      </c>
      <c r="BY326">
        <v>0</v>
      </c>
      <c r="BZ326" t="s">
        <v>2006</v>
      </c>
      <c r="CA326" t="s">
        <v>2006</v>
      </c>
      <c r="CB326" t="s">
        <v>2006</v>
      </c>
    </row>
    <row r="327" spans="1:80" x14ac:dyDescent="0.25">
      <c r="A327">
        <v>326</v>
      </c>
      <c r="B327" t="s">
        <v>2344</v>
      </c>
      <c r="C327" s="1">
        <v>44917</v>
      </c>
      <c r="D327" s="2">
        <v>36</v>
      </c>
      <c r="E327" t="s">
        <v>4</v>
      </c>
      <c r="F327" t="s">
        <v>1311</v>
      </c>
      <c r="G327">
        <v>0</v>
      </c>
      <c r="H327" s="3">
        <v>3170000</v>
      </c>
      <c r="I327" s="3">
        <v>47000</v>
      </c>
      <c r="J327" s="3">
        <v>0</v>
      </c>
      <c r="K327" s="3">
        <v>0</v>
      </c>
      <c r="L327" s="3" t="s">
        <v>1191</v>
      </c>
      <c r="M327">
        <v>1510850</v>
      </c>
      <c r="N327" t="s">
        <v>641</v>
      </c>
      <c r="P327" t="s">
        <v>642</v>
      </c>
      <c r="Q327" t="s">
        <v>16</v>
      </c>
      <c r="R327">
        <v>8701</v>
      </c>
      <c r="S327" t="s">
        <v>70</v>
      </c>
      <c r="T327" t="s">
        <v>968</v>
      </c>
      <c r="U327">
        <v>0</v>
      </c>
      <c r="V327" t="s">
        <v>1128</v>
      </c>
      <c r="W327" t="s">
        <v>1194</v>
      </c>
      <c r="X327" t="s">
        <v>973</v>
      </c>
      <c r="Y327">
        <v>10000</v>
      </c>
      <c r="Z327" s="2">
        <v>2</v>
      </c>
      <c r="AA327" s="2" t="s">
        <v>1238</v>
      </c>
      <c r="AB327" t="s">
        <v>1238</v>
      </c>
      <c r="AC327">
        <v>693</v>
      </c>
      <c r="AD327" t="s">
        <v>1279</v>
      </c>
      <c r="AE327">
        <v>5</v>
      </c>
      <c r="AF327" t="s">
        <v>1290</v>
      </c>
      <c r="AG327">
        <v>0</v>
      </c>
      <c r="AH327">
        <v>0</v>
      </c>
      <c r="AI327">
        <v>0</v>
      </c>
      <c r="AJ327">
        <v>2005</v>
      </c>
      <c r="AK327" t="s">
        <v>1194</v>
      </c>
      <c r="AL327">
        <v>2021</v>
      </c>
      <c r="AM327" s="4" t="s">
        <v>1238</v>
      </c>
      <c r="AN327">
        <v>0</v>
      </c>
      <c r="AO327" t="s">
        <v>1315</v>
      </c>
      <c r="AP327">
        <f t="shared" si="10"/>
        <v>0</v>
      </c>
      <c r="AQ327">
        <v>0</v>
      </c>
      <c r="AR327" t="s">
        <v>1993</v>
      </c>
      <c r="AS327" t="s">
        <v>1996</v>
      </c>
      <c r="AT327" t="s">
        <v>1995</v>
      </c>
      <c r="AU327" t="s">
        <v>1996</v>
      </c>
      <c r="AV327" t="s">
        <v>1995</v>
      </c>
      <c r="AW327" t="s">
        <v>1996</v>
      </c>
      <c r="AX327" t="s">
        <v>2006</v>
      </c>
      <c r="AY327" t="s">
        <v>1996</v>
      </c>
      <c r="AZ327">
        <v>7764</v>
      </c>
      <c r="BA327" t="s">
        <v>1194</v>
      </c>
      <c r="BB327" t="s">
        <v>1194</v>
      </c>
      <c r="BC327" s="3">
        <v>7733.1094999999996</v>
      </c>
      <c r="BD327" s="3">
        <v>1062</v>
      </c>
      <c r="BE327" s="3">
        <v>0</v>
      </c>
      <c r="BF327" s="3">
        <v>0</v>
      </c>
      <c r="BG327" s="3">
        <v>150</v>
      </c>
      <c r="BH327" s="3">
        <v>0</v>
      </c>
      <c r="BI327" s="3">
        <v>7140</v>
      </c>
      <c r="BJ327" s="3">
        <v>16085</v>
      </c>
      <c r="BK327" s="3">
        <v>0</v>
      </c>
      <c r="BL327" s="3">
        <v>16085</v>
      </c>
      <c r="BM327" s="2">
        <f t="shared" ca="1" si="11"/>
        <v>5</v>
      </c>
      <c r="BN327" s="3">
        <v>2000000</v>
      </c>
      <c r="BO327" s="3">
        <v>1000000</v>
      </c>
      <c r="BP327" s="3">
        <v>200000</v>
      </c>
      <c r="BQ327" s="3">
        <v>100000</v>
      </c>
      <c r="BR327" s="3">
        <v>50000</v>
      </c>
      <c r="BS327">
        <v>100000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 t="s">
        <v>2942</v>
      </c>
      <c r="CA327" t="s">
        <v>2006</v>
      </c>
      <c r="CB327" t="s">
        <v>2941</v>
      </c>
    </row>
    <row r="328" spans="1:80" x14ac:dyDescent="0.25">
      <c r="A328">
        <v>327</v>
      </c>
      <c r="B328" t="s">
        <v>2345</v>
      </c>
      <c r="C328" s="1">
        <v>44818</v>
      </c>
      <c r="D328" s="2">
        <v>27</v>
      </c>
      <c r="E328" t="s">
        <v>5</v>
      </c>
      <c r="F328" t="s">
        <v>1310</v>
      </c>
      <c r="G328">
        <v>0</v>
      </c>
      <c r="H328" s="3">
        <v>6000000</v>
      </c>
      <c r="I328" s="3">
        <v>422000</v>
      </c>
      <c r="J328" s="3">
        <v>0</v>
      </c>
      <c r="K328" s="3">
        <v>0</v>
      </c>
      <c r="L328" s="3" t="s">
        <v>1191</v>
      </c>
      <c r="M328">
        <v>1725653</v>
      </c>
      <c r="N328" t="s">
        <v>643</v>
      </c>
      <c r="P328" t="s">
        <v>62</v>
      </c>
      <c r="Q328" t="s">
        <v>19</v>
      </c>
      <c r="R328">
        <v>94115</v>
      </c>
      <c r="S328" t="s">
        <v>62</v>
      </c>
      <c r="T328" t="s">
        <v>975</v>
      </c>
      <c r="U328">
        <v>0</v>
      </c>
      <c r="V328">
        <v>33</v>
      </c>
      <c r="W328" t="s">
        <v>1198</v>
      </c>
      <c r="X328" t="s">
        <v>973</v>
      </c>
      <c r="Y328">
        <v>10000</v>
      </c>
      <c r="Z328" s="2" t="s">
        <v>1194</v>
      </c>
      <c r="AA328" s="2" t="s">
        <v>1238</v>
      </c>
      <c r="AB328" t="s">
        <v>1238</v>
      </c>
      <c r="AC328" t="s">
        <v>1194</v>
      </c>
      <c r="AD328" t="s">
        <v>1279</v>
      </c>
      <c r="AE328">
        <v>1</v>
      </c>
      <c r="AF328" t="s">
        <v>1290</v>
      </c>
      <c r="AG328">
        <v>0</v>
      </c>
      <c r="AH328">
        <v>0</v>
      </c>
      <c r="AI328">
        <v>0</v>
      </c>
      <c r="AJ328">
        <v>1906</v>
      </c>
      <c r="AK328">
        <v>2021</v>
      </c>
      <c r="AL328">
        <v>2021</v>
      </c>
      <c r="AM328" s="4" t="s">
        <v>1304</v>
      </c>
      <c r="AN328">
        <v>0</v>
      </c>
      <c r="AO328" t="s">
        <v>1315</v>
      </c>
      <c r="AP328">
        <f t="shared" si="10"/>
        <v>0</v>
      </c>
      <c r="AQ328">
        <v>1</v>
      </c>
      <c r="AR328" t="s">
        <v>1992</v>
      </c>
      <c r="AS328" t="s">
        <v>1995</v>
      </c>
      <c r="AT328" t="s">
        <v>1996</v>
      </c>
      <c r="AU328" t="s">
        <v>1996</v>
      </c>
      <c r="AV328" t="s">
        <v>1995</v>
      </c>
      <c r="AW328" t="s">
        <v>1995</v>
      </c>
      <c r="AX328" t="s">
        <v>1194</v>
      </c>
      <c r="AY328" t="s">
        <v>1996</v>
      </c>
      <c r="AZ328">
        <v>4352</v>
      </c>
      <c r="BA328" t="s">
        <v>1194</v>
      </c>
      <c r="BB328" t="s">
        <v>2014</v>
      </c>
      <c r="BC328" s="3">
        <v>0</v>
      </c>
      <c r="BD328" s="3">
        <v>0</v>
      </c>
      <c r="BE328" s="3">
        <v>41579.54</v>
      </c>
      <c r="BF328" s="3">
        <v>7763.56</v>
      </c>
      <c r="BG328" s="3">
        <v>150</v>
      </c>
      <c r="BH328" s="3">
        <v>0</v>
      </c>
      <c r="BI328" s="3">
        <v>0</v>
      </c>
      <c r="BJ328" s="3">
        <v>49493.1</v>
      </c>
      <c r="BK328" s="3">
        <v>0</v>
      </c>
      <c r="BL328" s="3">
        <v>49493.1</v>
      </c>
      <c r="BM328" s="2">
        <f t="shared" ca="1" si="11"/>
        <v>2</v>
      </c>
      <c r="BN328" s="3">
        <v>100000</v>
      </c>
      <c r="BO328" s="3">
        <v>50000</v>
      </c>
      <c r="BP328" s="3">
        <v>100000</v>
      </c>
      <c r="BQ328" s="3">
        <v>100000</v>
      </c>
      <c r="BR328" s="3">
        <v>250000</v>
      </c>
      <c r="BS328">
        <v>50000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 t="s">
        <v>2956</v>
      </c>
      <c r="CA328" t="s">
        <v>1194</v>
      </c>
      <c r="CB328" t="s">
        <v>2941</v>
      </c>
    </row>
    <row r="329" spans="1:80" x14ac:dyDescent="0.25">
      <c r="A329">
        <v>328</v>
      </c>
      <c r="B329" t="s">
        <v>2346</v>
      </c>
      <c r="C329" s="1">
        <v>44895</v>
      </c>
      <c r="D329" s="2">
        <v>33</v>
      </c>
      <c r="E329" t="s">
        <v>4</v>
      </c>
      <c r="F329" t="s">
        <v>1311</v>
      </c>
      <c r="G329">
        <v>0</v>
      </c>
      <c r="H329" s="3">
        <v>2000000</v>
      </c>
      <c r="I329" s="3">
        <v>200000</v>
      </c>
      <c r="J329" s="3">
        <v>0</v>
      </c>
      <c r="K329" s="3">
        <v>0</v>
      </c>
      <c r="L329" s="3" t="s">
        <v>1191</v>
      </c>
      <c r="M329">
        <v>75087</v>
      </c>
      <c r="N329" t="s">
        <v>644</v>
      </c>
      <c r="P329" t="s">
        <v>253</v>
      </c>
      <c r="Q329" t="s">
        <v>15</v>
      </c>
      <c r="R329">
        <v>33455</v>
      </c>
      <c r="S329" t="s">
        <v>61</v>
      </c>
      <c r="T329" t="s">
        <v>967</v>
      </c>
      <c r="U329">
        <v>1</v>
      </c>
      <c r="V329" t="s">
        <v>1037</v>
      </c>
      <c r="W329" t="s">
        <v>1194</v>
      </c>
      <c r="X329" t="s">
        <v>1309</v>
      </c>
      <c r="Y329">
        <v>250000</v>
      </c>
      <c r="Z329" s="2">
        <v>25</v>
      </c>
      <c r="AA329" s="2" t="s">
        <v>1238</v>
      </c>
      <c r="AB329" t="s">
        <v>1238</v>
      </c>
      <c r="AC329">
        <v>791</v>
      </c>
      <c r="AD329" t="s">
        <v>1280</v>
      </c>
      <c r="AE329">
        <v>4</v>
      </c>
      <c r="AF329" t="s">
        <v>1290</v>
      </c>
      <c r="AG329">
        <v>0</v>
      </c>
      <c r="AH329">
        <v>0</v>
      </c>
      <c r="AI329">
        <v>0</v>
      </c>
      <c r="AJ329">
        <v>2001</v>
      </c>
      <c r="AK329" t="s">
        <v>1194</v>
      </c>
      <c r="AL329" t="s">
        <v>1194</v>
      </c>
      <c r="AM329" s="4" t="s">
        <v>1238</v>
      </c>
      <c r="AN329">
        <v>1</v>
      </c>
      <c r="AO329" t="s">
        <v>1317</v>
      </c>
      <c r="AP329">
        <f t="shared" si="10"/>
        <v>0</v>
      </c>
      <c r="AQ329">
        <v>1</v>
      </c>
      <c r="AR329" t="s">
        <v>1992</v>
      </c>
      <c r="AS329" t="s">
        <v>1996</v>
      </c>
      <c r="AT329" t="s">
        <v>1995</v>
      </c>
      <c r="AU329" t="s">
        <v>1996</v>
      </c>
      <c r="AV329" t="s">
        <v>1996</v>
      </c>
      <c r="AW329" t="s">
        <v>1995</v>
      </c>
      <c r="AX329" t="s">
        <v>2007</v>
      </c>
      <c r="AY329" t="s">
        <v>1995</v>
      </c>
      <c r="AZ329">
        <v>10000</v>
      </c>
      <c r="BA329" t="s">
        <v>1194</v>
      </c>
      <c r="BB329" t="s">
        <v>1194</v>
      </c>
      <c r="BC329" s="3">
        <v>4292.6859000000004</v>
      </c>
      <c r="BD329" s="3">
        <v>4844.46</v>
      </c>
      <c r="BE329" s="3">
        <v>0</v>
      </c>
      <c r="BF329" s="3">
        <v>0</v>
      </c>
      <c r="BG329" s="3">
        <v>300</v>
      </c>
      <c r="BH329" s="3">
        <v>0</v>
      </c>
      <c r="BI329" s="3">
        <v>52859</v>
      </c>
      <c r="BJ329" s="3">
        <v>62296</v>
      </c>
      <c r="BK329" s="3">
        <v>0</v>
      </c>
      <c r="BL329" s="3">
        <v>62296</v>
      </c>
      <c r="BM329" s="2">
        <f t="shared" ca="1" si="11"/>
        <v>5</v>
      </c>
      <c r="BN329" s="3">
        <v>2000000</v>
      </c>
      <c r="BO329" s="3">
        <v>2000000</v>
      </c>
      <c r="BP329" s="3">
        <v>100000</v>
      </c>
      <c r="BQ329" s="3">
        <v>250000</v>
      </c>
      <c r="BR329" s="3">
        <v>100000</v>
      </c>
      <c r="BS329">
        <v>500000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 t="s">
        <v>2940</v>
      </c>
      <c r="CA329" t="s">
        <v>2939</v>
      </c>
      <c r="CB329" t="s">
        <v>2941</v>
      </c>
    </row>
    <row r="330" spans="1:80" x14ac:dyDescent="0.25">
      <c r="A330">
        <v>329</v>
      </c>
      <c r="B330" t="s">
        <v>2347</v>
      </c>
      <c r="C330" s="1">
        <v>44763</v>
      </c>
      <c r="D330" s="2">
        <v>21</v>
      </c>
      <c r="E330" t="s">
        <v>4</v>
      </c>
      <c r="F330" t="s">
        <v>1311</v>
      </c>
      <c r="G330">
        <v>1</v>
      </c>
      <c r="H330" s="3">
        <v>0</v>
      </c>
      <c r="I330" s="3">
        <v>0</v>
      </c>
      <c r="J330" s="3">
        <v>12400000</v>
      </c>
      <c r="K330" s="3">
        <v>0</v>
      </c>
      <c r="L330" s="3" t="s">
        <v>1192</v>
      </c>
      <c r="M330">
        <v>1927929</v>
      </c>
      <c r="N330" t="s">
        <v>645</v>
      </c>
      <c r="O330" t="s">
        <v>646</v>
      </c>
      <c r="P330" t="s">
        <v>29</v>
      </c>
      <c r="Q330" t="s">
        <v>14</v>
      </c>
      <c r="R330">
        <v>10128</v>
      </c>
      <c r="S330" t="s">
        <v>29</v>
      </c>
      <c r="T330" t="s">
        <v>968</v>
      </c>
      <c r="U330">
        <v>0</v>
      </c>
      <c r="V330" t="s">
        <v>1082</v>
      </c>
      <c r="W330" t="s">
        <v>1194</v>
      </c>
      <c r="X330" t="s">
        <v>973</v>
      </c>
      <c r="Y330">
        <v>50000</v>
      </c>
      <c r="Z330" s="2">
        <v>2</v>
      </c>
      <c r="AA330" s="2" t="s">
        <v>1238</v>
      </c>
      <c r="AB330" t="s">
        <v>1238</v>
      </c>
      <c r="AC330">
        <v>678</v>
      </c>
      <c r="AD330" t="s">
        <v>1281</v>
      </c>
      <c r="AE330">
        <v>1</v>
      </c>
      <c r="AF330" t="s">
        <v>1290</v>
      </c>
      <c r="AG330">
        <v>0</v>
      </c>
      <c r="AH330">
        <v>0</v>
      </c>
      <c r="AI330">
        <v>0</v>
      </c>
      <c r="AJ330">
        <v>2021</v>
      </c>
      <c r="AK330" t="s">
        <v>1194</v>
      </c>
      <c r="AL330" t="s">
        <v>1194</v>
      </c>
      <c r="AM330" s="4" t="s">
        <v>1238</v>
      </c>
      <c r="AN330">
        <v>0</v>
      </c>
      <c r="AO330" t="s">
        <v>1316</v>
      </c>
      <c r="AP330">
        <f t="shared" si="10"/>
        <v>0</v>
      </c>
      <c r="AQ330">
        <v>0</v>
      </c>
      <c r="AR330" t="s">
        <v>1993</v>
      </c>
      <c r="AS330" t="s">
        <v>1995</v>
      </c>
      <c r="AT330" t="s">
        <v>1996</v>
      </c>
      <c r="AU330" t="s">
        <v>1996</v>
      </c>
      <c r="AV330" t="s">
        <v>1996</v>
      </c>
      <c r="AW330" t="s">
        <v>1996</v>
      </c>
      <c r="AX330" t="s">
        <v>2006</v>
      </c>
      <c r="AY330" t="s">
        <v>1996</v>
      </c>
      <c r="AZ330">
        <v>6150</v>
      </c>
      <c r="BA330" t="s">
        <v>1194</v>
      </c>
      <c r="BB330" t="s">
        <v>1194</v>
      </c>
      <c r="BC330" s="3">
        <v>39623.927199999998</v>
      </c>
      <c r="BD330" s="3">
        <v>3934.88</v>
      </c>
      <c r="BE330" s="3">
        <v>0</v>
      </c>
      <c r="BF330" s="3">
        <v>0</v>
      </c>
      <c r="BG330" s="3">
        <v>150</v>
      </c>
      <c r="BH330" s="3">
        <v>0</v>
      </c>
      <c r="BI330" s="3">
        <v>28211</v>
      </c>
      <c r="BJ330" s="3">
        <v>71920</v>
      </c>
      <c r="BK330" s="3">
        <v>1875</v>
      </c>
      <c r="BL330" s="3">
        <v>73795</v>
      </c>
      <c r="BM330" s="2">
        <f t="shared" ca="1" si="11"/>
        <v>4</v>
      </c>
      <c r="BN330" s="3" t="s">
        <v>2916</v>
      </c>
      <c r="BO330" s="3">
        <v>25000</v>
      </c>
      <c r="BP330" s="3" t="s">
        <v>2922</v>
      </c>
      <c r="BQ330" s="3">
        <v>2000000</v>
      </c>
      <c r="BR330" s="3">
        <v>2000000</v>
      </c>
      <c r="BS330">
        <v>50000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 t="s">
        <v>2006</v>
      </c>
      <c r="CA330" t="s">
        <v>2006</v>
      </c>
      <c r="CB330" t="s">
        <v>2946</v>
      </c>
    </row>
    <row r="331" spans="1:80" x14ac:dyDescent="0.25">
      <c r="A331">
        <v>330</v>
      </c>
      <c r="B331" t="s">
        <v>2348</v>
      </c>
      <c r="C331" s="1">
        <v>44804</v>
      </c>
      <c r="D331" s="2">
        <v>24</v>
      </c>
      <c r="E331" t="s">
        <v>4</v>
      </c>
      <c r="F331" t="s">
        <v>1311</v>
      </c>
      <c r="G331">
        <v>0</v>
      </c>
      <c r="H331" s="3">
        <v>3200000</v>
      </c>
      <c r="I331" s="3">
        <v>300000</v>
      </c>
      <c r="J331" s="3">
        <v>0</v>
      </c>
      <c r="K331" s="3">
        <v>0</v>
      </c>
      <c r="L331" s="3" t="s">
        <v>1191</v>
      </c>
      <c r="M331">
        <v>1528051</v>
      </c>
      <c r="N331" t="s">
        <v>647</v>
      </c>
      <c r="P331" t="s">
        <v>406</v>
      </c>
      <c r="Q331" t="s">
        <v>14</v>
      </c>
      <c r="R331">
        <v>11963</v>
      </c>
      <c r="S331" t="s">
        <v>26</v>
      </c>
      <c r="T331" t="s">
        <v>963</v>
      </c>
      <c r="U331">
        <v>0</v>
      </c>
      <c r="V331" t="s">
        <v>1086</v>
      </c>
      <c r="W331" t="s">
        <v>1194</v>
      </c>
      <c r="X331" t="s">
        <v>973</v>
      </c>
      <c r="Y331">
        <v>10000</v>
      </c>
      <c r="Z331" s="2">
        <v>2</v>
      </c>
      <c r="AA331" s="2" t="s">
        <v>1238</v>
      </c>
      <c r="AB331" t="s">
        <v>1238</v>
      </c>
      <c r="AC331">
        <v>762</v>
      </c>
      <c r="AD331" t="s">
        <v>1279</v>
      </c>
      <c r="AE331">
        <v>3</v>
      </c>
      <c r="AF331" t="s">
        <v>1290</v>
      </c>
      <c r="AG331">
        <v>0</v>
      </c>
      <c r="AH331">
        <v>0</v>
      </c>
      <c r="AI331">
        <v>0</v>
      </c>
      <c r="AJ331">
        <v>1790</v>
      </c>
      <c r="AK331">
        <v>2020</v>
      </c>
      <c r="AL331">
        <v>2020</v>
      </c>
      <c r="AM331" s="4" t="s">
        <v>1238</v>
      </c>
      <c r="AN331">
        <v>0</v>
      </c>
      <c r="AO331" t="s">
        <v>1316</v>
      </c>
      <c r="AP331">
        <f t="shared" si="10"/>
        <v>0</v>
      </c>
      <c r="AQ331">
        <v>0</v>
      </c>
      <c r="AR331" t="s">
        <v>1993</v>
      </c>
      <c r="AS331" t="s">
        <v>1995</v>
      </c>
      <c r="AT331" t="s">
        <v>1995</v>
      </c>
      <c r="AU331" t="s">
        <v>1995</v>
      </c>
      <c r="AV331" t="s">
        <v>1996</v>
      </c>
      <c r="AW331" t="s">
        <v>1996</v>
      </c>
      <c r="AX331" t="s">
        <v>2006</v>
      </c>
      <c r="AY331" t="s">
        <v>1996</v>
      </c>
      <c r="AZ331">
        <v>3500</v>
      </c>
      <c r="BA331" t="s">
        <v>1194</v>
      </c>
      <c r="BB331" t="s">
        <v>1194</v>
      </c>
      <c r="BC331" s="3">
        <v>10460.353300000001</v>
      </c>
      <c r="BD331" s="3">
        <v>14099.81</v>
      </c>
      <c r="BE331" s="3">
        <v>0</v>
      </c>
      <c r="BF331" s="3">
        <v>0</v>
      </c>
      <c r="BG331" s="3">
        <v>0</v>
      </c>
      <c r="BH331" s="3">
        <v>0</v>
      </c>
      <c r="BI331" s="3">
        <v>-5910</v>
      </c>
      <c r="BJ331" s="3">
        <v>18650</v>
      </c>
      <c r="BK331" s="3">
        <v>0</v>
      </c>
      <c r="BL331" s="3">
        <v>18650</v>
      </c>
      <c r="BM331" s="2">
        <f t="shared" ca="1" si="11"/>
        <v>1</v>
      </c>
      <c r="BN331" s="3" t="s">
        <v>2916</v>
      </c>
      <c r="BO331" s="3">
        <v>50000</v>
      </c>
      <c r="BP331" s="3">
        <v>50000</v>
      </c>
      <c r="BQ331" s="3">
        <v>1000000</v>
      </c>
      <c r="BR331" s="3">
        <v>50000</v>
      </c>
      <c r="BS331">
        <v>50000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 t="s">
        <v>2938</v>
      </c>
      <c r="CA331" t="s">
        <v>2939</v>
      </c>
      <c r="CB331" t="s">
        <v>2006</v>
      </c>
    </row>
    <row r="332" spans="1:80" x14ac:dyDescent="0.25">
      <c r="A332">
        <v>331</v>
      </c>
      <c r="B332" t="s">
        <v>2349</v>
      </c>
      <c r="C332" s="1">
        <v>44644</v>
      </c>
      <c r="D332" s="2">
        <v>9</v>
      </c>
      <c r="E332" t="s">
        <v>4</v>
      </c>
      <c r="F332" t="s">
        <v>1310</v>
      </c>
      <c r="G332">
        <v>0</v>
      </c>
      <c r="H332" s="3">
        <v>15000000</v>
      </c>
      <c r="I332" s="3">
        <v>1000000</v>
      </c>
      <c r="J332" s="3">
        <v>0</v>
      </c>
      <c r="K332" s="3">
        <v>0</v>
      </c>
      <c r="L332" s="3" t="s">
        <v>1191</v>
      </c>
      <c r="M332">
        <v>86382</v>
      </c>
      <c r="N332" t="s">
        <v>648</v>
      </c>
      <c r="P332" t="s">
        <v>649</v>
      </c>
      <c r="Q332" t="s">
        <v>15</v>
      </c>
      <c r="R332">
        <v>33062</v>
      </c>
      <c r="S332" t="s">
        <v>68</v>
      </c>
      <c r="T332" t="s">
        <v>967</v>
      </c>
      <c r="U332">
        <v>1</v>
      </c>
      <c r="V332" t="s">
        <v>1129</v>
      </c>
      <c r="W332" t="s">
        <v>1194</v>
      </c>
      <c r="X332" t="s">
        <v>1309</v>
      </c>
      <c r="Y332">
        <v>100000</v>
      </c>
      <c r="Z332" s="2">
        <v>10</v>
      </c>
      <c r="AA332" s="2" t="s">
        <v>1238</v>
      </c>
      <c r="AB332" t="s">
        <v>1238</v>
      </c>
      <c r="AC332">
        <v>677</v>
      </c>
      <c r="AD332" t="s">
        <v>1280</v>
      </c>
      <c r="AE332">
        <v>1</v>
      </c>
      <c r="AF332" t="s">
        <v>1292</v>
      </c>
      <c r="AG332">
        <v>0</v>
      </c>
      <c r="AH332">
        <v>0</v>
      </c>
      <c r="AI332">
        <v>0</v>
      </c>
      <c r="AJ332">
        <v>2007</v>
      </c>
      <c r="AK332" t="s">
        <v>1194</v>
      </c>
      <c r="AL332" t="s">
        <v>1194</v>
      </c>
      <c r="AM332" s="4" t="s">
        <v>1305</v>
      </c>
      <c r="AN332">
        <v>0</v>
      </c>
      <c r="AO332" t="s">
        <v>1316</v>
      </c>
      <c r="AP332">
        <f t="shared" si="10"/>
        <v>0</v>
      </c>
      <c r="AQ332">
        <v>0</v>
      </c>
      <c r="AR332" t="s">
        <v>1993</v>
      </c>
      <c r="AS332" t="s">
        <v>1996</v>
      </c>
      <c r="AT332" t="s">
        <v>1996</v>
      </c>
      <c r="AU332" t="s">
        <v>1996</v>
      </c>
      <c r="AV332" t="s">
        <v>1995</v>
      </c>
      <c r="AW332" t="s">
        <v>1995</v>
      </c>
      <c r="AX332" t="s">
        <v>2007</v>
      </c>
      <c r="AY332" t="s">
        <v>1995</v>
      </c>
      <c r="AZ332">
        <v>9207</v>
      </c>
      <c r="BA332" t="s">
        <v>1194</v>
      </c>
      <c r="BB332" t="s">
        <v>1194</v>
      </c>
      <c r="BC332" s="3">
        <v>38243.421999999999</v>
      </c>
      <c r="BD332" s="3">
        <v>70680.39</v>
      </c>
      <c r="BE332" s="3">
        <v>0</v>
      </c>
      <c r="BF332" s="3">
        <v>0</v>
      </c>
      <c r="BG332" s="3">
        <v>300</v>
      </c>
      <c r="BH332" s="3">
        <v>0</v>
      </c>
      <c r="BI332" s="3">
        <v>130626</v>
      </c>
      <c r="BJ332" s="3">
        <v>239850</v>
      </c>
      <c r="BK332" s="3">
        <v>450</v>
      </c>
      <c r="BL332" s="3">
        <v>240300</v>
      </c>
      <c r="BM332" s="2">
        <f t="shared" ca="1" si="11"/>
        <v>2</v>
      </c>
      <c r="BN332" s="3">
        <v>50000</v>
      </c>
      <c r="BO332" s="3">
        <v>1000000</v>
      </c>
      <c r="BP332" s="3" t="s">
        <v>2922</v>
      </c>
      <c r="BQ332" s="3">
        <v>50000</v>
      </c>
      <c r="BR332" s="3">
        <v>1000000</v>
      </c>
      <c r="BS332">
        <v>2000000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 t="s">
        <v>2940</v>
      </c>
      <c r="CA332" t="s">
        <v>2944</v>
      </c>
      <c r="CB332" t="s">
        <v>2941</v>
      </c>
    </row>
    <row r="333" spans="1:80" x14ac:dyDescent="0.25">
      <c r="A333">
        <v>332</v>
      </c>
      <c r="B333" t="s">
        <v>2350</v>
      </c>
      <c r="C333" s="1">
        <v>44742</v>
      </c>
      <c r="D333" s="2">
        <v>18</v>
      </c>
      <c r="E333" t="s">
        <v>4</v>
      </c>
      <c r="F333" t="s">
        <v>1311</v>
      </c>
      <c r="G333">
        <v>1</v>
      </c>
      <c r="H333" s="3">
        <v>7000000</v>
      </c>
      <c r="I333" s="3">
        <v>250000</v>
      </c>
      <c r="J333" s="3">
        <v>0</v>
      </c>
      <c r="K333" s="3">
        <v>0</v>
      </c>
      <c r="L333" s="3" t="s">
        <v>1191</v>
      </c>
      <c r="M333">
        <v>1943691</v>
      </c>
      <c r="N333" t="s">
        <v>650</v>
      </c>
      <c r="P333" t="s">
        <v>62</v>
      </c>
      <c r="Q333" t="s">
        <v>19</v>
      </c>
      <c r="R333">
        <v>94107</v>
      </c>
      <c r="S333" t="s">
        <v>62</v>
      </c>
      <c r="T333" t="s">
        <v>977</v>
      </c>
      <c r="U333">
        <v>0</v>
      </c>
      <c r="V333">
        <v>33</v>
      </c>
      <c r="W333" t="s">
        <v>1204</v>
      </c>
      <c r="X333" t="s">
        <v>973</v>
      </c>
      <c r="Y333">
        <v>100000</v>
      </c>
      <c r="Z333" s="2" t="s">
        <v>1194</v>
      </c>
      <c r="AA333" s="2" t="s">
        <v>1238</v>
      </c>
      <c r="AB333" t="s">
        <v>1238</v>
      </c>
      <c r="AC333" t="s">
        <v>1194</v>
      </c>
      <c r="AD333" t="s">
        <v>1279</v>
      </c>
      <c r="AE333">
        <v>1</v>
      </c>
      <c r="AF333" t="s">
        <v>1290</v>
      </c>
      <c r="AG333">
        <v>2</v>
      </c>
      <c r="AH333">
        <v>1</v>
      </c>
      <c r="AI333">
        <v>3</v>
      </c>
      <c r="AJ333">
        <v>1997</v>
      </c>
      <c r="AK333" t="s">
        <v>1194</v>
      </c>
      <c r="AL333" t="s">
        <v>1194</v>
      </c>
      <c r="AM333" s="4" t="s">
        <v>1238</v>
      </c>
      <c r="AN333">
        <v>0</v>
      </c>
      <c r="AO333" t="s">
        <v>1315</v>
      </c>
      <c r="AP333">
        <f t="shared" si="10"/>
        <v>3</v>
      </c>
      <c r="AQ333">
        <v>0</v>
      </c>
      <c r="AR333" t="s">
        <v>1993</v>
      </c>
      <c r="AS333" t="s">
        <v>1995</v>
      </c>
      <c r="AT333" t="s">
        <v>1995</v>
      </c>
      <c r="AU333" t="s">
        <v>1995</v>
      </c>
      <c r="AV333" t="s">
        <v>1996</v>
      </c>
      <c r="AW333" t="s">
        <v>1996</v>
      </c>
      <c r="AX333" t="s">
        <v>1194</v>
      </c>
      <c r="AY333" t="s">
        <v>1996</v>
      </c>
      <c r="AZ333">
        <v>6813</v>
      </c>
      <c r="BA333" t="s">
        <v>1194</v>
      </c>
      <c r="BB333" t="s">
        <v>2014</v>
      </c>
      <c r="BC333" s="3">
        <v>0</v>
      </c>
      <c r="BD333" s="3">
        <v>0</v>
      </c>
      <c r="BE333" s="3">
        <v>16328.01</v>
      </c>
      <c r="BF333" s="3">
        <v>8862.7999999999993</v>
      </c>
      <c r="BG333" s="3">
        <v>0</v>
      </c>
      <c r="BH333" s="3">
        <v>0</v>
      </c>
      <c r="BI333" s="3">
        <v>29184</v>
      </c>
      <c r="BJ333" s="3">
        <v>54374.81</v>
      </c>
      <c r="BK333" s="3">
        <v>0</v>
      </c>
      <c r="BL333" s="3">
        <v>54374.81</v>
      </c>
      <c r="BM333" s="2">
        <f t="shared" ca="1" si="11"/>
        <v>2</v>
      </c>
      <c r="BN333" s="3">
        <v>100000</v>
      </c>
      <c r="BO333" s="3">
        <v>500000</v>
      </c>
      <c r="BP333" s="3">
        <v>50000</v>
      </c>
      <c r="BQ333" s="3">
        <v>100000</v>
      </c>
      <c r="BR333" s="3">
        <v>250000</v>
      </c>
      <c r="BS333">
        <v>50000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 t="s">
        <v>2949</v>
      </c>
      <c r="CA333" t="s">
        <v>1194</v>
      </c>
      <c r="CB333" t="s">
        <v>2949</v>
      </c>
    </row>
    <row r="334" spans="1:80" x14ac:dyDescent="0.25">
      <c r="A334">
        <v>333</v>
      </c>
      <c r="B334" t="s">
        <v>2351</v>
      </c>
      <c r="C334" s="1">
        <v>44826</v>
      </c>
      <c r="D334" s="2">
        <v>27</v>
      </c>
      <c r="E334" t="s">
        <v>4</v>
      </c>
      <c r="F334" t="s">
        <v>1311</v>
      </c>
      <c r="G334">
        <v>0</v>
      </c>
      <c r="H334" s="3">
        <v>0</v>
      </c>
      <c r="I334" s="3">
        <v>0</v>
      </c>
      <c r="J334" s="3">
        <v>3629200</v>
      </c>
      <c r="K334" s="3">
        <v>0</v>
      </c>
      <c r="L334" s="3" t="s">
        <v>1192</v>
      </c>
      <c r="M334">
        <v>1541745</v>
      </c>
      <c r="N334" t="s">
        <v>651</v>
      </c>
      <c r="O334" t="s">
        <v>652</v>
      </c>
      <c r="P334" t="s">
        <v>29</v>
      </c>
      <c r="Q334" t="s">
        <v>14</v>
      </c>
      <c r="R334">
        <v>10013</v>
      </c>
      <c r="S334" t="s">
        <v>29</v>
      </c>
      <c r="T334" t="s">
        <v>962</v>
      </c>
      <c r="U334">
        <v>0</v>
      </c>
      <c r="V334" t="s">
        <v>1115</v>
      </c>
      <c r="W334" t="s">
        <v>1194</v>
      </c>
      <c r="X334" t="s">
        <v>973</v>
      </c>
      <c r="Y334">
        <v>10000</v>
      </c>
      <c r="Z334" s="2">
        <v>1</v>
      </c>
      <c r="AA334" s="2" t="s">
        <v>1238</v>
      </c>
      <c r="AB334" t="s">
        <v>1238</v>
      </c>
      <c r="AC334">
        <v>777</v>
      </c>
      <c r="AD334" t="s">
        <v>1280</v>
      </c>
      <c r="AE334">
        <v>1</v>
      </c>
      <c r="AF334" t="s">
        <v>1290</v>
      </c>
      <c r="AG334">
        <v>0</v>
      </c>
      <c r="AH334">
        <v>0</v>
      </c>
      <c r="AI334">
        <v>0</v>
      </c>
      <c r="AJ334">
        <v>1930</v>
      </c>
      <c r="AK334" t="s">
        <v>1194</v>
      </c>
      <c r="AL334" t="s">
        <v>1194</v>
      </c>
      <c r="AM334" s="4" t="s">
        <v>1238</v>
      </c>
      <c r="AN334">
        <v>0</v>
      </c>
      <c r="AO334" t="s">
        <v>1315</v>
      </c>
      <c r="AP334">
        <f t="shared" si="10"/>
        <v>0</v>
      </c>
      <c r="AQ334">
        <v>0</v>
      </c>
      <c r="AR334" t="s">
        <v>1993</v>
      </c>
      <c r="AS334" t="s">
        <v>1995</v>
      </c>
      <c r="AT334" t="s">
        <v>1996</v>
      </c>
      <c r="AU334" t="s">
        <v>1996</v>
      </c>
      <c r="AV334" t="s">
        <v>1995</v>
      </c>
      <c r="AW334" t="s">
        <v>1995</v>
      </c>
      <c r="AX334" t="s">
        <v>2006</v>
      </c>
      <c r="AY334" t="s">
        <v>1996</v>
      </c>
      <c r="AZ334">
        <v>4300</v>
      </c>
      <c r="BA334" t="s">
        <v>1194</v>
      </c>
      <c r="BB334" t="s">
        <v>1194</v>
      </c>
      <c r="BC334" s="3">
        <v>12807.0422</v>
      </c>
      <c r="BD334" s="3">
        <v>3132.63</v>
      </c>
      <c r="BE334" s="3">
        <v>0</v>
      </c>
      <c r="BF334" s="3">
        <v>0</v>
      </c>
      <c r="BG334" s="3">
        <v>150</v>
      </c>
      <c r="BH334" s="3">
        <v>0</v>
      </c>
      <c r="BI334" s="3">
        <v>0</v>
      </c>
      <c r="BJ334" s="3">
        <v>16090</v>
      </c>
      <c r="BK334" s="3">
        <v>0</v>
      </c>
      <c r="BL334" s="3">
        <v>16090</v>
      </c>
      <c r="BM334" s="2">
        <f t="shared" ca="1" si="11"/>
        <v>2</v>
      </c>
      <c r="BN334" s="3">
        <v>250000</v>
      </c>
      <c r="BO334" s="3">
        <v>25000</v>
      </c>
      <c r="BP334" s="3">
        <v>100000</v>
      </c>
      <c r="BQ334" s="3">
        <v>500000</v>
      </c>
      <c r="BR334" s="3">
        <v>50000</v>
      </c>
      <c r="BS334">
        <v>50000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 t="s">
        <v>2942</v>
      </c>
      <c r="CA334" t="s">
        <v>2006</v>
      </c>
      <c r="CB334" t="s">
        <v>2006</v>
      </c>
    </row>
    <row r="335" spans="1:80" x14ac:dyDescent="0.25">
      <c r="A335">
        <v>334</v>
      </c>
      <c r="B335" t="s">
        <v>2352</v>
      </c>
      <c r="C335" s="1">
        <v>44884</v>
      </c>
      <c r="D335" s="2">
        <v>33</v>
      </c>
      <c r="E335" t="s">
        <v>4</v>
      </c>
      <c r="F335" t="s">
        <v>1311</v>
      </c>
      <c r="G335">
        <v>1</v>
      </c>
      <c r="H335" s="3">
        <v>3300000</v>
      </c>
      <c r="I335" s="3">
        <v>0</v>
      </c>
      <c r="J335" s="3">
        <v>0</v>
      </c>
      <c r="K335" s="3">
        <v>0</v>
      </c>
      <c r="L335" s="3" t="s">
        <v>1191</v>
      </c>
      <c r="M335">
        <v>1543381</v>
      </c>
      <c r="N335" t="s">
        <v>653</v>
      </c>
      <c r="P335" t="s">
        <v>172</v>
      </c>
      <c r="Q335" t="s">
        <v>17</v>
      </c>
      <c r="R335">
        <v>29928</v>
      </c>
      <c r="S335" t="s">
        <v>42</v>
      </c>
      <c r="T335" t="s">
        <v>969</v>
      </c>
      <c r="U335">
        <v>0</v>
      </c>
      <c r="V335" t="s">
        <v>1022</v>
      </c>
      <c r="W335" t="s">
        <v>1194</v>
      </c>
      <c r="X335" t="s">
        <v>973</v>
      </c>
      <c r="Y335">
        <v>50000</v>
      </c>
      <c r="Z335" s="2">
        <v>5</v>
      </c>
      <c r="AA335" s="2" t="s">
        <v>1238</v>
      </c>
      <c r="AB335" t="s">
        <v>1238</v>
      </c>
      <c r="AC335">
        <v>773</v>
      </c>
      <c r="AD335" t="s">
        <v>1279</v>
      </c>
      <c r="AE335">
        <v>2</v>
      </c>
      <c r="AF335" t="s">
        <v>1290</v>
      </c>
      <c r="AG335">
        <v>0</v>
      </c>
      <c r="AH335">
        <v>0</v>
      </c>
      <c r="AI335">
        <v>0</v>
      </c>
      <c r="AJ335">
        <v>2021</v>
      </c>
      <c r="AK335" t="s">
        <v>1194</v>
      </c>
      <c r="AL335" t="s">
        <v>1194</v>
      </c>
      <c r="AM335" s="4" t="s">
        <v>1238</v>
      </c>
      <c r="AN335">
        <v>1</v>
      </c>
      <c r="AO335" t="s">
        <v>1315</v>
      </c>
      <c r="AP335">
        <f t="shared" si="10"/>
        <v>0</v>
      </c>
      <c r="AQ335">
        <v>0</v>
      </c>
      <c r="AR335" t="s">
        <v>1993</v>
      </c>
      <c r="AS335" t="s">
        <v>1996</v>
      </c>
      <c r="AT335" t="s">
        <v>1995</v>
      </c>
      <c r="AU335" t="s">
        <v>1995</v>
      </c>
      <c r="AV335" t="s">
        <v>1996</v>
      </c>
      <c r="AW335" t="s">
        <v>1995</v>
      </c>
      <c r="AX335" t="s">
        <v>2006</v>
      </c>
      <c r="AY335" t="s">
        <v>1996</v>
      </c>
      <c r="AZ335">
        <v>5200</v>
      </c>
      <c r="BA335" t="s">
        <v>1194</v>
      </c>
      <c r="BB335" t="s">
        <v>1194</v>
      </c>
      <c r="BC335" s="3">
        <v>4446.0481</v>
      </c>
      <c r="BD335" s="3">
        <v>8014.77</v>
      </c>
      <c r="BE335" s="3">
        <v>0</v>
      </c>
      <c r="BF335" s="3">
        <v>0</v>
      </c>
      <c r="BG335" s="3">
        <v>150</v>
      </c>
      <c r="BH335" s="3">
        <v>0</v>
      </c>
      <c r="BI335" s="3">
        <v>8364</v>
      </c>
      <c r="BJ335" s="3">
        <v>20975</v>
      </c>
      <c r="BK335" s="3">
        <v>0</v>
      </c>
      <c r="BL335" s="3">
        <v>20975</v>
      </c>
      <c r="BM335" s="2">
        <f t="shared" ca="1" si="11"/>
        <v>6</v>
      </c>
      <c r="BN335" s="3">
        <v>1000000</v>
      </c>
      <c r="BO335" s="3">
        <v>25000</v>
      </c>
      <c r="BP335" s="3">
        <v>50000</v>
      </c>
      <c r="BQ335" s="3">
        <v>1000000</v>
      </c>
      <c r="BR335" s="3">
        <v>500000</v>
      </c>
      <c r="BS335">
        <v>50000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 t="s">
        <v>2938</v>
      </c>
      <c r="CA335" t="s">
        <v>2944</v>
      </c>
      <c r="CB335" t="s">
        <v>2945</v>
      </c>
    </row>
    <row r="336" spans="1:80" x14ac:dyDescent="0.25">
      <c r="A336">
        <v>335</v>
      </c>
      <c r="B336" t="s">
        <v>2353</v>
      </c>
      <c r="C336" s="1">
        <v>44818</v>
      </c>
      <c r="D336" s="2">
        <v>27</v>
      </c>
      <c r="E336" t="s">
        <v>4</v>
      </c>
      <c r="F336" t="s">
        <v>1311</v>
      </c>
      <c r="G336">
        <v>1</v>
      </c>
      <c r="H336" s="3">
        <v>8000000</v>
      </c>
      <c r="I336" s="3">
        <v>0</v>
      </c>
      <c r="J336" s="3">
        <v>0</v>
      </c>
      <c r="K336" s="3">
        <v>0</v>
      </c>
      <c r="L336" s="3" t="s">
        <v>1191</v>
      </c>
      <c r="M336">
        <v>1548601</v>
      </c>
      <c r="N336" t="s">
        <v>654</v>
      </c>
      <c r="P336" t="s">
        <v>308</v>
      </c>
      <c r="Q336" t="s">
        <v>13</v>
      </c>
      <c r="R336">
        <v>2655</v>
      </c>
      <c r="S336" t="s">
        <v>51</v>
      </c>
      <c r="T336" t="s">
        <v>970</v>
      </c>
      <c r="U336">
        <v>1</v>
      </c>
      <c r="V336" t="s">
        <v>1130</v>
      </c>
      <c r="W336" t="s">
        <v>1194</v>
      </c>
      <c r="X336" t="s">
        <v>1309</v>
      </c>
      <c r="Y336">
        <v>10000</v>
      </c>
      <c r="Z336" s="2">
        <v>2</v>
      </c>
      <c r="AA336" s="2" t="s">
        <v>1238</v>
      </c>
      <c r="AB336" t="s">
        <v>1238</v>
      </c>
      <c r="AC336">
        <v>844</v>
      </c>
      <c r="AD336" t="s">
        <v>1279</v>
      </c>
      <c r="AE336">
        <v>2</v>
      </c>
      <c r="AF336" t="s">
        <v>1292</v>
      </c>
      <c r="AG336">
        <v>0</v>
      </c>
      <c r="AH336">
        <v>0</v>
      </c>
      <c r="AI336">
        <v>0</v>
      </c>
      <c r="AJ336">
        <v>2020</v>
      </c>
      <c r="AK336" t="s">
        <v>1194</v>
      </c>
      <c r="AL336">
        <v>2020</v>
      </c>
      <c r="AM336" s="4" t="s">
        <v>1238</v>
      </c>
      <c r="AN336">
        <v>1</v>
      </c>
      <c r="AO336" t="s">
        <v>1315</v>
      </c>
      <c r="AP336">
        <f t="shared" si="10"/>
        <v>0</v>
      </c>
      <c r="AQ336">
        <v>1</v>
      </c>
      <c r="AR336" t="s">
        <v>1992</v>
      </c>
      <c r="AS336" t="s">
        <v>1996</v>
      </c>
      <c r="AT336" t="s">
        <v>1995</v>
      </c>
      <c r="AU336" t="s">
        <v>1995</v>
      </c>
      <c r="AV336" t="s">
        <v>1995</v>
      </c>
      <c r="AW336" t="s">
        <v>1996</v>
      </c>
      <c r="AX336" t="s">
        <v>2006</v>
      </c>
      <c r="AY336" t="s">
        <v>1996</v>
      </c>
      <c r="AZ336">
        <v>6507</v>
      </c>
      <c r="BA336" t="s">
        <v>1194</v>
      </c>
      <c r="BB336" t="s">
        <v>1194</v>
      </c>
      <c r="BC336" s="3">
        <v>14127.087799999999</v>
      </c>
      <c r="BD336" s="3">
        <v>11184.92</v>
      </c>
      <c r="BE336" s="3">
        <v>0</v>
      </c>
      <c r="BF336" s="3">
        <v>0</v>
      </c>
      <c r="BG336" s="3">
        <v>150</v>
      </c>
      <c r="BH336" s="3">
        <v>0</v>
      </c>
      <c r="BI336" s="3">
        <v>4888</v>
      </c>
      <c r="BJ336" s="3">
        <v>30350</v>
      </c>
      <c r="BK336" s="3">
        <v>1500</v>
      </c>
      <c r="BL336" s="3">
        <v>31850</v>
      </c>
      <c r="BM336" s="2">
        <f t="shared" ca="1" si="11"/>
        <v>3</v>
      </c>
      <c r="BN336" s="3" t="s">
        <v>2916</v>
      </c>
      <c r="BO336" s="3">
        <v>50000</v>
      </c>
      <c r="BP336" s="3">
        <v>50000</v>
      </c>
      <c r="BQ336" s="3">
        <v>250000</v>
      </c>
      <c r="BR336" s="3">
        <v>250000</v>
      </c>
      <c r="BS336">
        <v>500000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 t="s">
        <v>2938</v>
      </c>
      <c r="CA336" t="s">
        <v>2939</v>
      </c>
      <c r="CB336" t="s">
        <v>2006</v>
      </c>
    </row>
    <row r="337" spans="1:80" x14ac:dyDescent="0.25">
      <c r="A337">
        <v>336</v>
      </c>
      <c r="B337" t="s">
        <v>2354</v>
      </c>
      <c r="C337" s="1">
        <v>44876</v>
      </c>
      <c r="D337" s="2">
        <v>33</v>
      </c>
      <c r="E337" t="s">
        <v>4</v>
      </c>
      <c r="F337" t="s">
        <v>1311</v>
      </c>
      <c r="G337">
        <v>1</v>
      </c>
      <c r="H337" s="3">
        <v>2900000</v>
      </c>
      <c r="I337" s="3">
        <v>0</v>
      </c>
      <c r="J337" s="3">
        <v>0</v>
      </c>
      <c r="K337" s="3">
        <v>0</v>
      </c>
      <c r="L337" s="3" t="s">
        <v>1191</v>
      </c>
      <c r="M337">
        <v>1807194</v>
      </c>
      <c r="N337" t="s">
        <v>655</v>
      </c>
      <c r="P337" t="s">
        <v>474</v>
      </c>
      <c r="Q337" t="s">
        <v>14</v>
      </c>
      <c r="R337">
        <v>11030</v>
      </c>
      <c r="S337" t="s">
        <v>38</v>
      </c>
      <c r="T337" t="s">
        <v>962</v>
      </c>
      <c r="U337">
        <v>0</v>
      </c>
      <c r="V337" t="s">
        <v>1088</v>
      </c>
      <c r="W337" t="s">
        <v>1194</v>
      </c>
      <c r="X337" t="s">
        <v>973</v>
      </c>
      <c r="Y337">
        <v>25000</v>
      </c>
      <c r="Z337" s="2">
        <v>2</v>
      </c>
      <c r="AA337" s="2" t="s">
        <v>1238</v>
      </c>
      <c r="AB337" t="s">
        <v>1238</v>
      </c>
      <c r="AC337">
        <v>805</v>
      </c>
      <c r="AD337" t="s">
        <v>1279</v>
      </c>
      <c r="AE337">
        <v>3</v>
      </c>
      <c r="AF337" t="s">
        <v>1290</v>
      </c>
      <c r="AG337">
        <v>0</v>
      </c>
      <c r="AH337">
        <v>0</v>
      </c>
      <c r="AI337">
        <v>0</v>
      </c>
      <c r="AJ337">
        <v>2021</v>
      </c>
      <c r="AK337" t="s">
        <v>1194</v>
      </c>
      <c r="AL337" t="s">
        <v>1194</v>
      </c>
      <c r="AM337" s="4" t="s">
        <v>1238</v>
      </c>
      <c r="AN337">
        <v>1</v>
      </c>
      <c r="AO337" t="s">
        <v>1315</v>
      </c>
      <c r="AP337">
        <f t="shared" si="10"/>
        <v>0</v>
      </c>
      <c r="AQ337">
        <v>1</v>
      </c>
      <c r="AR337" t="s">
        <v>1992</v>
      </c>
      <c r="AS337" t="s">
        <v>1995</v>
      </c>
      <c r="AT337" t="s">
        <v>1995</v>
      </c>
      <c r="AU337" t="s">
        <v>1996</v>
      </c>
      <c r="AV337" t="s">
        <v>1996</v>
      </c>
      <c r="AW337" t="s">
        <v>1996</v>
      </c>
      <c r="AX337" t="s">
        <v>2006</v>
      </c>
      <c r="AY337" t="s">
        <v>1996</v>
      </c>
      <c r="AZ337">
        <v>6116</v>
      </c>
      <c r="BA337" t="s">
        <v>1194</v>
      </c>
      <c r="BB337" t="s">
        <v>1194</v>
      </c>
      <c r="BC337" s="3">
        <v>7054.1866</v>
      </c>
      <c r="BD337" s="3">
        <v>1432.62</v>
      </c>
      <c r="BE337" s="3">
        <v>0</v>
      </c>
      <c r="BF337" s="3">
        <v>0</v>
      </c>
      <c r="BG337" s="3">
        <v>0</v>
      </c>
      <c r="BH337" s="3">
        <v>0</v>
      </c>
      <c r="BI337" s="3">
        <v>3983</v>
      </c>
      <c r="BJ337" s="3">
        <v>12470</v>
      </c>
      <c r="BK337" s="3">
        <v>200</v>
      </c>
      <c r="BL337" s="3">
        <v>12670</v>
      </c>
      <c r="BM337" s="2">
        <f t="shared" ca="1" si="11"/>
        <v>2</v>
      </c>
      <c r="BN337" s="3">
        <v>500000</v>
      </c>
      <c r="BO337" s="3">
        <v>500000</v>
      </c>
      <c r="BP337" s="3">
        <v>50000</v>
      </c>
      <c r="BQ337" s="3">
        <v>1000000</v>
      </c>
      <c r="BR337" s="3">
        <v>100000</v>
      </c>
      <c r="BS337">
        <v>50000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 t="s">
        <v>2942</v>
      </c>
      <c r="CA337" t="s">
        <v>2006</v>
      </c>
      <c r="CB337" t="s">
        <v>2006</v>
      </c>
    </row>
    <row r="338" spans="1:80" x14ac:dyDescent="0.25">
      <c r="A338">
        <v>337</v>
      </c>
      <c r="B338" t="s">
        <v>2355</v>
      </c>
      <c r="C338" s="1">
        <v>44847</v>
      </c>
      <c r="D338" s="2">
        <v>30</v>
      </c>
      <c r="E338" t="s">
        <v>4</v>
      </c>
      <c r="F338" t="s">
        <v>1311</v>
      </c>
      <c r="G338">
        <v>1</v>
      </c>
      <c r="H338" s="3">
        <v>0</v>
      </c>
      <c r="I338" s="3">
        <v>0</v>
      </c>
      <c r="J338" s="3">
        <v>1100000</v>
      </c>
      <c r="K338" s="3">
        <v>0</v>
      </c>
      <c r="L338" s="3" t="s">
        <v>1192</v>
      </c>
      <c r="M338">
        <v>1557833</v>
      </c>
      <c r="N338" t="s">
        <v>656</v>
      </c>
      <c r="P338" t="s">
        <v>29</v>
      </c>
      <c r="Q338" t="s">
        <v>14</v>
      </c>
      <c r="R338">
        <v>10024</v>
      </c>
      <c r="S338" t="s">
        <v>29</v>
      </c>
      <c r="T338" t="s">
        <v>968</v>
      </c>
      <c r="U338">
        <v>0</v>
      </c>
      <c r="V338" t="s">
        <v>1013</v>
      </c>
      <c r="W338" t="s">
        <v>1194</v>
      </c>
      <c r="X338" t="s">
        <v>973</v>
      </c>
      <c r="Y338">
        <v>25000</v>
      </c>
      <c r="Z338" s="2">
        <v>3</v>
      </c>
      <c r="AA338" s="2" t="s">
        <v>1238</v>
      </c>
      <c r="AB338" t="s">
        <v>1238</v>
      </c>
      <c r="AC338">
        <v>0</v>
      </c>
      <c r="AD338" t="s">
        <v>1280</v>
      </c>
      <c r="AE338">
        <v>1</v>
      </c>
      <c r="AF338" t="s">
        <v>1290</v>
      </c>
      <c r="AG338">
        <v>0</v>
      </c>
      <c r="AH338">
        <v>0</v>
      </c>
      <c r="AI338">
        <v>0</v>
      </c>
      <c r="AJ338">
        <v>1910</v>
      </c>
      <c r="AK338">
        <v>2020</v>
      </c>
      <c r="AL338">
        <v>2000</v>
      </c>
      <c r="AM338" s="4" t="s">
        <v>1238</v>
      </c>
      <c r="AN338">
        <v>1</v>
      </c>
      <c r="AO338" t="s">
        <v>1316</v>
      </c>
      <c r="AP338">
        <f t="shared" si="10"/>
        <v>0</v>
      </c>
      <c r="AQ338">
        <v>1</v>
      </c>
      <c r="AR338" t="s">
        <v>1992</v>
      </c>
      <c r="AS338" t="s">
        <v>1996</v>
      </c>
      <c r="AT338" t="s">
        <v>1996</v>
      </c>
      <c r="AU338" t="s">
        <v>1995</v>
      </c>
      <c r="AV338" t="s">
        <v>1996</v>
      </c>
      <c r="AW338" t="s">
        <v>1996</v>
      </c>
      <c r="AX338" t="s">
        <v>2006</v>
      </c>
      <c r="AY338" t="s">
        <v>1996</v>
      </c>
      <c r="AZ338">
        <v>1200</v>
      </c>
      <c r="BA338" t="s">
        <v>1194</v>
      </c>
      <c r="BB338" t="s">
        <v>1194</v>
      </c>
      <c r="BC338" s="3">
        <v>5682.3894</v>
      </c>
      <c r="BD338" s="3">
        <v>1094.96</v>
      </c>
      <c r="BE338" s="3">
        <v>0</v>
      </c>
      <c r="BF338" s="3">
        <v>0</v>
      </c>
      <c r="BG338" s="3">
        <v>150</v>
      </c>
      <c r="BH338" s="3">
        <v>0</v>
      </c>
      <c r="BI338" s="3">
        <v>4600</v>
      </c>
      <c r="BJ338" s="3">
        <v>11527</v>
      </c>
      <c r="BK338" s="3">
        <v>129.36000000000001</v>
      </c>
      <c r="BL338" s="3">
        <v>11656.36</v>
      </c>
      <c r="BM338" s="2">
        <f t="shared" ca="1" si="11"/>
        <v>1</v>
      </c>
      <c r="BN338" s="3">
        <v>1000000</v>
      </c>
      <c r="BO338" s="3">
        <v>500000</v>
      </c>
      <c r="BP338" s="3">
        <v>50000</v>
      </c>
      <c r="BQ338" s="3">
        <v>1000000</v>
      </c>
      <c r="BR338" s="3">
        <v>500000</v>
      </c>
      <c r="BS338">
        <v>100000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 t="s">
        <v>2938</v>
      </c>
      <c r="CA338" t="s">
        <v>2939</v>
      </c>
      <c r="CB338" t="s">
        <v>2006</v>
      </c>
    </row>
    <row r="339" spans="1:80" x14ac:dyDescent="0.25">
      <c r="A339">
        <v>338</v>
      </c>
      <c r="B339" t="s">
        <v>2356</v>
      </c>
      <c r="C339" s="1">
        <v>44843</v>
      </c>
      <c r="D339" s="2">
        <v>30</v>
      </c>
      <c r="E339" t="s">
        <v>4</v>
      </c>
      <c r="F339" t="s">
        <v>1311</v>
      </c>
      <c r="G339">
        <v>1</v>
      </c>
      <c r="H339" s="3">
        <v>4210950</v>
      </c>
      <c r="I339" s="3">
        <v>200000</v>
      </c>
      <c r="J339" s="3">
        <v>500000</v>
      </c>
      <c r="K339" s="3">
        <v>0</v>
      </c>
      <c r="L339" s="3" t="s">
        <v>1191</v>
      </c>
      <c r="M339">
        <v>1564467</v>
      </c>
      <c r="N339" t="s">
        <v>657</v>
      </c>
      <c r="P339" t="s">
        <v>640</v>
      </c>
      <c r="Q339" t="s">
        <v>16</v>
      </c>
      <c r="R339">
        <v>8403</v>
      </c>
      <c r="S339" t="s">
        <v>30</v>
      </c>
      <c r="T339" t="s">
        <v>970</v>
      </c>
      <c r="U339">
        <v>1</v>
      </c>
      <c r="V339" t="s">
        <v>1127</v>
      </c>
      <c r="W339" t="s">
        <v>1194</v>
      </c>
      <c r="X339" t="s">
        <v>1309</v>
      </c>
      <c r="Y339">
        <v>25000</v>
      </c>
      <c r="Z339" s="2">
        <v>2</v>
      </c>
      <c r="AA339" s="2" t="s">
        <v>1238</v>
      </c>
      <c r="AB339" t="s">
        <v>1238</v>
      </c>
      <c r="AC339">
        <v>721</v>
      </c>
      <c r="AD339" t="s">
        <v>1279</v>
      </c>
      <c r="AE339">
        <v>4</v>
      </c>
      <c r="AF339" t="s">
        <v>1291</v>
      </c>
      <c r="AG339">
        <v>0</v>
      </c>
      <c r="AH339">
        <v>0</v>
      </c>
      <c r="AI339">
        <v>0</v>
      </c>
      <c r="AJ339">
        <v>1993</v>
      </c>
      <c r="AK339" t="s">
        <v>1194</v>
      </c>
      <c r="AL339">
        <v>2010</v>
      </c>
      <c r="AM339" s="4" t="s">
        <v>1238</v>
      </c>
      <c r="AN339">
        <v>0</v>
      </c>
      <c r="AO339" t="s">
        <v>1315</v>
      </c>
      <c r="AP339">
        <f t="shared" si="10"/>
        <v>0</v>
      </c>
      <c r="AQ339">
        <v>1</v>
      </c>
      <c r="AR339" t="s">
        <v>1992</v>
      </c>
      <c r="AS339" t="s">
        <v>1996</v>
      </c>
      <c r="AT339" t="s">
        <v>1995</v>
      </c>
      <c r="AU339" t="s">
        <v>1995</v>
      </c>
      <c r="AV339" t="s">
        <v>1995</v>
      </c>
      <c r="AW339" t="s">
        <v>1995</v>
      </c>
      <c r="AX339" t="s">
        <v>2006</v>
      </c>
      <c r="AY339" t="s">
        <v>1996</v>
      </c>
      <c r="AZ339">
        <v>4476</v>
      </c>
      <c r="BA339" t="s">
        <v>1194</v>
      </c>
      <c r="BB339" t="s">
        <v>1194</v>
      </c>
      <c r="BC339" s="3">
        <v>9959.5220000000008</v>
      </c>
      <c r="BD339" s="3">
        <v>14383.3</v>
      </c>
      <c r="BE339" s="3">
        <v>0</v>
      </c>
      <c r="BF339" s="3">
        <v>0</v>
      </c>
      <c r="BG339" s="3">
        <v>150</v>
      </c>
      <c r="BH339" s="3">
        <v>0</v>
      </c>
      <c r="BI339" s="3">
        <v>2026.31</v>
      </c>
      <c r="BJ339" s="3">
        <v>26519</v>
      </c>
      <c r="BK339" s="3">
        <v>0</v>
      </c>
      <c r="BL339" s="3">
        <v>26519</v>
      </c>
      <c r="BM339" s="2">
        <f t="shared" ca="1" si="11"/>
        <v>6</v>
      </c>
      <c r="BN339" s="3">
        <v>100000</v>
      </c>
      <c r="BO339" s="3">
        <v>25000</v>
      </c>
      <c r="BP339" s="3">
        <v>100000</v>
      </c>
      <c r="BQ339" s="3">
        <v>1000000</v>
      </c>
      <c r="BR339" s="3">
        <v>100000</v>
      </c>
      <c r="BS339">
        <v>100000</v>
      </c>
      <c r="BT339">
        <v>0</v>
      </c>
      <c r="BU339">
        <v>0</v>
      </c>
      <c r="BV339">
        <v>0</v>
      </c>
      <c r="BW339">
        <v>1</v>
      </c>
      <c r="BX339">
        <v>0</v>
      </c>
      <c r="BY339">
        <v>0</v>
      </c>
      <c r="BZ339" t="s">
        <v>2942</v>
      </c>
      <c r="CA339" t="s">
        <v>2006</v>
      </c>
      <c r="CB339" t="s">
        <v>2006</v>
      </c>
    </row>
    <row r="340" spans="1:80" x14ac:dyDescent="0.25">
      <c r="A340">
        <v>339</v>
      </c>
      <c r="B340" t="s">
        <v>2357</v>
      </c>
      <c r="C340" s="1">
        <v>44876</v>
      </c>
      <c r="D340" s="2">
        <v>33</v>
      </c>
      <c r="E340" t="s">
        <v>4</v>
      </c>
      <c r="F340" t="s">
        <v>1311</v>
      </c>
      <c r="G340">
        <v>0</v>
      </c>
      <c r="H340" s="3">
        <v>6700000</v>
      </c>
      <c r="I340" s="3">
        <v>400000</v>
      </c>
      <c r="J340" s="3">
        <v>0</v>
      </c>
      <c r="K340" s="3">
        <v>0</v>
      </c>
      <c r="L340" s="3" t="s">
        <v>1191</v>
      </c>
      <c r="M340">
        <v>1565091</v>
      </c>
      <c r="N340" t="s">
        <v>658</v>
      </c>
      <c r="P340" t="s">
        <v>119</v>
      </c>
      <c r="Q340" t="s">
        <v>15</v>
      </c>
      <c r="R340">
        <v>33496</v>
      </c>
      <c r="S340" t="s">
        <v>27</v>
      </c>
      <c r="T340" t="s">
        <v>965</v>
      </c>
      <c r="U340">
        <v>0</v>
      </c>
      <c r="V340" t="s">
        <v>987</v>
      </c>
      <c r="W340" t="s">
        <v>1194</v>
      </c>
      <c r="X340" t="s">
        <v>973</v>
      </c>
      <c r="Y340">
        <v>10000</v>
      </c>
      <c r="Z340" s="2">
        <v>5</v>
      </c>
      <c r="AA340" s="2" t="s">
        <v>1238</v>
      </c>
      <c r="AB340" t="s">
        <v>1238</v>
      </c>
      <c r="AC340">
        <v>788</v>
      </c>
      <c r="AD340" t="s">
        <v>1280</v>
      </c>
      <c r="AE340">
        <v>2</v>
      </c>
      <c r="AF340" t="s">
        <v>1290</v>
      </c>
      <c r="AG340">
        <v>0</v>
      </c>
      <c r="AH340">
        <v>0</v>
      </c>
      <c r="AI340">
        <v>0</v>
      </c>
      <c r="AJ340">
        <v>2020</v>
      </c>
      <c r="AK340" t="s">
        <v>1194</v>
      </c>
      <c r="AL340" t="s">
        <v>1194</v>
      </c>
      <c r="AM340" s="4" t="s">
        <v>1238</v>
      </c>
      <c r="AN340">
        <v>0</v>
      </c>
      <c r="AO340" t="s">
        <v>1315</v>
      </c>
      <c r="AP340">
        <f t="shared" si="10"/>
        <v>0</v>
      </c>
      <c r="AQ340">
        <v>1</v>
      </c>
      <c r="AR340" t="s">
        <v>1992</v>
      </c>
      <c r="AS340" t="s">
        <v>1996</v>
      </c>
      <c r="AT340" t="s">
        <v>1996</v>
      </c>
      <c r="AU340" t="s">
        <v>1995</v>
      </c>
      <c r="AV340" t="s">
        <v>1995</v>
      </c>
      <c r="AW340" t="s">
        <v>1995</v>
      </c>
      <c r="AX340" t="s">
        <v>2007</v>
      </c>
      <c r="AY340" t="s">
        <v>1995</v>
      </c>
      <c r="AZ340">
        <v>10300</v>
      </c>
      <c r="BA340" t="s">
        <v>1194</v>
      </c>
      <c r="BB340" t="s">
        <v>1194</v>
      </c>
      <c r="BC340" s="3">
        <v>11136.409100000001</v>
      </c>
      <c r="BD340" s="3">
        <v>16186.38</v>
      </c>
      <c r="BE340" s="3">
        <v>0</v>
      </c>
      <c r="BF340" s="3">
        <v>0</v>
      </c>
      <c r="BG340" s="3">
        <v>300</v>
      </c>
      <c r="BH340" s="3">
        <v>0</v>
      </c>
      <c r="BI340" s="3">
        <v>24347</v>
      </c>
      <c r="BJ340" s="3">
        <v>51970</v>
      </c>
      <c r="BK340" s="3">
        <v>0</v>
      </c>
      <c r="BL340" s="3">
        <v>51970</v>
      </c>
      <c r="BM340" s="2">
        <f t="shared" ca="1" si="11"/>
        <v>0</v>
      </c>
      <c r="BN340" s="3">
        <v>1000000</v>
      </c>
      <c r="BO340" s="3">
        <v>500000</v>
      </c>
      <c r="BP340" s="3">
        <v>50000</v>
      </c>
      <c r="BQ340" s="3">
        <v>100000</v>
      </c>
      <c r="BR340" s="3">
        <v>50000</v>
      </c>
      <c r="BS340">
        <v>2000000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 t="s">
        <v>2940</v>
      </c>
      <c r="CA340" t="s">
        <v>2939</v>
      </c>
      <c r="CB340" t="s">
        <v>2941</v>
      </c>
    </row>
    <row r="341" spans="1:80" x14ac:dyDescent="0.25">
      <c r="A341">
        <v>340</v>
      </c>
      <c r="B341" t="s">
        <v>2358</v>
      </c>
      <c r="C341" s="1">
        <v>44910</v>
      </c>
      <c r="D341" s="2">
        <v>36</v>
      </c>
      <c r="E341" t="s">
        <v>4</v>
      </c>
      <c r="F341" t="s">
        <v>1311</v>
      </c>
      <c r="G341">
        <v>1</v>
      </c>
      <c r="H341" s="3">
        <v>2000000</v>
      </c>
      <c r="I341" s="3">
        <v>0</v>
      </c>
      <c r="J341" s="3">
        <v>0</v>
      </c>
      <c r="K341" s="3">
        <v>0</v>
      </c>
      <c r="L341" s="3" t="s">
        <v>1191</v>
      </c>
      <c r="M341">
        <v>1567672</v>
      </c>
      <c r="N341" t="s">
        <v>659</v>
      </c>
      <c r="O341" t="s">
        <v>660</v>
      </c>
      <c r="P341" t="s">
        <v>661</v>
      </c>
      <c r="Q341" t="s">
        <v>13</v>
      </c>
      <c r="R341">
        <v>2645</v>
      </c>
      <c r="S341" t="s">
        <v>51</v>
      </c>
      <c r="T341" t="s">
        <v>970</v>
      </c>
      <c r="U341">
        <v>1</v>
      </c>
      <c r="V341" t="s">
        <v>1131</v>
      </c>
      <c r="W341" t="s">
        <v>1194</v>
      </c>
      <c r="X341" t="s">
        <v>1309</v>
      </c>
      <c r="Y341">
        <v>50000</v>
      </c>
      <c r="Z341" s="2">
        <v>3</v>
      </c>
      <c r="AA341" s="2" t="s">
        <v>1238</v>
      </c>
      <c r="AB341" t="s">
        <v>1238</v>
      </c>
      <c r="AC341">
        <v>633</v>
      </c>
      <c r="AD341" t="s">
        <v>1279</v>
      </c>
      <c r="AE341">
        <v>3</v>
      </c>
      <c r="AF341" t="s">
        <v>1290</v>
      </c>
      <c r="AG341">
        <v>0</v>
      </c>
      <c r="AH341">
        <v>0</v>
      </c>
      <c r="AI341">
        <v>0</v>
      </c>
      <c r="AJ341">
        <v>2020</v>
      </c>
      <c r="AK341" t="s">
        <v>1194</v>
      </c>
      <c r="AL341">
        <v>2020</v>
      </c>
      <c r="AM341" s="4" t="s">
        <v>1238</v>
      </c>
      <c r="AN341">
        <v>1</v>
      </c>
      <c r="AO341" t="s">
        <v>1315</v>
      </c>
      <c r="AP341">
        <f t="shared" si="10"/>
        <v>0</v>
      </c>
      <c r="AQ341">
        <v>1</v>
      </c>
      <c r="AR341" t="s">
        <v>1992</v>
      </c>
      <c r="AS341" t="s">
        <v>1995</v>
      </c>
      <c r="AT341" t="s">
        <v>1996</v>
      </c>
      <c r="AU341" t="s">
        <v>1995</v>
      </c>
      <c r="AV341" t="s">
        <v>1995</v>
      </c>
      <c r="AW341" t="s">
        <v>1996</v>
      </c>
      <c r="AX341" t="s">
        <v>2006</v>
      </c>
      <c r="AY341" t="s">
        <v>1996</v>
      </c>
      <c r="AZ341">
        <v>2000</v>
      </c>
      <c r="BA341" t="s">
        <v>1194</v>
      </c>
      <c r="BB341" t="s">
        <v>1194</v>
      </c>
      <c r="BC341" s="3">
        <v>3592.4421000000002</v>
      </c>
      <c r="BD341" s="3">
        <v>4337.93</v>
      </c>
      <c r="BE341" s="3">
        <v>0</v>
      </c>
      <c r="BF341" s="3">
        <v>0</v>
      </c>
      <c r="BG341" s="3">
        <v>0</v>
      </c>
      <c r="BH341" s="3">
        <v>0</v>
      </c>
      <c r="BI341" s="3">
        <v>4470</v>
      </c>
      <c r="BJ341" s="3">
        <v>12400</v>
      </c>
      <c r="BK341" s="3">
        <v>0</v>
      </c>
      <c r="BL341" s="3">
        <v>12400</v>
      </c>
      <c r="BM341" s="2">
        <f t="shared" ca="1" si="11"/>
        <v>4</v>
      </c>
      <c r="BN341" s="3">
        <v>250000</v>
      </c>
      <c r="BO341" s="3">
        <v>50000</v>
      </c>
      <c r="BP341" s="3">
        <v>100000</v>
      </c>
      <c r="BQ341" s="3">
        <v>50000</v>
      </c>
      <c r="BR341" s="3">
        <v>500000</v>
      </c>
      <c r="BS341">
        <v>50000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 t="s">
        <v>2938</v>
      </c>
      <c r="CA341" t="s">
        <v>2939</v>
      </c>
      <c r="CB341" t="s">
        <v>2006</v>
      </c>
    </row>
    <row r="342" spans="1:80" x14ac:dyDescent="0.25">
      <c r="A342">
        <v>341</v>
      </c>
      <c r="B342" t="s">
        <v>2358</v>
      </c>
      <c r="C342" s="1">
        <v>44910</v>
      </c>
      <c r="D342" s="2">
        <v>36</v>
      </c>
      <c r="E342" t="s">
        <v>4</v>
      </c>
      <c r="F342" t="s">
        <v>1311</v>
      </c>
      <c r="G342">
        <v>0</v>
      </c>
      <c r="H342" s="3">
        <v>1500000</v>
      </c>
      <c r="I342" s="3">
        <v>0</v>
      </c>
      <c r="J342" s="3">
        <v>0</v>
      </c>
      <c r="K342" s="3">
        <v>0</v>
      </c>
      <c r="L342" s="3" t="s">
        <v>1191</v>
      </c>
      <c r="M342">
        <v>1567786</v>
      </c>
      <c r="N342" t="s">
        <v>662</v>
      </c>
      <c r="O342" t="s">
        <v>663</v>
      </c>
      <c r="P342" t="s">
        <v>664</v>
      </c>
      <c r="Q342" t="s">
        <v>13</v>
      </c>
      <c r="R342">
        <v>2646</v>
      </c>
      <c r="S342" t="s">
        <v>51</v>
      </c>
      <c r="T342" t="s">
        <v>970</v>
      </c>
      <c r="U342">
        <v>1</v>
      </c>
      <c r="V342" t="s">
        <v>1132</v>
      </c>
      <c r="W342" t="s">
        <v>1194</v>
      </c>
      <c r="X342" t="s">
        <v>1309</v>
      </c>
      <c r="Y342">
        <v>50000</v>
      </c>
      <c r="Z342" s="2">
        <v>5</v>
      </c>
      <c r="AA342" s="2" t="s">
        <v>1238</v>
      </c>
      <c r="AB342" t="s">
        <v>1238</v>
      </c>
      <c r="AC342">
        <v>633</v>
      </c>
      <c r="AD342" t="s">
        <v>1279</v>
      </c>
      <c r="AE342">
        <v>3</v>
      </c>
      <c r="AF342" t="s">
        <v>1291</v>
      </c>
      <c r="AG342">
        <v>0</v>
      </c>
      <c r="AH342">
        <v>0</v>
      </c>
      <c r="AI342">
        <v>0</v>
      </c>
      <c r="AJ342">
        <v>2020</v>
      </c>
      <c r="AK342" t="s">
        <v>1194</v>
      </c>
      <c r="AL342" t="s">
        <v>1194</v>
      </c>
      <c r="AM342" s="4" t="s">
        <v>1238</v>
      </c>
      <c r="AN342">
        <v>1</v>
      </c>
      <c r="AO342" t="s">
        <v>1317</v>
      </c>
      <c r="AP342">
        <f t="shared" si="10"/>
        <v>0</v>
      </c>
      <c r="AQ342">
        <v>0</v>
      </c>
      <c r="AR342" t="s">
        <v>1993</v>
      </c>
      <c r="AS342" t="s">
        <v>1996</v>
      </c>
      <c r="AT342" t="s">
        <v>1995</v>
      </c>
      <c r="AU342" t="s">
        <v>1995</v>
      </c>
      <c r="AV342" t="s">
        <v>1995</v>
      </c>
      <c r="AW342" t="s">
        <v>1995</v>
      </c>
      <c r="AX342" t="s">
        <v>2006</v>
      </c>
      <c r="AY342" t="s">
        <v>1996</v>
      </c>
      <c r="AZ342">
        <v>1000</v>
      </c>
      <c r="BA342" t="s">
        <v>1194</v>
      </c>
      <c r="BB342" t="s">
        <v>1194</v>
      </c>
      <c r="BC342" s="3">
        <v>2794.0778</v>
      </c>
      <c r="BD342" s="3">
        <v>3254.44</v>
      </c>
      <c r="BE342" s="3">
        <v>0</v>
      </c>
      <c r="BF342" s="3">
        <v>0</v>
      </c>
      <c r="BG342" s="3">
        <v>0</v>
      </c>
      <c r="BH342" s="3">
        <v>0</v>
      </c>
      <c r="BI342" s="3">
        <v>3251</v>
      </c>
      <c r="BJ342" s="3">
        <v>9300</v>
      </c>
      <c r="BK342" s="3">
        <v>0</v>
      </c>
      <c r="BL342" s="3">
        <v>9300</v>
      </c>
      <c r="BM342" s="2">
        <f t="shared" ca="1" si="11"/>
        <v>4</v>
      </c>
      <c r="BN342" s="3">
        <v>250000</v>
      </c>
      <c r="BO342" s="3">
        <v>20000</v>
      </c>
      <c r="BP342" s="3">
        <v>50000</v>
      </c>
      <c r="BQ342" s="3">
        <v>25000</v>
      </c>
      <c r="BR342" s="3">
        <v>250000</v>
      </c>
      <c r="BS342">
        <v>1000000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 t="s">
        <v>2938</v>
      </c>
      <c r="CA342" t="s">
        <v>2939</v>
      </c>
      <c r="CB342" t="s">
        <v>2006</v>
      </c>
    </row>
    <row r="343" spans="1:80" x14ac:dyDescent="0.25">
      <c r="A343">
        <v>342</v>
      </c>
      <c r="B343" t="s">
        <v>2359</v>
      </c>
      <c r="C343" s="1">
        <v>44930</v>
      </c>
      <c r="D343" s="2">
        <v>3</v>
      </c>
      <c r="E343" t="s">
        <v>4</v>
      </c>
      <c r="F343" t="s">
        <v>1310</v>
      </c>
      <c r="G343">
        <v>0</v>
      </c>
      <c r="H343" s="3">
        <v>2000000</v>
      </c>
      <c r="I343" s="3">
        <v>301000</v>
      </c>
      <c r="J343" s="3">
        <v>0</v>
      </c>
      <c r="K343" s="3">
        <v>0</v>
      </c>
      <c r="L343" s="3" t="s">
        <v>1191</v>
      </c>
      <c r="M343">
        <v>1573923</v>
      </c>
      <c r="N343" t="s">
        <v>665</v>
      </c>
      <c r="P343" t="s">
        <v>666</v>
      </c>
      <c r="Q343" t="s">
        <v>19</v>
      </c>
      <c r="R343">
        <v>94040</v>
      </c>
      <c r="S343" t="s">
        <v>83</v>
      </c>
      <c r="T343" t="s">
        <v>965</v>
      </c>
      <c r="U343">
        <v>0</v>
      </c>
      <c r="V343">
        <v>29</v>
      </c>
      <c r="W343" t="s">
        <v>1201</v>
      </c>
      <c r="X343" t="s">
        <v>973</v>
      </c>
      <c r="Y343">
        <v>5000</v>
      </c>
      <c r="Z343" s="2" t="s">
        <v>1194</v>
      </c>
      <c r="AA343" s="2" t="s">
        <v>1238</v>
      </c>
      <c r="AB343" t="s">
        <v>1238</v>
      </c>
      <c r="AC343" t="s">
        <v>1194</v>
      </c>
      <c r="AD343" t="s">
        <v>1279</v>
      </c>
      <c r="AE343">
        <v>1</v>
      </c>
      <c r="AF343" t="s">
        <v>1290</v>
      </c>
      <c r="AG343">
        <v>0</v>
      </c>
      <c r="AH343">
        <v>0</v>
      </c>
      <c r="AI343">
        <v>0</v>
      </c>
      <c r="AJ343">
        <v>1968</v>
      </c>
      <c r="AK343">
        <v>2013</v>
      </c>
      <c r="AL343">
        <v>2013</v>
      </c>
      <c r="AM343" s="4" t="s">
        <v>1304</v>
      </c>
      <c r="AN343">
        <v>1</v>
      </c>
      <c r="AO343" t="s">
        <v>1317</v>
      </c>
      <c r="AP343">
        <f t="shared" si="10"/>
        <v>0</v>
      </c>
      <c r="AQ343">
        <v>1</v>
      </c>
      <c r="AR343" t="s">
        <v>1992</v>
      </c>
      <c r="AS343" t="s">
        <v>1995</v>
      </c>
      <c r="AT343" t="s">
        <v>1995</v>
      </c>
      <c r="AU343" t="s">
        <v>1995</v>
      </c>
      <c r="AV343" t="s">
        <v>1996</v>
      </c>
      <c r="AW343" t="s">
        <v>1995</v>
      </c>
      <c r="AX343" t="s">
        <v>1194</v>
      </c>
      <c r="AY343" t="s">
        <v>1996</v>
      </c>
      <c r="AZ343">
        <v>2500</v>
      </c>
      <c r="BA343" t="s">
        <v>1194</v>
      </c>
      <c r="BB343" t="s">
        <v>2014</v>
      </c>
      <c r="BC343" s="3">
        <v>0</v>
      </c>
      <c r="BD343" s="3">
        <v>0</v>
      </c>
      <c r="BE343" s="3">
        <v>4929.62</v>
      </c>
      <c r="BF343" s="3">
        <v>4380.4799999999996</v>
      </c>
      <c r="BG343" s="3">
        <v>150</v>
      </c>
      <c r="BH343" s="3">
        <v>0</v>
      </c>
      <c r="BI343" s="3">
        <v>6640</v>
      </c>
      <c r="BJ343" s="3">
        <v>16100.1</v>
      </c>
      <c r="BK343" s="3">
        <v>5274.74</v>
      </c>
      <c r="BL343" s="3">
        <v>21374.84</v>
      </c>
      <c r="BM343" s="2">
        <f t="shared" ca="1" si="11"/>
        <v>0</v>
      </c>
      <c r="BN343" s="3">
        <v>1000000</v>
      </c>
      <c r="BO343" s="3">
        <v>250000</v>
      </c>
      <c r="BP343" s="3">
        <v>50000</v>
      </c>
      <c r="BQ343" s="3">
        <v>50000</v>
      </c>
      <c r="BR343" s="3">
        <v>50000</v>
      </c>
      <c r="BS343">
        <v>50000</v>
      </c>
      <c r="BT343">
        <v>0</v>
      </c>
      <c r="BU343">
        <v>1</v>
      </c>
      <c r="BV343">
        <v>0</v>
      </c>
      <c r="BW343">
        <v>0</v>
      </c>
      <c r="BX343">
        <v>1</v>
      </c>
      <c r="BY343">
        <v>0</v>
      </c>
      <c r="BZ343" t="s">
        <v>2950</v>
      </c>
      <c r="CA343" t="s">
        <v>1194</v>
      </c>
      <c r="CB343" t="s">
        <v>2941</v>
      </c>
    </row>
    <row r="344" spans="1:80" x14ac:dyDescent="0.25">
      <c r="A344">
        <v>343</v>
      </c>
      <c r="B344" t="s">
        <v>2360</v>
      </c>
      <c r="C344" s="1">
        <v>44866</v>
      </c>
      <c r="D344" s="2">
        <v>33</v>
      </c>
      <c r="E344" t="s">
        <v>4</v>
      </c>
      <c r="F344" t="s">
        <v>1311</v>
      </c>
      <c r="G344">
        <v>1</v>
      </c>
      <c r="H344" s="3">
        <v>10000000</v>
      </c>
      <c r="I344" s="3">
        <v>1000000</v>
      </c>
      <c r="J344" s="3">
        <v>0</v>
      </c>
      <c r="K344" s="3">
        <v>0</v>
      </c>
      <c r="L344" s="3" t="s">
        <v>1191</v>
      </c>
      <c r="M344">
        <v>1759687</v>
      </c>
      <c r="N344" t="s">
        <v>667</v>
      </c>
      <c r="P344" t="s">
        <v>25</v>
      </c>
      <c r="Q344" t="s">
        <v>13</v>
      </c>
      <c r="R344">
        <v>2554</v>
      </c>
      <c r="S344" t="s">
        <v>25</v>
      </c>
      <c r="T344" t="s">
        <v>962</v>
      </c>
      <c r="U344">
        <v>0</v>
      </c>
      <c r="V344" t="s">
        <v>983</v>
      </c>
      <c r="W344" t="s">
        <v>1194</v>
      </c>
      <c r="X344" t="s">
        <v>973</v>
      </c>
      <c r="Y344">
        <v>25000</v>
      </c>
      <c r="Z344" s="2">
        <v>2</v>
      </c>
      <c r="AA344" s="2" t="s">
        <v>1238</v>
      </c>
      <c r="AB344" t="s">
        <v>1238</v>
      </c>
      <c r="AC344">
        <v>863</v>
      </c>
      <c r="AD344" t="s">
        <v>1279</v>
      </c>
      <c r="AE344">
        <v>3</v>
      </c>
      <c r="AF344" t="s">
        <v>1291</v>
      </c>
      <c r="AG344">
        <v>0</v>
      </c>
      <c r="AH344">
        <v>0</v>
      </c>
      <c r="AI344">
        <v>0</v>
      </c>
      <c r="AJ344">
        <v>2022</v>
      </c>
      <c r="AK344">
        <v>2022</v>
      </c>
      <c r="AL344" t="s">
        <v>1194</v>
      </c>
      <c r="AM344" s="4" t="s">
        <v>1238</v>
      </c>
      <c r="AN344">
        <v>1</v>
      </c>
      <c r="AO344" t="s">
        <v>1316</v>
      </c>
      <c r="AP344">
        <f t="shared" si="10"/>
        <v>0</v>
      </c>
      <c r="AQ344">
        <v>1</v>
      </c>
      <c r="AR344" t="s">
        <v>1992</v>
      </c>
      <c r="AS344" t="s">
        <v>1995</v>
      </c>
      <c r="AT344" t="s">
        <v>1996</v>
      </c>
      <c r="AU344" t="s">
        <v>1996</v>
      </c>
      <c r="AV344" t="s">
        <v>1996</v>
      </c>
      <c r="AW344" t="s">
        <v>1995</v>
      </c>
      <c r="AX344" t="s">
        <v>2003</v>
      </c>
      <c r="AY344" t="s">
        <v>1996</v>
      </c>
      <c r="AZ344">
        <v>7000</v>
      </c>
      <c r="BA344" t="s">
        <v>1194</v>
      </c>
      <c r="BB344" t="s">
        <v>1194</v>
      </c>
      <c r="BC344" s="3">
        <v>16600.6286</v>
      </c>
      <c r="BD344" s="3">
        <v>14227.33</v>
      </c>
      <c r="BE344" s="3">
        <v>0</v>
      </c>
      <c r="BF344" s="3">
        <v>0</v>
      </c>
      <c r="BG344" s="3">
        <v>150</v>
      </c>
      <c r="BH344" s="3">
        <v>0</v>
      </c>
      <c r="BI344" s="3">
        <v>15355</v>
      </c>
      <c r="BJ344" s="3">
        <v>46333</v>
      </c>
      <c r="BK344" s="3">
        <v>875</v>
      </c>
      <c r="BL344" s="3">
        <v>47208</v>
      </c>
      <c r="BM344" s="2">
        <f t="shared" ca="1" si="11"/>
        <v>0</v>
      </c>
      <c r="BN344" s="3" t="s">
        <v>2916</v>
      </c>
      <c r="BO344" s="3">
        <v>100000</v>
      </c>
      <c r="BP344" s="3" t="s">
        <v>2922</v>
      </c>
      <c r="BQ344" s="3">
        <v>50000</v>
      </c>
      <c r="BR344" s="3">
        <v>500000</v>
      </c>
      <c r="BS344">
        <v>1000000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 t="s">
        <v>2942</v>
      </c>
      <c r="CA344" t="s">
        <v>2006</v>
      </c>
      <c r="CB344" t="s">
        <v>2941</v>
      </c>
    </row>
    <row r="345" spans="1:80" x14ac:dyDescent="0.25">
      <c r="A345">
        <v>344</v>
      </c>
      <c r="B345" t="s">
        <v>2361</v>
      </c>
      <c r="C345" s="1">
        <v>44868</v>
      </c>
      <c r="D345" s="2">
        <v>33</v>
      </c>
      <c r="E345" t="s">
        <v>4</v>
      </c>
      <c r="F345" t="s">
        <v>1311</v>
      </c>
      <c r="G345">
        <v>0</v>
      </c>
      <c r="H345" s="3">
        <v>4000000</v>
      </c>
      <c r="I345" s="3">
        <v>40000</v>
      </c>
      <c r="J345" s="3">
        <v>0</v>
      </c>
      <c r="K345" s="3">
        <v>0</v>
      </c>
      <c r="L345" s="3" t="s">
        <v>1191</v>
      </c>
      <c r="M345">
        <v>1576634</v>
      </c>
      <c r="N345" t="s">
        <v>668</v>
      </c>
      <c r="P345" t="s">
        <v>271</v>
      </c>
      <c r="Q345" t="s">
        <v>14</v>
      </c>
      <c r="R345">
        <v>11238</v>
      </c>
      <c r="S345" t="s">
        <v>67</v>
      </c>
      <c r="T345" t="s">
        <v>962</v>
      </c>
      <c r="U345">
        <v>0</v>
      </c>
      <c r="V345" t="s">
        <v>1092</v>
      </c>
      <c r="W345" t="s">
        <v>1194</v>
      </c>
      <c r="X345" t="s">
        <v>973</v>
      </c>
      <c r="Y345">
        <v>50000</v>
      </c>
      <c r="Z345" s="2">
        <v>2</v>
      </c>
      <c r="AA345" s="2" t="s">
        <v>1238</v>
      </c>
      <c r="AB345" t="s">
        <v>1238</v>
      </c>
      <c r="AC345">
        <v>829</v>
      </c>
      <c r="AD345" t="s">
        <v>1279</v>
      </c>
      <c r="AE345">
        <v>1</v>
      </c>
      <c r="AF345" t="s">
        <v>1290</v>
      </c>
      <c r="AG345">
        <v>0</v>
      </c>
      <c r="AH345">
        <v>0</v>
      </c>
      <c r="AI345">
        <v>0</v>
      </c>
      <c r="AJ345">
        <v>1840</v>
      </c>
      <c r="AK345">
        <v>2020</v>
      </c>
      <c r="AL345">
        <v>2020</v>
      </c>
      <c r="AM345" s="4" t="s">
        <v>1238</v>
      </c>
      <c r="AN345">
        <v>1</v>
      </c>
      <c r="AO345" t="s">
        <v>1315</v>
      </c>
      <c r="AP345">
        <f t="shared" si="10"/>
        <v>0</v>
      </c>
      <c r="AQ345">
        <v>0</v>
      </c>
      <c r="AR345" t="s">
        <v>1993</v>
      </c>
      <c r="AS345" t="s">
        <v>1995</v>
      </c>
      <c r="AT345" t="s">
        <v>1995</v>
      </c>
      <c r="AU345" t="s">
        <v>1995</v>
      </c>
      <c r="AV345" t="s">
        <v>1995</v>
      </c>
      <c r="AW345" t="s">
        <v>1996</v>
      </c>
      <c r="AX345" t="s">
        <v>2006</v>
      </c>
      <c r="AY345" t="s">
        <v>1996</v>
      </c>
      <c r="AZ345">
        <v>3500</v>
      </c>
      <c r="BA345" t="s">
        <v>1194</v>
      </c>
      <c r="BB345" t="s">
        <v>1194</v>
      </c>
      <c r="BC345" s="3">
        <v>21702.998500000002</v>
      </c>
      <c r="BD345" s="3">
        <v>2298.23</v>
      </c>
      <c r="BE345" s="3">
        <v>0</v>
      </c>
      <c r="BF345" s="3">
        <v>0</v>
      </c>
      <c r="BG345" s="3">
        <v>200</v>
      </c>
      <c r="BH345" s="3">
        <v>0</v>
      </c>
      <c r="BI345" s="3">
        <v>0</v>
      </c>
      <c r="BJ345" s="3">
        <v>24201</v>
      </c>
      <c r="BK345" s="3">
        <v>0</v>
      </c>
      <c r="BL345" s="3">
        <v>24201</v>
      </c>
      <c r="BM345" s="2">
        <f t="shared" ca="1" si="11"/>
        <v>3</v>
      </c>
      <c r="BN345" s="3" t="s">
        <v>2916</v>
      </c>
      <c r="BO345" s="3">
        <v>100000</v>
      </c>
      <c r="BP345" s="3">
        <v>50000</v>
      </c>
      <c r="BQ345" s="3">
        <v>500000</v>
      </c>
      <c r="BR345" s="3">
        <v>1000000</v>
      </c>
      <c r="BS345">
        <v>250000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 t="s">
        <v>2938</v>
      </c>
      <c r="CA345" t="s">
        <v>2939</v>
      </c>
      <c r="CB345" t="s">
        <v>2006</v>
      </c>
    </row>
    <row r="346" spans="1:80" x14ac:dyDescent="0.25">
      <c r="A346">
        <v>345</v>
      </c>
      <c r="B346" t="s">
        <v>2361</v>
      </c>
      <c r="C346" s="1">
        <v>44868</v>
      </c>
      <c r="D346" s="2">
        <v>33</v>
      </c>
      <c r="E346" t="s">
        <v>4</v>
      </c>
      <c r="F346" t="s">
        <v>1311</v>
      </c>
      <c r="G346">
        <v>0</v>
      </c>
      <c r="H346" s="3">
        <v>4000000</v>
      </c>
      <c r="I346" s="3">
        <v>40000</v>
      </c>
      <c r="J346" s="3">
        <v>0</v>
      </c>
      <c r="K346" s="3">
        <v>0</v>
      </c>
      <c r="L346" s="3" t="s">
        <v>1191</v>
      </c>
      <c r="M346">
        <v>1577931</v>
      </c>
      <c r="N346" t="s">
        <v>669</v>
      </c>
      <c r="P346" t="s">
        <v>271</v>
      </c>
      <c r="Q346" t="s">
        <v>14</v>
      </c>
      <c r="R346">
        <v>11238</v>
      </c>
      <c r="S346" t="s">
        <v>67</v>
      </c>
      <c r="T346" t="s">
        <v>962</v>
      </c>
      <c r="U346">
        <v>0</v>
      </c>
      <c r="V346" t="s">
        <v>1092</v>
      </c>
      <c r="W346" t="s">
        <v>1194</v>
      </c>
      <c r="X346" t="s">
        <v>973</v>
      </c>
      <c r="Y346">
        <v>50000</v>
      </c>
      <c r="Z346" s="2">
        <v>2</v>
      </c>
      <c r="AA346" s="2" t="s">
        <v>1238</v>
      </c>
      <c r="AB346" t="s">
        <v>1238</v>
      </c>
      <c r="AC346">
        <v>829</v>
      </c>
      <c r="AD346" t="s">
        <v>1279</v>
      </c>
      <c r="AE346">
        <v>1</v>
      </c>
      <c r="AF346" t="s">
        <v>1290</v>
      </c>
      <c r="AG346">
        <v>0</v>
      </c>
      <c r="AH346">
        <v>0</v>
      </c>
      <c r="AI346">
        <v>0</v>
      </c>
      <c r="AJ346">
        <v>1840</v>
      </c>
      <c r="AK346">
        <v>2020</v>
      </c>
      <c r="AL346">
        <v>2020</v>
      </c>
      <c r="AM346" s="4" t="s">
        <v>1238</v>
      </c>
      <c r="AN346">
        <v>0</v>
      </c>
      <c r="AO346" t="s">
        <v>1315</v>
      </c>
      <c r="AP346">
        <f t="shared" si="10"/>
        <v>0</v>
      </c>
      <c r="AQ346">
        <v>0</v>
      </c>
      <c r="AR346" t="s">
        <v>1993</v>
      </c>
      <c r="AS346" t="s">
        <v>1995</v>
      </c>
      <c r="AT346" t="s">
        <v>1996</v>
      </c>
      <c r="AU346" t="s">
        <v>1996</v>
      </c>
      <c r="AV346" t="s">
        <v>1995</v>
      </c>
      <c r="AW346" t="s">
        <v>1995</v>
      </c>
      <c r="AX346" t="s">
        <v>2006</v>
      </c>
      <c r="AY346" t="s">
        <v>1996</v>
      </c>
      <c r="AZ346">
        <v>3500</v>
      </c>
      <c r="BA346" t="s">
        <v>1194</v>
      </c>
      <c r="BB346" t="s">
        <v>1194</v>
      </c>
      <c r="BC346" s="3">
        <v>21702.998500000002</v>
      </c>
      <c r="BD346" s="3">
        <v>2298.23</v>
      </c>
      <c r="BE346" s="3">
        <v>0</v>
      </c>
      <c r="BF346" s="3">
        <v>0</v>
      </c>
      <c r="BG346" s="3">
        <v>200</v>
      </c>
      <c r="BH346" s="3">
        <v>0</v>
      </c>
      <c r="BI346" s="3">
        <v>0</v>
      </c>
      <c r="BJ346" s="3">
        <v>24201</v>
      </c>
      <c r="BK346" s="3">
        <v>0</v>
      </c>
      <c r="BL346" s="3">
        <v>24201</v>
      </c>
      <c r="BM346" s="2">
        <f t="shared" ca="1" si="11"/>
        <v>6</v>
      </c>
      <c r="BN346" s="3">
        <v>1000000</v>
      </c>
      <c r="BO346" s="3">
        <v>25000</v>
      </c>
      <c r="BP346" s="3" t="s">
        <v>2922</v>
      </c>
      <c r="BQ346" s="3">
        <v>2000000</v>
      </c>
      <c r="BR346" s="3">
        <v>250000</v>
      </c>
      <c r="BS346">
        <v>500000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 t="s">
        <v>2938</v>
      </c>
      <c r="CA346" t="s">
        <v>2939</v>
      </c>
      <c r="CB346" t="s">
        <v>2006</v>
      </c>
    </row>
    <row r="347" spans="1:80" x14ac:dyDescent="0.25">
      <c r="A347">
        <v>346</v>
      </c>
      <c r="B347" t="s">
        <v>2362</v>
      </c>
      <c r="C347" s="1">
        <v>44856</v>
      </c>
      <c r="D347" s="2">
        <v>30</v>
      </c>
      <c r="E347" t="s">
        <v>4</v>
      </c>
      <c r="F347" t="s">
        <v>1311</v>
      </c>
      <c r="G347">
        <v>0</v>
      </c>
      <c r="H347" s="3">
        <v>2840000</v>
      </c>
      <c r="I347" s="3">
        <v>50000</v>
      </c>
      <c r="J347" s="3">
        <v>20000</v>
      </c>
      <c r="K347" s="3">
        <v>0</v>
      </c>
      <c r="L347" s="3" t="s">
        <v>1191</v>
      </c>
      <c r="M347">
        <v>1581857</v>
      </c>
      <c r="N347" t="s">
        <v>670</v>
      </c>
      <c r="P347" t="s">
        <v>62</v>
      </c>
      <c r="Q347" t="s">
        <v>19</v>
      </c>
      <c r="R347">
        <v>94114</v>
      </c>
      <c r="S347" t="s">
        <v>62</v>
      </c>
      <c r="T347" t="s">
        <v>975</v>
      </c>
      <c r="U347">
        <v>0</v>
      </c>
      <c r="V347">
        <v>33</v>
      </c>
      <c r="W347" t="s">
        <v>1198</v>
      </c>
      <c r="X347" t="s">
        <v>973</v>
      </c>
      <c r="Y347">
        <v>5000</v>
      </c>
      <c r="Z347" s="2" t="s">
        <v>1194</v>
      </c>
      <c r="AA347" s="2" t="s">
        <v>1238</v>
      </c>
      <c r="AB347" t="s">
        <v>1238</v>
      </c>
      <c r="AC347" t="s">
        <v>1194</v>
      </c>
      <c r="AD347" t="s">
        <v>1279</v>
      </c>
      <c r="AE347">
        <v>1</v>
      </c>
      <c r="AF347" t="s">
        <v>1290</v>
      </c>
      <c r="AG347">
        <v>0</v>
      </c>
      <c r="AH347">
        <v>0</v>
      </c>
      <c r="AI347">
        <v>0</v>
      </c>
      <c r="AJ347">
        <v>1918</v>
      </c>
      <c r="AK347">
        <v>2001</v>
      </c>
      <c r="AL347" t="s">
        <v>1194</v>
      </c>
      <c r="AM347" s="4" t="s">
        <v>1238</v>
      </c>
      <c r="AN347">
        <v>0</v>
      </c>
      <c r="AO347" t="s">
        <v>1316</v>
      </c>
      <c r="AP347">
        <f t="shared" si="10"/>
        <v>0</v>
      </c>
      <c r="AQ347">
        <v>1</v>
      </c>
      <c r="AR347" t="s">
        <v>1992</v>
      </c>
      <c r="AS347" t="s">
        <v>1995</v>
      </c>
      <c r="AT347" t="s">
        <v>1996</v>
      </c>
      <c r="AU347" t="s">
        <v>1996</v>
      </c>
      <c r="AV347" t="s">
        <v>1996</v>
      </c>
      <c r="AW347" t="s">
        <v>1996</v>
      </c>
      <c r="AX347" t="s">
        <v>1194</v>
      </c>
      <c r="AY347" t="s">
        <v>1996</v>
      </c>
      <c r="AZ347">
        <v>1840</v>
      </c>
      <c r="BA347" t="s">
        <v>1194</v>
      </c>
      <c r="BB347" t="s">
        <v>2014</v>
      </c>
      <c r="BC347" s="3">
        <v>0</v>
      </c>
      <c r="BD347" s="3">
        <v>0</v>
      </c>
      <c r="BE347" s="3">
        <v>13318.94</v>
      </c>
      <c r="BF347" s="3">
        <v>2640.44</v>
      </c>
      <c r="BG347" s="3">
        <v>150</v>
      </c>
      <c r="BH347" s="3">
        <v>0</v>
      </c>
      <c r="BI347" s="3">
        <v>0</v>
      </c>
      <c r="BJ347" s="3">
        <v>16109.38</v>
      </c>
      <c r="BK347" s="3">
        <v>225</v>
      </c>
      <c r="BL347" s="3">
        <v>16334.38</v>
      </c>
      <c r="BM347" s="2">
        <f t="shared" ca="1" si="11"/>
        <v>1</v>
      </c>
      <c r="BN347" s="3">
        <v>500000</v>
      </c>
      <c r="BO347" s="3">
        <v>25000</v>
      </c>
      <c r="BP347" s="3">
        <v>50000</v>
      </c>
      <c r="BQ347" s="3">
        <v>250000</v>
      </c>
      <c r="BR347" s="3">
        <v>2000000</v>
      </c>
      <c r="BS347">
        <v>50000</v>
      </c>
      <c r="BT347">
        <v>0</v>
      </c>
      <c r="BU347">
        <v>0</v>
      </c>
      <c r="BV347">
        <v>1</v>
      </c>
      <c r="BW347">
        <v>0</v>
      </c>
      <c r="BX347">
        <v>0</v>
      </c>
      <c r="BY347">
        <v>0</v>
      </c>
      <c r="BZ347" t="s">
        <v>2949</v>
      </c>
      <c r="CA347" t="s">
        <v>1194</v>
      </c>
      <c r="CB347" t="s">
        <v>2952</v>
      </c>
    </row>
    <row r="348" spans="1:80" x14ac:dyDescent="0.25">
      <c r="A348">
        <v>347</v>
      </c>
      <c r="B348" t="s">
        <v>2363</v>
      </c>
      <c r="C348" s="1">
        <v>44827</v>
      </c>
      <c r="D348" s="2">
        <v>27</v>
      </c>
      <c r="E348" t="s">
        <v>4</v>
      </c>
      <c r="F348" t="s">
        <v>1311</v>
      </c>
      <c r="G348">
        <v>1</v>
      </c>
      <c r="H348" s="3">
        <v>7875000</v>
      </c>
      <c r="I348" s="3">
        <v>1000000</v>
      </c>
      <c r="J348" s="3">
        <v>25000</v>
      </c>
      <c r="K348" s="3">
        <v>0</v>
      </c>
      <c r="L348" s="3" t="s">
        <v>1191</v>
      </c>
      <c r="M348">
        <v>1768485</v>
      </c>
      <c r="N348" t="s">
        <v>671</v>
      </c>
      <c r="P348" t="s">
        <v>248</v>
      </c>
      <c r="Q348" t="s">
        <v>20</v>
      </c>
      <c r="R348">
        <v>30327</v>
      </c>
      <c r="S348" t="s">
        <v>57</v>
      </c>
      <c r="T348" t="s">
        <v>973</v>
      </c>
      <c r="U348">
        <v>0</v>
      </c>
      <c r="V348">
        <v>17</v>
      </c>
      <c r="W348" t="s">
        <v>1195</v>
      </c>
      <c r="X348" t="s">
        <v>973</v>
      </c>
      <c r="Y348">
        <v>10000</v>
      </c>
      <c r="Z348" s="2" t="s">
        <v>1194</v>
      </c>
      <c r="AA348" s="2">
        <v>0</v>
      </c>
      <c r="AB348" t="s">
        <v>1238</v>
      </c>
      <c r="AC348">
        <v>668</v>
      </c>
      <c r="AD348" t="s">
        <v>1279</v>
      </c>
      <c r="AE348">
        <v>1</v>
      </c>
      <c r="AF348" t="s">
        <v>1290</v>
      </c>
      <c r="AG348">
        <v>0</v>
      </c>
      <c r="AH348">
        <v>0</v>
      </c>
      <c r="AI348">
        <v>0</v>
      </c>
      <c r="AJ348">
        <v>1988</v>
      </c>
      <c r="AK348" t="s">
        <v>1194</v>
      </c>
      <c r="AL348">
        <v>2022</v>
      </c>
      <c r="AM348" s="4" t="s">
        <v>1238</v>
      </c>
      <c r="AN348">
        <v>0</v>
      </c>
      <c r="AO348" t="s">
        <v>1317</v>
      </c>
      <c r="AP348">
        <f t="shared" si="10"/>
        <v>0</v>
      </c>
      <c r="AQ348">
        <v>0</v>
      </c>
      <c r="AR348" t="s">
        <v>1993</v>
      </c>
      <c r="AS348" t="s">
        <v>1995</v>
      </c>
      <c r="AT348" t="s">
        <v>1996</v>
      </c>
      <c r="AU348" t="s">
        <v>1995</v>
      </c>
      <c r="AV348" t="s">
        <v>1995</v>
      </c>
      <c r="AW348" t="s">
        <v>1995</v>
      </c>
      <c r="AX348" t="s">
        <v>2003</v>
      </c>
      <c r="AY348" t="s">
        <v>1996</v>
      </c>
      <c r="AZ348">
        <v>12789</v>
      </c>
      <c r="BA348" t="s">
        <v>1194</v>
      </c>
      <c r="BB348" t="s">
        <v>1194</v>
      </c>
      <c r="BC348" s="3">
        <v>24210.470799999999</v>
      </c>
      <c r="BD348" s="3">
        <v>19471.759999999998</v>
      </c>
      <c r="BE348" s="3">
        <v>0</v>
      </c>
      <c r="BF348" s="3">
        <v>0</v>
      </c>
      <c r="BG348" s="3">
        <v>150</v>
      </c>
      <c r="BH348" s="3">
        <v>0</v>
      </c>
      <c r="BI348" s="3">
        <v>-4632</v>
      </c>
      <c r="BJ348" s="3">
        <v>39200</v>
      </c>
      <c r="BK348" s="3">
        <v>150</v>
      </c>
      <c r="BL348" s="3">
        <v>39350</v>
      </c>
      <c r="BM348" s="2">
        <f t="shared" ca="1" si="11"/>
        <v>4</v>
      </c>
      <c r="BN348" s="3">
        <v>1000000</v>
      </c>
      <c r="BO348" s="3">
        <v>250000</v>
      </c>
      <c r="BP348" s="3">
        <v>50000</v>
      </c>
      <c r="BQ348" s="3">
        <v>100000</v>
      </c>
      <c r="BR348" s="3">
        <v>250000</v>
      </c>
      <c r="BS348">
        <v>500000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 t="s">
        <v>2006</v>
      </c>
      <c r="CA348" t="s">
        <v>2006</v>
      </c>
      <c r="CB348" t="s">
        <v>2945</v>
      </c>
    </row>
    <row r="349" spans="1:80" x14ac:dyDescent="0.25">
      <c r="A349">
        <v>348</v>
      </c>
      <c r="B349" t="s">
        <v>2364</v>
      </c>
      <c r="C349" s="1">
        <v>44707</v>
      </c>
      <c r="D349" s="2">
        <v>15</v>
      </c>
      <c r="E349" t="s">
        <v>4</v>
      </c>
      <c r="F349" t="s">
        <v>1311</v>
      </c>
      <c r="G349">
        <v>1</v>
      </c>
      <c r="H349" s="3">
        <v>3920000</v>
      </c>
      <c r="I349" s="3">
        <v>75000</v>
      </c>
      <c r="J349" s="3">
        <v>0</v>
      </c>
      <c r="K349" s="3">
        <v>0</v>
      </c>
      <c r="L349" s="3" t="s">
        <v>1191</v>
      </c>
      <c r="M349">
        <v>1583381</v>
      </c>
      <c r="N349" t="s">
        <v>672</v>
      </c>
      <c r="P349" t="s">
        <v>271</v>
      </c>
      <c r="Q349" t="s">
        <v>14</v>
      </c>
      <c r="R349">
        <v>11215</v>
      </c>
      <c r="S349" t="s">
        <v>67</v>
      </c>
      <c r="T349" t="s">
        <v>963</v>
      </c>
      <c r="U349">
        <v>0</v>
      </c>
      <c r="V349" t="s">
        <v>1133</v>
      </c>
      <c r="W349" t="s">
        <v>1194</v>
      </c>
      <c r="X349" t="s">
        <v>973</v>
      </c>
      <c r="Y349">
        <v>10000</v>
      </c>
      <c r="Z349" s="2">
        <v>2</v>
      </c>
      <c r="AA349" s="2" t="s">
        <v>1238</v>
      </c>
      <c r="AB349" t="s">
        <v>1238</v>
      </c>
      <c r="AC349">
        <v>664</v>
      </c>
      <c r="AD349" t="s">
        <v>1280</v>
      </c>
      <c r="AE349">
        <v>1</v>
      </c>
      <c r="AF349" t="s">
        <v>1290</v>
      </c>
      <c r="AG349">
        <v>0</v>
      </c>
      <c r="AH349">
        <v>0</v>
      </c>
      <c r="AI349">
        <v>0</v>
      </c>
      <c r="AJ349">
        <v>1901</v>
      </c>
      <c r="AK349">
        <v>2022</v>
      </c>
      <c r="AL349">
        <v>2022</v>
      </c>
      <c r="AM349" s="4" t="s">
        <v>1238</v>
      </c>
      <c r="AN349">
        <v>0</v>
      </c>
      <c r="AO349" t="s">
        <v>1315</v>
      </c>
      <c r="AP349">
        <f t="shared" si="10"/>
        <v>0</v>
      </c>
      <c r="AQ349">
        <v>0</v>
      </c>
      <c r="AR349" t="s">
        <v>1993</v>
      </c>
      <c r="AS349" t="s">
        <v>1995</v>
      </c>
      <c r="AT349" t="s">
        <v>1995</v>
      </c>
      <c r="AU349" t="s">
        <v>1996</v>
      </c>
      <c r="AV349" t="s">
        <v>1995</v>
      </c>
      <c r="AW349" t="s">
        <v>1996</v>
      </c>
      <c r="AX349" t="s">
        <v>2006</v>
      </c>
      <c r="AY349" t="s">
        <v>1996</v>
      </c>
      <c r="AZ349">
        <v>2676</v>
      </c>
      <c r="BA349" t="s">
        <v>1194</v>
      </c>
      <c r="BB349" t="s">
        <v>1194</v>
      </c>
      <c r="BC349" s="3">
        <v>20396.489000000001</v>
      </c>
      <c r="BD349" s="3">
        <v>3231.25</v>
      </c>
      <c r="BE349" s="3">
        <v>0</v>
      </c>
      <c r="BF349" s="3">
        <v>0</v>
      </c>
      <c r="BG349" s="3">
        <v>150</v>
      </c>
      <c r="BH349" s="3">
        <v>0</v>
      </c>
      <c r="BI349" s="3">
        <v>2190</v>
      </c>
      <c r="BJ349" s="3">
        <v>25968</v>
      </c>
      <c r="BK349" s="3">
        <v>0</v>
      </c>
      <c r="BL349" s="3">
        <v>25968</v>
      </c>
      <c r="BM349" s="2">
        <f t="shared" ca="1" si="11"/>
        <v>4</v>
      </c>
      <c r="BN349" s="3">
        <v>50000</v>
      </c>
      <c r="BO349" s="3">
        <v>500000</v>
      </c>
      <c r="BP349" s="3" t="s">
        <v>2922</v>
      </c>
      <c r="BQ349" s="3">
        <v>100000</v>
      </c>
      <c r="BR349" s="3" t="s">
        <v>2916</v>
      </c>
      <c r="BS349">
        <v>500000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 t="s">
        <v>2938</v>
      </c>
      <c r="CA349" t="s">
        <v>2939</v>
      </c>
      <c r="CB349" t="s">
        <v>2006</v>
      </c>
    </row>
    <row r="350" spans="1:80" x14ac:dyDescent="0.25">
      <c r="A350">
        <v>349</v>
      </c>
      <c r="B350" t="s">
        <v>2365</v>
      </c>
      <c r="C350" s="1">
        <v>44682</v>
      </c>
      <c r="D350" s="2">
        <v>15</v>
      </c>
      <c r="E350" t="s">
        <v>4</v>
      </c>
      <c r="F350" t="s">
        <v>1311</v>
      </c>
      <c r="G350">
        <v>1</v>
      </c>
      <c r="H350" s="3">
        <v>5000000</v>
      </c>
      <c r="I350" s="3">
        <v>500000</v>
      </c>
      <c r="J350" s="3">
        <v>0</v>
      </c>
      <c r="K350" s="3">
        <v>0</v>
      </c>
      <c r="L350" s="3" t="s">
        <v>1191</v>
      </c>
      <c r="M350">
        <v>742751</v>
      </c>
      <c r="N350" t="s">
        <v>673</v>
      </c>
      <c r="P350" t="s">
        <v>674</v>
      </c>
      <c r="Q350" t="s">
        <v>15</v>
      </c>
      <c r="R350">
        <v>34216</v>
      </c>
      <c r="S350" t="s">
        <v>34</v>
      </c>
      <c r="T350" t="s">
        <v>967</v>
      </c>
      <c r="U350">
        <v>1</v>
      </c>
      <c r="V350" t="s">
        <v>1134</v>
      </c>
      <c r="W350" t="s">
        <v>1194</v>
      </c>
      <c r="X350" t="s">
        <v>1309</v>
      </c>
      <c r="Y350">
        <v>25000</v>
      </c>
      <c r="Z350" s="2">
        <v>5</v>
      </c>
      <c r="AA350" s="2" t="s">
        <v>1238</v>
      </c>
      <c r="AB350" t="s">
        <v>1238</v>
      </c>
      <c r="AC350">
        <v>1</v>
      </c>
      <c r="AD350" t="s">
        <v>1280</v>
      </c>
      <c r="AE350">
        <v>2</v>
      </c>
      <c r="AF350" t="s">
        <v>1292</v>
      </c>
      <c r="AG350">
        <v>0</v>
      </c>
      <c r="AH350">
        <v>0</v>
      </c>
      <c r="AI350">
        <v>0</v>
      </c>
      <c r="AJ350">
        <v>2022</v>
      </c>
      <c r="AK350" t="s">
        <v>1194</v>
      </c>
      <c r="AL350">
        <v>2022</v>
      </c>
      <c r="AM350" s="4" t="s">
        <v>1238</v>
      </c>
      <c r="AN350">
        <v>1</v>
      </c>
      <c r="AO350" t="s">
        <v>1315</v>
      </c>
      <c r="AP350">
        <f t="shared" si="10"/>
        <v>0</v>
      </c>
      <c r="AQ350">
        <v>0</v>
      </c>
      <c r="AR350" t="s">
        <v>1993</v>
      </c>
      <c r="AS350" t="s">
        <v>1996</v>
      </c>
      <c r="AT350" t="s">
        <v>1995</v>
      </c>
      <c r="AU350" t="s">
        <v>1995</v>
      </c>
      <c r="AV350" t="s">
        <v>1995</v>
      </c>
      <c r="AW350" t="s">
        <v>1995</v>
      </c>
      <c r="AX350" t="s">
        <v>2007</v>
      </c>
      <c r="AY350" t="s">
        <v>1995</v>
      </c>
      <c r="AZ350">
        <v>4000</v>
      </c>
      <c r="BA350" t="s">
        <v>1194</v>
      </c>
      <c r="BB350" t="s">
        <v>1194</v>
      </c>
      <c r="BC350" s="3">
        <v>10020.953100000001</v>
      </c>
      <c r="BD350" s="3">
        <v>25425.09</v>
      </c>
      <c r="BE350" s="3">
        <v>0</v>
      </c>
      <c r="BF350" s="3">
        <v>0</v>
      </c>
      <c r="BG350" s="3">
        <v>300</v>
      </c>
      <c r="BH350" s="3">
        <v>0</v>
      </c>
      <c r="BI350" s="3">
        <v>16504</v>
      </c>
      <c r="BJ350" s="3">
        <v>52250</v>
      </c>
      <c r="BK350" s="3">
        <v>1705.5</v>
      </c>
      <c r="BL350" s="3">
        <v>53955.5</v>
      </c>
      <c r="BM350" s="2">
        <f t="shared" ca="1" si="11"/>
        <v>0</v>
      </c>
      <c r="BN350" s="3">
        <v>50000</v>
      </c>
      <c r="BO350" s="3">
        <v>50000</v>
      </c>
      <c r="BP350" s="3" t="s">
        <v>2922</v>
      </c>
      <c r="BQ350" s="3">
        <v>500000</v>
      </c>
      <c r="BR350" s="3">
        <v>100000</v>
      </c>
      <c r="BS350">
        <v>50000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 t="s">
        <v>2940</v>
      </c>
      <c r="CA350" t="s">
        <v>2939</v>
      </c>
      <c r="CB350" t="s">
        <v>2941</v>
      </c>
    </row>
    <row r="351" spans="1:80" x14ac:dyDescent="0.25">
      <c r="A351">
        <v>350</v>
      </c>
      <c r="B351" t="s">
        <v>2366</v>
      </c>
      <c r="C351" s="1">
        <v>44944</v>
      </c>
      <c r="D351" s="2">
        <v>3</v>
      </c>
      <c r="E351" t="s">
        <v>4</v>
      </c>
      <c r="F351" t="s">
        <v>1310</v>
      </c>
      <c r="G351">
        <v>0</v>
      </c>
      <c r="H351" s="3">
        <v>5073345</v>
      </c>
      <c r="I351" s="3">
        <v>1515659</v>
      </c>
      <c r="J351" s="3">
        <v>750000</v>
      </c>
      <c r="K351" s="3">
        <v>0</v>
      </c>
      <c r="L351" s="3" t="s">
        <v>1191</v>
      </c>
      <c r="M351">
        <v>745308</v>
      </c>
      <c r="N351" t="s">
        <v>675</v>
      </c>
      <c r="P351" t="s">
        <v>676</v>
      </c>
      <c r="Q351" t="s">
        <v>13</v>
      </c>
      <c r="R351">
        <v>1773</v>
      </c>
      <c r="S351" t="s">
        <v>53</v>
      </c>
      <c r="T351" t="s">
        <v>968</v>
      </c>
      <c r="U351">
        <v>0</v>
      </c>
      <c r="V351" t="s">
        <v>1135</v>
      </c>
      <c r="W351" t="s">
        <v>1194</v>
      </c>
      <c r="X351" t="s">
        <v>973</v>
      </c>
      <c r="Y351">
        <v>10000</v>
      </c>
      <c r="Z351" s="2" t="s">
        <v>1194</v>
      </c>
      <c r="AA351" s="2" t="s">
        <v>1238</v>
      </c>
      <c r="AB351" t="s">
        <v>1238</v>
      </c>
      <c r="AC351">
        <v>668</v>
      </c>
      <c r="AD351" t="s">
        <v>1279</v>
      </c>
      <c r="AE351">
        <v>4</v>
      </c>
      <c r="AF351" t="s">
        <v>1290</v>
      </c>
      <c r="AG351">
        <v>0</v>
      </c>
      <c r="AH351">
        <v>0</v>
      </c>
      <c r="AI351">
        <v>0</v>
      </c>
      <c r="AJ351">
        <v>2013</v>
      </c>
      <c r="AK351">
        <v>2018</v>
      </c>
      <c r="AL351" t="s">
        <v>1194</v>
      </c>
      <c r="AM351" s="4" t="s">
        <v>1304</v>
      </c>
      <c r="AN351">
        <v>0</v>
      </c>
      <c r="AO351" t="s">
        <v>1316</v>
      </c>
      <c r="AP351">
        <f t="shared" si="10"/>
        <v>0</v>
      </c>
      <c r="AQ351">
        <v>1</v>
      </c>
      <c r="AR351" t="s">
        <v>1992</v>
      </c>
      <c r="AS351" t="s">
        <v>1996</v>
      </c>
      <c r="AT351" t="s">
        <v>1995</v>
      </c>
      <c r="AU351" t="s">
        <v>1996</v>
      </c>
      <c r="AV351" t="s">
        <v>1996</v>
      </c>
      <c r="AW351" t="s">
        <v>1996</v>
      </c>
      <c r="AX351" t="s">
        <v>2006</v>
      </c>
      <c r="AY351" t="s">
        <v>1996</v>
      </c>
      <c r="AZ351">
        <v>6021</v>
      </c>
      <c r="BA351" t="s">
        <v>1194</v>
      </c>
      <c r="BB351" t="s">
        <v>1194</v>
      </c>
      <c r="BC351" s="3">
        <v>12042.9411</v>
      </c>
      <c r="BD351" s="3">
        <v>2922.39</v>
      </c>
      <c r="BE351" s="3">
        <v>0</v>
      </c>
      <c r="BF351" s="3">
        <v>0</v>
      </c>
      <c r="BG351" s="3">
        <v>150</v>
      </c>
      <c r="BH351" s="3">
        <v>0</v>
      </c>
      <c r="BI351" s="3">
        <v>7565</v>
      </c>
      <c r="BJ351" s="3">
        <v>22680</v>
      </c>
      <c r="BK351" s="3">
        <v>70.56</v>
      </c>
      <c r="BL351" s="3">
        <v>22750.560000000001</v>
      </c>
      <c r="BM351" s="2">
        <f t="shared" ca="1" si="11"/>
        <v>5</v>
      </c>
      <c r="BN351" s="3" t="s">
        <v>2916</v>
      </c>
      <c r="BO351" s="3">
        <v>1000000</v>
      </c>
      <c r="BP351" s="3" t="s">
        <v>2922</v>
      </c>
      <c r="BQ351" s="3">
        <v>100000</v>
      </c>
      <c r="BR351" s="3">
        <v>500000</v>
      </c>
      <c r="BS351">
        <v>1000000</v>
      </c>
      <c r="BT351">
        <v>0</v>
      </c>
      <c r="BU351">
        <v>0</v>
      </c>
      <c r="BV351">
        <v>1</v>
      </c>
      <c r="BW351">
        <v>0</v>
      </c>
      <c r="BX351">
        <v>0</v>
      </c>
      <c r="BY351">
        <v>0</v>
      </c>
      <c r="BZ351" t="s">
        <v>2938</v>
      </c>
      <c r="CA351" t="s">
        <v>2939</v>
      </c>
      <c r="CB351" t="s">
        <v>2006</v>
      </c>
    </row>
    <row r="352" spans="1:80" x14ac:dyDescent="0.25">
      <c r="A352">
        <v>351</v>
      </c>
      <c r="B352" t="s">
        <v>2367</v>
      </c>
      <c r="C352" s="1">
        <v>44742</v>
      </c>
      <c r="D352" s="2">
        <v>18</v>
      </c>
      <c r="E352" t="s">
        <v>4</v>
      </c>
      <c r="F352" t="s">
        <v>1311</v>
      </c>
      <c r="G352">
        <v>0</v>
      </c>
      <c r="H352" s="3">
        <v>5482000</v>
      </c>
      <c r="I352" s="3">
        <v>425000</v>
      </c>
      <c r="J352" s="3">
        <v>0</v>
      </c>
      <c r="K352" s="3">
        <v>0</v>
      </c>
      <c r="L352" s="3" t="s">
        <v>1191</v>
      </c>
      <c r="M352">
        <v>1593332</v>
      </c>
      <c r="N352" t="s">
        <v>677</v>
      </c>
      <c r="P352" t="s">
        <v>580</v>
      </c>
      <c r="Q352" t="s">
        <v>15</v>
      </c>
      <c r="R352">
        <v>33156</v>
      </c>
      <c r="S352" t="s">
        <v>33</v>
      </c>
      <c r="T352" t="s">
        <v>966</v>
      </c>
      <c r="U352">
        <v>0</v>
      </c>
      <c r="V352" t="s">
        <v>1114</v>
      </c>
      <c r="W352" t="s">
        <v>1194</v>
      </c>
      <c r="X352" t="s">
        <v>973</v>
      </c>
      <c r="Y352">
        <v>250000</v>
      </c>
      <c r="Z352" s="2">
        <v>10</v>
      </c>
      <c r="AA352" s="2" t="s">
        <v>1238</v>
      </c>
      <c r="AB352" t="s">
        <v>1238</v>
      </c>
      <c r="AC352">
        <v>889</v>
      </c>
      <c r="AD352" t="s">
        <v>1280</v>
      </c>
      <c r="AE352">
        <v>1</v>
      </c>
      <c r="AF352" t="s">
        <v>1290</v>
      </c>
      <c r="AG352">
        <v>0</v>
      </c>
      <c r="AH352">
        <v>0</v>
      </c>
      <c r="AI352">
        <v>0</v>
      </c>
      <c r="AJ352">
        <v>1997</v>
      </c>
      <c r="AK352" t="s">
        <v>1194</v>
      </c>
      <c r="AL352" t="s">
        <v>1194</v>
      </c>
      <c r="AM352" s="4" t="s">
        <v>1238</v>
      </c>
      <c r="AN352">
        <v>0</v>
      </c>
      <c r="AO352" t="s">
        <v>1316</v>
      </c>
      <c r="AP352">
        <f t="shared" si="10"/>
        <v>0</v>
      </c>
      <c r="AQ352">
        <v>0</v>
      </c>
      <c r="AR352" t="s">
        <v>1993</v>
      </c>
      <c r="AS352" t="s">
        <v>1996</v>
      </c>
      <c r="AT352" t="s">
        <v>1996</v>
      </c>
      <c r="AU352" t="s">
        <v>1995</v>
      </c>
      <c r="AV352" t="s">
        <v>1996</v>
      </c>
      <c r="AW352" t="s">
        <v>1996</v>
      </c>
      <c r="AX352" t="s">
        <v>2007</v>
      </c>
      <c r="AY352" t="s">
        <v>1995</v>
      </c>
      <c r="AZ352">
        <v>7478</v>
      </c>
      <c r="BA352" t="s">
        <v>1194</v>
      </c>
      <c r="BB352" t="s">
        <v>1194</v>
      </c>
      <c r="BC352" s="3">
        <v>6057.5904</v>
      </c>
      <c r="BD352" s="3">
        <v>24321.23</v>
      </c>
      <c r="BE352" s="3">
        <v>0</v>
      </c>
      <c r="BF352" s="3">
        <v>0</v>
      </c>
      <c r="BG352" s="3">
        <v>300</v>
      </c>
      <c r="BH352" s="3">
        <v>0</v>
      </c>
      <c r="BI352" s="3">
        <v>102229</v>
      </c>
      <c r="BJ352" s="3">
        <v>132908</v>
      </c>
      <c r="BK352" s="3">
        <v>4599.91</v>
      </c>
      <c r="BL352" s="3">
        <v>137507.91</v>
      </c>
      <c r="BM352" s="2">
        <f t="shared" ca="1" si="11"/>
        <v>2</v>
      </c>
      <c r="BN352" s="3">
        <v>250000</v>
      </c>
      <c r="BO352" s="3">
        <v>50000</v>
      </c>
      <c r="BP352" s="3">
        <v>50000</v>
      </c>
      <c r="BQ352" s="3">
        <v>250000</v>
      </c>
      <c r="BR352" s="3">
        <v>500000</v>
      </c>
      <c r="BS352">
        <v>50000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 t="s">
        <v>2940</v>
      </c>
      <c r="CA352" t="s">
        <v>2939</v>
      </c>
      <c r="CB352" t="s">
        <v>2941</v>
      </c>
    </row>
    <row r="353" spans="1:80" x14ac:dyDescent="0.25">
      <c r="A353">
        <v>352</v>
      </c>
      <c r="B353" t="s">
        <v>2368</v>
      </c>
      <c r="C353" s="1">
        <v>44789</v>
      </c>
      <c r="D353" s="2">
        <v>24</v>
      </c>
      <c r="E353" t="s">
        <v>4</v>
      </c>
      <c r="F353" t="s">
        <v>1311</v>
      </c>
      <c r="G353">
        <v>0</v>
      </c>
      <c r="H353" s="3">
        <v>10000000</v>
      </c>
      <c r="I353" s="3">
        <v>250000</v>
      </c>
      <c r="J353" s="3">
        <v>0</v>
      </c>
      <c r="K353" s="3">
        <v>0</v>
      </c>
      <c r="L353" s="3" t="s">
        <v>1191</v>
      </c>
      <c r="M353">
        <v>1604991</v>
      </c>
      <c r="N353" t="s">
        <v>678</v>
      </c>
      <c r="P353" t="s">
        <v>62</v>
      </c>
      <c r="Q353" t="s">
        <v>19</v>
      </c>
      <c r="R353">
        <v>94109</v>
      </c>
      <c r="S353" t="s">
        <v>62</v>
      </c>
      <c r="T353" t="s">
        <v>977</v>
      </c>
      <c r="U353">
        <v>0</v>
      </c>
      <c r="V353">
        <v>33</v>
      </c>
      <c r="W353" t="s">
        <v>1204</v>
      </c>
      <c r="X353" t="s">
        <v>973</v>
      </c>
      <c r="Y353">
        <v>25000</v>
      </c>
      <c r="Z353" s="2" t="s">
        <v>1194</v>
      </c>
      <c r="AA353" s="2" t="s">
        <v>1238</v>
      </c>
      <c r="AB353" t="s">
        <v>1238</v>
      </c>
      <c r="AC353" t="s">
        <v>1194</v>
      </c>
      <c r="AD353" t="s">
        <v>1279</v>
      </c>
      <c r="AE353">
        <v>1</v>
      </c>
      <c r="AF353" t="s">
        <v>1290</v>
      </c>
      <c r="AG353">
        <v>1</v>
      </c>
      <c r="AH353">
        <v>0</v>
      </c>
      <c r="AI353">
        <v>1</v>
      </c>
      <c r="AJ353">
        <v>2020</v>
      </c>
      <c r="AK353" t="s">
        <v>1194</v>
      </c>
      <c r="AL353">
        <v>2020</v>
      </c>
      <c r="AM353" s="4" t="s">
        <v>1238</v>
      </c>
      <c r="AN353">
        <v>0</v>
      </c>
      <c r="AO353" t="s">
        <v>1315</v>
      </c>
      <c r="AP353">
        <f t="shared" si="10"/>
        <v>1</v>
      </c>
      <c r="AQ353">
        <v>0</v>
      </c>
      <c r="AR353" t="s">
        <v>1993</v>
      </c>
      <c r="AS353" t="s">
        <v>1995</v>
      </c>
      <c r="AT353" t="s">
        <v>1996</v>
      </c>
      <c r="AU353" t="s">
        <v>1995</v>
      </c>
      <c r="AV353" t="s">
        <v>1995</v>
      </c>
      <c r="AW353" t="s">
        <v>1995</v>
      </c>
      <c r="AX353" t="s">
        <v>1194</v>
      </c>
      <c r="AY353" t="s">
        <v>1996</v>
      </c>
      <c r="AZ353">
        <v>4615</v>
      </c>
      <c r="BA353" t="s">
        <v>1194</v>
      </c>
      <c r="BB353" t="s">
        <v>2014</v>
      </c>
      <c r="BC353" s="3">
        <v>0</v>
      </c>
      <c r="BD353" s="3">
        <v>0</v>
      </c>
      <c r="BE353" s="3">
        <v>12007.93</v>
      </c>
      <c r="BF353" s="3">
        <v>8346.6200000000008</v>
      </c>
      <c r="BG353" s="3">
        <v>150</v>
      </c>
      <c r="BH353" s="3">
        <v>0</v>
      </c>
      <c r="BI353" s="3">
        <v>62800</v>
      </c>
      <c r="BJ353" s="3">
        <v>83304.55</v>
      </c>
      <c r="BK353" s="3">
        <v>0</v>
      </c>
      <c r="BL353" s="3">
        <v>83304.55</v>
      </c>
      <c r="BM353" s="2">
        <f t="shared" ca="1" si="11"/>
        <v>3</v>
      </c>
      <c r="BN353" s="3">
        <v>1000000</v>
      </c>
      <c r="BO353" s="3">
        <v>1000000</v>
      </c>
      <c r="BP353" s="3">
        <v>50000</v>
      </c>
      <c r="BQ353" s="3">
        <v>250000</v>
      </c>
      <c r="BR353" s="3">
        <v>500000</v>
      </c>
      <c r="BS353">
        <v>500000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 t="s">
        <v>2949</v>
      </c>
      <c r="CA353" t="s">
        <v>1194</v>
      </c>
      <c r="CB353" t="s">
        <v>2952</v>
      </c>
    </row>
    <row r="354" spans="1:80" x14ac:dyDescent="0.25">
      <c r="A354">
        <v>353</v>
      </c>
      <c r="B354" t="s">
        <v>2369</v>
      </c>
      <c r="C354" s="1">
        <v>44931</v>
      </c>
      <c r="D354" s="2">
        <v>3</v>
      </c>
      <c r="E354" t="s">
        <v>4</v>
      </c>
      <c r="F354" t="s">
        <v>1310</v>
      </c>
      <c r="G354">
        <v>0</v>
      </c>
      <c r="H354" s="3">
        <v>4220000</v>
      </c>
      <c r="I354" s="3">
        <v>844000</v>
      </c>
      <c r="J354" s="3">
        <v>0</v>
      </c>
      <c r="K354" s="3">
        <v>0</v>
      </c>
      <c r="L354" s="3" t="s">
        <v>1191</v>
      </c>
      <c r="M354">
        <v>1595232</v>
      </c>
      <c r="N354" t="s">
        <v>679</v>
      </c>
      <c r="P354" t="s">
        <v>180</v>
      </c>
      <c r="Q354" t="s">
        <v>21</v>
      </c>
      <c r="R354">
        <v>28278</v>
      </c>
      <c r="S354" t="s">
        <v>45</v>
      </c>
      <c r="T354" t="s">
        <v>973</v>
      </c>
      <c r="U354">
        <v>0</v>
      </c>
      <c r="V354" t="s">
        <v>1008</v>
      </c>
      <c r="W354" t="s">
        <v>1194</v>
      </c>
      <c r="X354" t="s">
        <v>973</v>
      </c>
      <c r="Y354">
        <v>10000</v>
      </c>
      <c r="Z354" s="2" t="s">
        <v>1194</v>
      </c>
      <c r="AA354" s="2" t="s">
        <v>1238</v>
      </c>
      <c r="AB354" t="s">
        <v>1238</v>
      </c>
      <c r="AC354">
        <v>702</v>
      </c>
      <c r="AD354" t="s">
        <v>1279</v>
      </c>
      <c r="AE354">
        <v>4</v>
      </c>
      <c r="AF354" t="s">
        <v>1290</v>
      </c>
      <c r="AG354">
        <v>0</v>
      </c>
      <c r="AH354">
        <v>0</v>
      </c>
      <c r="AI354">
        <v>0</v>
      </c>
      <c r="AJ354">
        <v>2020</v>
      </c>
      <c r="AK354" t="s">
        <v>1194</v>
      </c>
      <c r="AL354" t="s">
        <v>1194</v>
      </c>
      <c r="AM354" s="4" t="s">
        <v>1304</v>
      </c>
      <c r="AN354">
        <v>1</v>
      </c>
      <c r="AO354" t="s">
        <v>1316</v>
      </c>
      <c r="AP354">
        <f t="shared" si="10"/>
        <v>0</v>
      </c>
      <c r="AQ354">
        <v>1</v>
      </c>
      <c r="AR354" t="s">
        <v>1992</v>
      </c>
      <c r="AS354" t="s">
        <v>1996</v>
      </c>
      <c r="AT354" t="s">
        <v>1995</v>
      </c>
      <c r="AU354" t="s">
        <v>1996</v>
      </c>
      <c r="AV354" t="s">
        <v>1995</v>
      </c>
      <c r="AW354" t="s">
        <v>1995</v>
      </c>
      <c r="AX354" t="s">
        <v>2006</v>
      </c>
      <c r="AY354" t="s">
        <v>1996</v>
      </c>
      <c r="AZ354">
        <v>9000</v>
      </c>
      <c r="BA354" t="s">
        <v>1194</v>
      </c>
      <c r="BB354" t="s">
        <v>1194</v>
      </c>
      <c r="BC354" s="3">
        <v>8766.6697999999997</v>
      </c>
      <c r="BD354" s="3">
        <v>2550.46</v>
      </c>
      <c r="BE354" s="3">
        <v>0</v>
      </c>
      <c r="BF354" s="3">
        <v>0</v>
      </c>
      <c r="BG354" s="3">
        <v>0</v>
      </c>
      <c r="BH354" s="3">
        <v>0</v>
      </c>
      <c r="BI354" s="3">
        <v>23118</v>
      </c>
      <c r="BJ354" s="3">
        <v>34435</v>
      </c>
      <c r="BK354" s="3">
        <v>0</v>
      </c>
      <c r="BL354" s="3">
        <v>34435</v>
      </c>
      <c r="BM354" s="2">
        <f t="shared" ca="1" si="11"/>
        <v>2</v>
      </c>
      <c r="BN354" s="3">
        <v>500000</v>
      </c>
      <c r="BO354" s="3">
        <v>50000</v>
      </c>
      <c r="BP354" s="3" t="s">
        <v>2922</v>
      </c>
      <c r="BQ354" s="3">
        <v>250000</v>
      </c>
      <c r="BR354" s="3">
        <v>500000</v>
      </c>
      <c r="BS354">
        <v>500000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 t="s">
        <v>2006</v>
      </c>
      <c r="CA354" t="s">
        <v>2006</v>
      </c>
      <c r="CB354" t="s">
        <v>2006</v>
      </c>
    </row>
    <row r="355" spans="1:80" x14ac:dyDescent="0.25">
      <c r="A355">
        <v>354</v>
      </c>
      <c r="B355" t="s">
        <v>2370</v>
      </c>
      <c r="C355" s="1">
        <v>44678</v>
      </c>
      <c r="D355" s="2">
        <v>12</v>
      </c>
      <c r="E355" t="s">
        <v>4</v>
      </c>
      <c r="F355" t="s">
        <v>1311</v>
      </c>
      <c r="G355">
        <v>0</v>
      </c>
      <c r="H355" s="3">
        <v>5000000</v>
      </c>
      <c r="I355" s="3">
        <v>0</v>
      </c>
      <c r="J355" s="3">
        <v>0</v>
      </c>
      <c r="K355" s="3">
        <v>0</v>
      </c>
      <c r="L355" s="3" t="s">
        <v>1191</v>
      </c>
      <c r="M355">
        <v>510729</v>
      </c>
      <c r="N355" t="s">
        <v>680</v>
      </c>
      <c r="P355" t="s">
        <v>256</v>
      </c>
      <c r="Q355" t="s">
        <v>15</v>
      </c>
      <c r="R355">
        <v>34102</v>
      </c>
      <c r="S355" t="s">
        <v>63</v>
      </c>
      <c r="T355" t="s">
        <v>964</v>
      </c>
      <c r="U355">
        <v>1</v>
      </c>
      <c r="V355" t="s">
        <v>1038</v>
      </c>
      <c r="W355" t="s">
        <v>1194</v>
      </c>
      <c r="X355" t="s">
        <v>1309</v>
      </c>
      <c r="Y355">
        <v>25000</v>
      </c>
      <c r="Z355" s="2">
        <v>5</v>
      </c>
      <c r="AA355" s="2" t="s">
        <v>1238</v>
      </c>
      <c r="AB355" t="s">
        <v>1238</v>
      </c>
      <c r="AC355">
        <v>731</v>
      </c>
      <c r="AD355" t="s">
        <v>1280</v>
      </c>
      <c r="AE355">
        <v>1</v>
      </c>
      <c r="AF355" t="s">
        <v>1291</v>
      </c>
      <c r="AG355">
        <v>0</v>
      </c>
      <c r="AH355">
        <v>0</v>
      </c>
      <c r="AI355">
        <v>0</v>
      </c>
      <c r="AJ355">
        <v>2022</v>
      </c>
      <c r="AK355" t="s">
        <v>1194</v>
      </c>
      <c r="AL355" t="s">
        <v>1194</v>
      </c>
      <c r="AM355" s="4" t="s">
        <v>1238</v>
      </c>
      <c r="AN355">
        <v>1</v>
      </c>
      <c r="AO355" t="s">
        <v>1317</v>
      </c>
      <c r="AP355">
        <f t="shared" si="10"/>
        <v>0</v>
      </c>
      <c r="AQ355">
        <v>1</v>
      </c>
      <c r="AR355" t="s">
        <v>1992</v>
      </c>
      <c r="AS355" t="s">
        <v>1995</v>
      </c>
      <c r="AT355" t="s">
        <v>1995</v>
      </c>
      <c r="AU355" t="s">
        <v>1995</v>
      </c>
      <c r="AV355" t="s">
        <v>1996</v>
      </c>
      <c r="AW355" t="s">
        <v>1996</v>
      </c>
      <c r="AX355" t="s">
        <v>2007</v>
      </c>
      <c r="AY355" t="s">
        <v>1995</v>
      </c>
      <c r="AZ355">
        <v>14494</v>
      </c>
      <c r="BA355" t="s">
        <v>1194</v>
      </c>
      <c r="BB355" t="s">
        <v>1194</v>
      </c>
      <c r="BC355" s="3">
        <v>10559.174300000001</v>
      </c>
      <c r="BD355" s="3">
        <v>16611.189999999999</v>
      </c>
      <c r="BE355" s="3">
        <v>0</v>
      </c>
      <c r="BF355" s="3">
        <v>0</v>
      </c>
      <c r="BG355" s="3">
        <v>300</v>
      </c>
      <c r="BH355" s="3">
        <v>0</v>
      </c>
      <c r="BI355" s="3">
        <v>14880</v>
      </c>
      <c r="BJ355" s="3">
        <v>42350</v>
      </c>
      <c r="BK355" s="3">
        <v>1000</v>
      </c>
      <c r="BL355" s="3">
        <v>43350</v>
      </c>
      <c r="BM355" s="2">
        <f t="shared" ca="1" si="11"/>
        <v>4</v>
      </c>
      <c r="BN355" s="3">
        <v>250000</v>
      </c>
      <c r="BO355" s="3">
        <v>250000</v>
      </c>
      <c r="BP355" s="3">
        <v>100000</v>
      </c>
      <c r="BQ355" s="3">
        <v>100000</v>
      </c>
      <c r="BR355" s="3">
        <v>500000</v>
      </c>
      <c r="BS355">
        <v>2000000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 t="s">
        <v>2940</v>
      </c>
      <c r="CA355" t="s">
        <v>2939</v>
      </c>
      <c r="CB355" t="s">
        <v>2941</v>
      </c>
    </row>
    <row r="356" spans="1:80" x14ac:dyDescent="0.25">
      <c r="A356">
        <v>355</v>
      </c>
      <c r="B356" t="s">
        <v>2371</v>
      </c>
      <c r="C356" s="1">
        <v>44953</v>
      </c>
      <c r="D356" s="2">
        <v>3</v>
      </c>
      <c r="E356" t="s">
        <v>4</v>
      </c>
      <c r="F356" t="s">
        <v>1310</v>
      </c>
      <c r="G356">
        <v>0</v>
      </c>
      <c r="H356" s="3">
        <v>7035875</v>
      </c>
      <c r="I356" s="3">
        <v>596625</v>
      </c>
      <c r="J356" s="3">
        <v>0</v>
      </c>
      <c r="K356" s="3">
        <v>0</v>
      </c>
      <c r="L356" s="3" t="s">
        <v>1191</v>
      </c>
      <c r="M356">
        <v>1607616</v>
      </c>
      <c r="N356" t="s">
        <v>681</v>
      </c>
      <c r="P356" t="s">
        <v>46</v>
      </c>
      <c r="Q356" t="s">
        <v>19</v>
      </c>
      <c r="R356">
        <v>90049</v>
      </c>
      <c r="S356" t="s">
        <v>46</v>
      </c>
      <c r="T356" t="s">
        <v>965</v>
      </c>
      <c r="U356">
        <v>0</v>
      </c>
      <c r="V356">
        <v>51</v>
      </c>
      <c r="W356" t="s">
        <v>1218</v>
      </c>
      <c r="X356" t="s">
        <v>973</v>
      </c>
      <c r="Y356">
        <v>25000</v>
      </c>
      <c r="Z356" s="2" t="s">
        <v>1194</v>
      </c>
      <c r="AA356" s="2" t="s">
        <v>1238</v>
      </c>
      <c r="AB356" t="s">
        <v>1238</v>
      </c>
      <c r="AC356" t="s">
        <v>1194</v>
      </c>
      <c r="AD356" t="s">
        <v>1279</v>
      </c>
      <c r="AE356">
        <v>1</v>
      </c>
      <c r="AF356" t="s">
        <v>1290</v>
      </c>
      <c r="AG356">
        <v>0</v>
      </c>
      <c r="AH356">
        <v>0</v>
      </c>
      <c r="AI356">
        <v>0</v>
      </c>
      <c r="AJ356">
        <v>1982</v>
      </c>
      <c r="AK356" t="s">
        <v>1194</v>
      </c>
      <c r="AL356" t="s">
        <v>1194</v>
      </c>
      <c r="AM356" s="4" t="s">
        <v>1306</v>
      </c>
      <c r="AN356">
        <v>0</v>
      </c>
      <c r="AO356" t="s">
        <v>1315</v>
      </c>
      <c r="AP356">
        <f t="shared" si="10"/>
        <v>0</v>
      </c>
      <c r="AQ356">
        <v>1</v>
      </c>
      <c r="AR356" t="s">
        <v>1992</v>
      </c>
      <c r="AS356" t="s">
        <v>1995</v>
      </c>
      <c r="AT356" t="s">
        <v>1995</v>
      </c>
      <c r="AU356" t="s">
        <v>1995</v>
      </c>
      <c r="AV356" t="s">
        <v>1995</v>
      </c>
      <c r="AW356" t="s">
        <v>1995</v>
      </c>
      <c r="AX356" t="s">
        <v>1194</v>
      </c>
      <c r="AY356" t="s">
        <v>1996</v>
      </c>
      <c r="AZ356">
        <v>7373</v>
      </c>
      <c r="BA356" t="s">
        <v>1194</v>
      </c>
      <c r="BB356" t="s">
        <v>2014</v>
      </c>
      <c r="BC356" s="3">
        <v>0</v>
      </c>
      <c r="BD356" s="3">
        <v>0</v>
      </c>
      <c r="BE356" s="3">
        <v>11021.99</v>
      </c>
      <c r="BF356" s="3">
        <v>14539.54</v>
      </c>
      <c r="BG356" s="3">
        <v>150</v>
      </c>
      <c r="BH356" s="3">
        <v>0</v>
      </c>
      <c r="BI356" s="3">
        <v>32409</v>
      </c>
      <c r="BJ356" s="3">
        <v>58120.53</v>
      </c>
      <c r="BK356" s="3">
        <v>0</v>
      </c>
      <c r="BL356" s="3">
        <v>58120.53</v>
      </c>
      <c r="BM356" s="2">
        <f t="shared" ca="1" si="11"/>
        <v>4</v>
      </c>
      <c r="BN356" s="3">
        <v>500000</v>
      </c>
      <c r="BO356" s="3">
        <v>25000</v>
      </c>
      <c r="BP356" s="3" t="s">
        <v>2922</v>
      </c>
      <c r="BQ356" s="3">
        <v>500000</v>
      </c>
      <c r="BR356" s="3">
        <v>500000</v>
      </c>
      <c r="BS356">
        <v>50000</v>
      </c>
      <c r="BT356">
        <v>0</v>
      </c>
      <c r="BU356">
        <v>0</v>
      </c>
      <c r="BV356">
        <v>1</v>
      </c>
      <c r="BW356">
        <v>0</v>
      </c>
      <c r="BX356">
        <v>0</v>
      </c>
      <c r="BY356">
        <v>0</v>
      </c>
      <c r="BZ356" t="s">
        <v>2953</v>
      </c>
      <c r="CA356" t="s">
        <v>1194</v>
      </c>
      <c r="CB356" t="s">
        <v>2949</v>
      </c>
    </row>
    <row r="357" spans="1:80" x14ac:dyDescent="0.25">
      <c r="A357">
        <v>356</v>
      </c>
      <c r="B357" t="s">
        <v>2372</v>
      </c>
      <c r="C357" s="1">
        <v>44633</v>
      </c>
      <c r="D357" s="2">
        <v>9</v>
      </c>
      <c r="E357" t="s">
        <v>4</v>
      </c>
      <c r="F357" t="s">
        <v>1310</v>
      </c>
      <c r="G357">
        <v>0</v>
      </c>
      <c r="H357" s="3">
        <v>5190000</v>
      </c>
      <c r="I357" s="3">
        <v>640000</v>
      </c>
      <c r="J357" s="3">
        <v>0</v>
      </c>
      <c r="K357" s="3">
        <v>0</v>
      </c>
      <c r="L357" s="3" t="s">
        <v>1191</v>
      </c>
      <c r="M357">
        <v>1679501</v>
      </c>
      <c r="N357" t="s">
        <v>682</v>
      </c>
      <c r="P357" t="s">
        <v>527</v>
      </c>
      <c r="Q357" t="s">
        <v>13</v>
      </c>
      <c r="R357">
        <v>2493</v>
      </c>
      <c r="S357" t="s">
        <v>53</v>
      </c>
      <c r="T357" t="s">
        <v>968</v>
      </c>
      <c r="U357">
        <v>0</v>
      </c>
      <c r="V357" t="s">
        <v>1100</v>
      </c>
      <c r="W357" t="s">
        <v>1194</v>
      </c>
      <c r="X357" t="s">
        <v>973</v>
      </c>
      <c r="Y357">
        <v>10000</v>
      </c>
      <c r="Z357" s="2">
        <v>2</v>
      </c>
      <c r="AA357" s="2" t="s">
        <v>1238</v>
      </c>
      <c r="AB357" t="s">
        <v>1238</v>
      </c>
      <c r="AC357">
        <v>706</v>
      </c>
      <c r="AD357" t="s">
        <v>1279</v>
      </c>
      <c r="AE357">
        <v>4</v>
      </c>
      <c r="AF357" t="s">
        <v>1290</v>
      </c>
      <c r="AG357">
        <v>0</v>
      </c>
      <c r="AH357">
        <v>0</v>
      </c>
      <c r="AI357">
        <v>0</v>
      </c>
      <c r="AJ357">
        <v>1912</v>
      </c>
      <c r="AK357">
        <v>2022</v>
      </c>
      <c r="AL357">
        <v>2022</v>
      </c>
      <c r="AM357" s="4" t="s">
        <v>1304</v>
      </c>
      <c r="AN357">
        <v>1</v>
      </c>
      <c r="AO357" t="s">
        <v>1315</v>
      </c>
      <c r="AP357">
        <f t="shared" si="10"/>
        <v>0</v>
      </c>
      <c r="AQ357">
        <v>0</v>
      </c>
      <c r="AR357" t="s">
        <v>1993</v>
      </c>
      <c r="AS357" t="s">
        <v>1995</v>
      </c>
      <c r="AT357" t="s">
        <v>1996</v>
      </c>
      <c r="AU357" t="s">
        <v>1996</v>
      </c>
      <c r="AV357" t="s">
        <v>1995</v>
      </c>
      <c r="AW357" t="s">
        <v>1996</v>
      </c>
      <c r="AX357" t="s">
        <v>2006</v>
      </c>
      <c r="AY357" t="s">
        <v>1996</v>
      </c>
      <c r="AZ357">
        <v>5607</v>
      </c>
      <c r="BA357" t="s">
        <v>1194</v>
      </c>
      <c r="BB357" t="s">
        <v>1194</v>
      </c>
      <c r="BC357" s="3">
        <v>10595.1075</v>
      </c>
      <c r="BD357" s="3">
        <v>4144.9399999999996</v>
      </c>
      <c r="BE357" s="3">
        <v>0</v>
      </c>
      <c r="BF357" s="3">
        <v>0</v>
      </c>
      <c r="BG357" s="3">
        <v>150</v>
      </c>
      <c r="BH357" s="3">
        <v>0</v>
      </c>
      <c r="BI357" s="3">
        <v>9013</v>
      </c>
      <c r="BJ357" s="3">
        <v>23903</v>
      </c>
      <c r="BK357" s="3">
        <v>150</v>
      </c>
      <c r="BL357" s="3">
        <v>24053</v>
      </c>
      <c r="BM357" s="2">
        <f t="shared" ca="1" si="11"/>
        <v>0</v>
      </c>
      <c r="BN357" s="3">
        <v>500000</v>
      </c>
      <c r="BO357" s="3">
        <v>250000</v>
      </c>
      <c r="BP357" s="3">
        <v>50000</v>
      </c>
      <c r="BQ357" s="3">
        <v>50000</v>
      </c>
      <c r="BR357" s="3" t="s">
        <v>2916</v>
      </c>
      <c r="BS357">
        <v>100000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 t="s">
        <v>2942</v>
      </c>
      <c r="CA357" t="s">
        <v>2006</v>
      </c>
      <c r="CB357" t="s">
        <v>2006</v>
      </c>
    </row>
    <row r="358" spans="1:80" x14ac:dyDescent="0.25">
      <c r="A358">
        <v>357</v>
      </c>
      <c r="B358" t="s">
        <v>2373</v>
      </c>
      <c r="C358" s="1">
        <v>44686</v>
      </c>
      <c r="D358" s="2">
        <v>15</v>
      </c>
      <c r="E358" t="s">
        <v>4</v>
      </c>
      <c r="F358" t="s">
        <v>1311</v>
      </c>
      <c r="G358">
        <v>1</v>
      </c>
      <c r="H358" s="3">
        <v>3100142</v>
      </c>
      <c r="I358" s="3">
        <v>220725</v>
      </c>
      <c r="J358" s="3">
        <v>0</v>
      </c>
      <c r="K358" s="3">
        <v>0</v>
      </c>
      <c r="L358" s="3" t="s">
        <v>1191</v>
      </c>
      <c r="M358">
        <v>1639768</v>
      </c>
      <c r="N358" t="s">
        <v>683</v>
      </c>
      <c r="P358" t="s">
        <v>159</v>
      </c>
      <c r="Q358" t="s">
        <v>15</v>
      </c>
      <c r="R358">
        <v>33414</v>
      </c>
      <c r="S358" t="s">
        <v>27</v>
      </c>
      <c r="T358" t="s">
        <v>965</v>
      </c>
      <c r="U358">
        <v>0</v>
      </c>
      <c r="V358" t="s">
        <v>987</v>
      </c>
      <c r="W358" t="s">
        <v>1194</v>
      </c>
      <c r="X358" t="s">
        <v>973</v>
      </c>
      <c r="Y358">
        <v>10000</v>
      </c>
      <c r="Z358" s="2">
        <v>4.9999967740000004</v>
      </c>
      <c r="AA358" s="2" t="s">
        <v>1238</v>
      </c>
      <c r="AB358" t="s">
        <v>1238</v>
      </c>
      <c r="AC358">
        <v>882</v>
      </c>
      <c r="AD358" t="s">
        <v>1280</v>
      </c>
      <c r="AE358">
        <v>2</v>
      </c>
      <c r="AF358" t="s">
        <v>1290</v>
      </c>
      <c r="AG358">
        <v>0</v>
      </c>
      <c r="AH358">
        <v>0</v>
      </c>
      <c r="AI358">
        <v>0</v>
      </c>
      <c r="AJ358">
        <v>1987</v>
      </c>
      <c r="AK358" t="s">
        <v>1194</v>
      </c>
      <c r="AL358">
        <v>2020</v>
      </c>
      <c r="AM358" s="4" t="s">
        <v>1238</v>
      </c>
      <c r="AN358">
        <v>0</v>
      </c>
      <c r="AO358" t="s">
        <v>1315</v>
      </c>
      <c r="AP358">
        <f t="shared" si="10"/>
        <v>0</v>
      </c>
      <c r="AQ358">
        <v>1</v>
      </c>
      <c r="AR358" t="s">
        <v>1992</v>
      </c>
      <c r="AS358" t="s">
        <v>1995</v>
      </c>
      <c r="AT358" t="s">
        <v>1995</v>
      </c>
      <c r="AU358" t="s">
        <v>1995</v>
      </c>
      <c r="AV358" t="s">
        <v>1995</v>
      </c>
      <c r="AW358" t="s">
        <v>1996</v>
      </c>
      <c r="AX358" t="s">
        <v>2003</v>
      </c>
      <c r="AY358" t="s">
        <v>1996</v>
      </c>
      <c r="AZ358">
        <v>4498</v>
      </c>
      <c r="BA358" t="s">
        <v>1194</v>
      </c>
      <c r="BB358" t="s">
        <v>1194</v>
      </c>
      <c r="BC358" s="3">
        <v>6898.0106999999998</v>
      </c>
      <c r="BD358" s="3">
        <v>18003.11</v>
      </c>
      <c r="BE358" s="3">
        <v>0</v>
      </c>
      <c r="BF358" s="3">
        <v>0</v>
      </c>
      <c r="BG358" s="3">
        <v>0</v>
      </c>
      <c r="BH358" s="3">
        <v>0</v>
      </c>
      <c r="BI358" s="3">
        <v>19598.62</v>
      </c>
      <c r="BJ358" s="3">
        <v>44500</v>
      </c>
      <c r="BK358" s="3">
        <v>600</v>
      </c>
      <c r="BL358" s="3">
        <v>45100</v>
      </c>
      <c r="BM358" s="2">
        <f t="shared" ca="1" si="11"/>
        <v>2</v>
      </c>
      <c r="BN358" s="3">
        <v>500000</v>
      </c>
      <c r="BO358" s="3">
        <v>50000</v>
      </c>
      <c r="BP358" s="3">
        <v>50000</v>
      </c>
      <c r="BQ358" s="3">
        <v>2000000</v>
      </c>
      <c r="BR358" s="3">
        <v>1000000</v>
      </c>
      <c r="BS358">
        <v>500000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 t="s">
        <v>2940</v>
      </c>
      <c r="CA358" t="s">
        <v>2939</v>
      </c>
      <c r="CB358" t="s">
        <v>2941</v>
      </c>
    </row>
    <row r="359" spans="1:80" x14ac:dyDescent="0.25">
      <c r="A359">
        <v>358</v>
      </c>
      <c r="B359" t="s">
        <v>2374</v>
      </c>
      <c r="C359" s="1">
        <v>44699</v>
      </c>
      <c r="D359" s="2">
        <v>15</v>
      </c>
      <c r="E359" t="s">
        <v>4</v>
      </c>
      <c r="F359" t="s">
        <v>1311</v>
      </c>
      <c r="G359">
        <v>0</v>
      </c>
      <c r="H359" s="3">
        <v>1600000</v>
      </c>
      <c r="I359" s="3">
        <v>0</v>
      </c>
      <c r="J359" s="3">
        <v>50000</v>
      </c>
      <c r="K359" s="3">
        <v>0</v>
      </c>
      <c r="L359" s="3" t="s">
        <v>1191</v>
      </c>
      <c r="M359">
        <v>1902746</v>
      </c>
      <c r="N359" t="s">
        <v>684</v>
      </c>
      <c r="P359" t="s">
        <v>35</v>
      </c>
      <c r="Q359" t="s">
        <v>18</v>
      </c>
      <c r="R359">
        <v>75214</v>
      </c>
      <c r="S359" t="s">
        <v>35</v>
      </c>
      <c r="T359" t="s">
        <v>973</v>
      </c>
      <c r="U359">
        <v>0</v>
      </c>
      <c r="V359">
        <v>500</v>
      </c>
      <c r="W359" t="s">
        <v>1195</v>
      </c>
      <c r="X359" t="s">
        <v>973</v>
      </c>
      <c r="Y359">
        <v>10000</v>
      </c>
      <c r="Z359" s="2" t="s">
        <v>1194</v>
      </c>
      <c r="AA359" s="2">
        <v>0</v>
      </c>
      <c r="AB359" t="s">
        <v>1238</v>
      </c>
      <c r="AC359">
        <v>833</v>
      </c>
      <c r="AD359" t="s">
        <v>1284</v>
      </c>
      <c r="AE359">
        <v>1</v>
      </c>
      <c r="AF359" t="s">
        <v>1290</v>
      </c>
      <c r="AG359">
        <v>0</v>
      </c>
      <c r="AH359">
        <v>0</v>
      </c>
      <c r="AI359">
        <v>0</v>
      </c>
      <c r="AJ359">
        <v>1953</v>
      </c>
      <c r="AK359" t="s">
        <v>1194</v>
      </c>
      <c r="AL359">
        <v>2009</v>
      </c>
      <c r="AM359" s="4" t="s">
        <v>1238</v>
      </c>
      <c r="AN359">
        <v>1</v>
      </c>
      <c r="AO359" t="s">
        <v>1315</v>
      </c>
      <c r="AP359">
        <f t="shared" si="10"/>
        <v>0</v>
      </c>
      <c r="AQ359">
        <v>0</v>
      </c>
      <c r="AR359" t="s">
        <v>1993</v>
      </c>
      <c r="AS359" t="s">
        <v>1995</v>
      </c>
      <c r="AT359" t="s">
        <v>1996</v>
      </c>
      <c r="AU359" t="s">
        <v>1995</v>
      </c>
      <c r="AV359" t="s">
        <v>1996</v>
      </c>
      <c r="AW359" t="s">
        <v>1996</v>
      </c>
      <c r="AX359" t="s">
        <v>2006</v>
      </c>
      <c r="AY359" t="s">
        <v>1996</v>
      </c>
      <c r="AZ359">
        <v>3544</v>
      </c>
      <c r="BA359" t="s">
        <v>1194</v>
      </c>
      <c r="BB359" t="s">
        <v>1194</v>
      </c>
      <c r="BC359" s="3">
        <v>5912.4606999999996</v>
      </c>
      <c r="BD359" s="3">
        <v>3112.49</v>
      </c>
      <c r="BE359" s="3">
        <v>0</v>
      </c>
      <c r="BF359" s="3">
        <v>0</v>
      </c>
      <c r="BG359" s="3">
        <v>150</v>
      </c>
      <c r="BH359" s="3">
        <v>0</v>
      </c>
      <c r="BI359" s="3">
        <v>1715</v>
      </c>
      <c r="BJ359" s="3">
        <v>10890</v>
      </c>
      <c r="BK359" s="3">
        <v>100</v>
      </c>
      <c r="BL359" s="3">
        <v>10990</v>
      </c>
      <c r="BM359" s="2">
        <f t="shared" ca="1" si="11"/>
        <v>1</v>
      </c>
      <c r="BN359" s="3">
        <v>1000000</v>
      </c>
      <c r="BO359" s="3">
        <v>50000</v>
      </c>
      <c r="BP359" s="3">
        <v>50000</v>
      </c>
      <c r="BQ359" s="3">
        <v>50000</v>
      </c>
      <c r="BR359" s="3">
        <v>100000</v>
      </c>
      <c r="BS359">
        <v>1000000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 t="s">
        <v>2942</v>
      </c>
      <c r="CA359" t="s">
        <v>2006</v>
      </c>
      <c r="CB359" t="s">
        <v>2945</v>
      </c>
    </row>
    <row r="360" spans="1:80" x14ac:dyDescent="0.25">
      <c r="A360">
        <v>359</v>
      </c>
      <c r="B360" t="s">
        <v>2375</v>
      </c>
      <c r="C360" s="1">
        <v>44698</v>
      </c>
      <c r="D360" s="2">
        <v>15</v>
      </c>
      <c r="E360" t="s">
        <v>4</v>
      </c>
      <c r="F360" t="s">
        <v>1311</v>
      </c>
      <c r="G360">
        <v>0</v>
      </c>
      <c r="H360" s="3">
        <v>1175000</v>
      </c>
      <c r="I360" s="3">
        <v>0</v>
      </c>
      <c r="J360" s="3">
        <v>0</v>
      </c>
      <c r="K360" s="3">
        <v>0</v>
      </c>
      <c r="L360" s="3" t="s">
        <v>1191</v>
      </c>
      <c r="M360">
        <v>1312731</v>
      </c>
      <c r="N360" t="s">
        <v>685</v>
      </c>
      <c r="P360" t="s">
        <v>686</v>
      </c>
      <c r="Q360" t="s">
        <v>15</v>
      </c>
      <c r="R360">
        <v>34229</v>
      </c>
      <c r="S360" t="s">
        <v>97</v>
      </c>
      <c r="T360" t="s">
        <v>966</v>
      </c>
      <c r="U360">
        <v>1</v>
      </c>
      <c r="V360" t="s">
        <v>1136</v>
      </c>
      <c r="W360" t="s">
        <v>1194</v>
      </c>
      <c r="X360" t="s">
        <v>1309</v>
      </c>
      <c r="Y360">
        <v>10000</v>
      </c>
      <c r="Z360" s="2">
        <v>10</v>
      </c>
      <c r="AA360" s="2" t="s">
        <v>1238</v>
      </c>
      <c r="AB360" t="s">
        <v>1238</v>
      </c>
      <c r="AC360">
        <v>767</v>
      </c>
      <c r="AD360" t="s">
        <v>1279</v>
      </c>
      <c r="AE360">
        <v>2</v>
      </c>
      <c r="AF360" t="s">
        <v>1291</v>
      </c>
      <c r="AG360">
        <v>0</v>
      </c>
      <c r="AH360">
        <v>0</v>
      </c>
      <c r="AI360">
        <v>0</v>
      </c>
      <c r="AJ360">
        <v>1980</v>
      </c>
      <c r="AK360">
        <v>2006</v>
      </c>
      <c r="AL360">
        <v>2006</v>
      </c>
      <c r="AM360" s="4" t="s">
        <v>1238</v>
      </c>
      <c r="AN360">
        <v>0</v>
      </c>
      <c r="AO360" t="s">
        <v>1316</v>
      </c>
      <c r="AP360">
        <f t="shared" si="10"/>
        <v>0</v>
      </c>
      <c r="AQ360">
        <v>0</v>
      </c>
      <c r="AR360" t="s">
        <v>1993</v>
      </c>
      <c r="AS360" t="s">
        <v>1995</v>
      </c>
      <c r="AT360" t="s">
        <v>1996</v>
      </c>
      <c r="AU360" t="s">
        <v>1996</v>
      </c>
      <c r="AV360" t="s">
        <v>1995</v>
      </c>
      <c r="AW360" t="s">
        <v>1995</v>
      </c>
      <c r="AX360" t="s">
        <v>2007</v>
      </c>
      <c r="AY360" t="s">
        <v>1995</v>
      </c>
      <c r="AZ360">
        <v>3775</v>
      </c>
      <c r="BA360" t="s">
        <v>1194</v>
      </c>
      <c r="BB360" t="s">
        <v>1194</v>
      </c>
      <c r="BC360" s="3">
        <v>3503.1988999999999</v>
      </c>
      <c r="BD360" s="3">
        <v>5935.54</v>
      </c>
      <c r="BE360" s="3">
        <v>0</v>
      </c>
      <c r="BF360" s="3">
        <v>0</v>
      </c>
      <c r="BG360" s="3">
        <v>300</v>
      </c>
      <c r="BH360" s="3">
        <v>0</v>
      </c>
      <c r="BI360" s="3">
        <v>7181</v>
      </c>
      <c r="BJ360" s="3">
        <v>16920</v>
      </c>
      <c r="BK360" s="3">
        <v>0</v>
      </c>
      <c r="BL360" s="3">
        <v>16920</v>
      </c>
      <c r="BM360" s="2">
        <f t="shared" ca="1" si="11"/>
        <v>3</v>
      </c>
      <c r="BN360" s="3">
        <v>1000000</v>
      </c>
      <c r="BO360" s="3">
        <v>1000000</v>
      </c>
      <c r="BP360" s="3">
        <v>100000</v>
      </c>
      <c r="BQ360" s="3">
        <v>250000</v>
      </c>
      <c r="BR360" s="3">
        <v>100000</v>
      </c>
      <c r="BS360">
        <v>1000000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 t="s">
        <v>2943</v>
      </c>
      <c r="CA360" t="s">
        <v>2939</v>
      </c>
      <c r="CB360" t="s">
        <v>2945</v>
      </c>
    </row>
    <row r="361" spans="1:80" x14ac:dyDescent="0.25">
      <c r="A361">
        <v>360</v>
      </c>
      <c r="B361" t="s">
        <v>2376</v>
      </c>
      <c r="C361" s="1">
        <v>44945</v>
      </c>
      <c r="D361" s="2">
        <v>3</v>
      </c>
      <c r="E361" t="s">
        <v>4</v>
      </c>
      <c r="F361" t="s">
        <v>1310</v>
      </c>
      <c r="G361">
        <v>0</v>
      </c>
      <c r="H361" s="3">
        <v>2200000</v>
      </c>
      <c r="I361" s="3">
        <v>196200</v>
      </c>
      <c r="J361" s="3">
        <v>500000</v>
      </c>
      <c r="K361" s="3">
        <v>0</v>
      </c>
      <c r="L361" s="3" t="s">
        <v>1191</v>
      </c>
      <c r="M361">
        <v>1619413</v>
      </c>
      <c r="N361" t="s">
        <v>687</v>
      </c>
      <c r="P361" t="s">
        <v>688</v>
      </c>
      <c r="Q361" t="s">
        <v>14</v>
      </c>
      <c r="R361">
        <v>6390</v>
      </c>
      <c r="S361" t="s">
        <v>26</v>
      </c>
      <c r="T361" t="s">
        <v>970</v>
      </c>
      <c r="U361">
        <v>0</v>
      </c>
      <c r="V361" t="s">
        <v>1137</v>
      </c>
      <c r="W361" t="s">
        <v>1194</v>
      </c>
      <c r="X361" t="s">
        <v>973</v>
      </c>
      <c r="Y361">
        <v>25000</v>
      </c>
      <c r="Z361" s="2">
        <v>5</v>
      </c>
      <c r="AA361" s="2" t="s">
        <v>1238</v>
      </c>
      <c r="AB361" t="s">
        <v>1238</v>
      </c>
      <c r="AC361">
        <v>841</v>
      </c>
      <c r="AD361" t="s">
        <v>1279</v>
      </c>
      <c r="AE361">
        <v>6</v>
      </c>
      <c r="AF361" t="s">
        <v>1290</v>
      </c>
      <c r="AG361">
        <v>0</v>
      </c>
      <c r="AH361">
        <v>0</v>
      </c>
      <c r="AI361">
        <v>0</v>
      </c>
      <c r="AJ361">
        <v>1960</v>
      </c>
      <c r="AK361" t="s">
        <v>1194</v>
      </c>
      <c r="AL361" t="s">
        <v>1194</v>
      </c>
      <c r="AM361" s="4" t="s">
        <v>1307</v>
      </c>
      <c r="AN361">
        <v>0</v>
      </c>
      <c r="AO361" t="s">
        <v>1316</v>
      </c>
      <c r="AP361">
        <f t="shared" si="10"/>
        <v>0</v>
      </c>
      <c r="AQ361">
        <v>1</v>
      </c>
      <c r="AR361" t="s">
        <v>1992</v>
      </c>
      <c r="AS361" t="s">
        <v>1996</v>
      </c>
      <c r="AT361" t="s">
        <v>1995</v>
      </c>
      <c r="AU361" t="s">
        <v>1995</v>
      </c>
      <c r="AV361" t="s">
        <v>1996</v>
      </c>
      <c r="AW361" t="s">
        <v>1996</v>
      </c>
      <c r="AX361" t="s">
        <v>2003</v>
      </c>
      <c r="AY361" t="s">
        <v>1996</v>
      </c>
      <c r="AZ361">
        <v>3573</v>
      </c>
      <c r="BA361" t="s">
        <v>1194</v>
      </c>
      <c r="BB361" t="s">
        <v>1194</v>
      </c>
      <c r="BC361" s="3">
        <v>9187.3498</v>
      </c>
      <c r="BD361" s="3">
        <v>26523.66</v>
      </c>
      <c r="BE361" s="3">
        <v>0</v>
      </c>
      <c r="BF361" s="3">
        <v>0</v>
      </c>
      <c r="BG361" s="3">
        <v>150</v>
      </c>
      <c r="BH361" s="3">
        <v>0</v>
      </c>
      <c r="BI361" s="3">
        <v>1789.8</v>
      </c>
      <c r="BJ361" s="3">
        <v>37651</v>
      </c>
      <c r="BK361" s="3">
        <v>0</v>
      </c>
      <c r="BL361" s="3">
        <v>37651</v>
      </c>
      <c r="BM361" s="2">
        <f t="shared" ca="1" si="11"/>
        <v>3</v>
      </c>
      <c r="BN361" s="3">
        <v>2000000</v>
      </c>
      <c r="BO361" s="3">
        <v>500000</v>
      </c>
      <c r="BP361" s="3">
        <v>200000</v>
      </c>
      <c r="BQ361" s="3">
        <v>50000</v>
      </c>
      <c r="BR361" s="3">
        <v>100000</v>
      </c>
      <c r="BS361">
        <v>1000000</v>
      </c>
      <c r="BT361">
        <v>0</v>
      </c>
      <c r="BU361">
        <v>0</v>
      </c>
      <c r="BV361">
        <v>0</v>
      </c>
      <c r="BW361">
        <v>1</v>
      </c>
      <c r="BX361">
        <v>1</v>
      </c>
      <c r="BY361">
        <v>0</v>
      </c>
      <c r="BZ361" t="s">
        <v>2942</v>
      </c>
      <c r="CA361" t="s">
        <v>2006</v>
      </c>
      <c r="CB361" t="s">
        <v>2946</v>
      </c>
    </row>
    <row r="362" spans="1:80" x14ac:dyDescent="0.25">
      <c r="A362">
        <v>361</v>
      </c>
      <c r="B362" t="s">
        <v>2377</v>
      </c>
      <c r="C362" s="1">
        <v>44894</v>
      </c>
      <c r="D362" s="2">
        <v>33</v>
      </c>
      <c r="E362" t="s">
        <v>4</v>
      </c>
      <c r="F362" t="s">
        <v>1311</v>
      </c>
      <c r="G362">
        <v>0</v>
      </c>
      <c r="H362" s="3">
        <v>2250000</v>
      </c>
      <c r="I362" s="3">
        <v>300000</v>
      </c>
      <c r="J362" s="3">
        <v>0</v>
      </c>
      <c r="K362" s="3">
        <v>0</v>
      </c>
      <c r="L362" s="3" t="s">
        <v>1191</v>
      </c>
      <c r="M362">
        <v>1621636</v>
      </c>
      <c r="N362" t="s">
        <v>689</v>
      </c>
      <c r="P362" t="s">
        <v>35</v>
      </c>
      <c r="Q362" t="s">
        <v>18</v>
      </c>
      <c r="R362">
        <v>75214</v>
      </c>
      <c r="S362" t="s">
        <v>35</v>
      </c>
      <c r="T362" t="s">
        <v>973</v>
      </c>
      <c r="U362">
        <v>0</v>
      </c>
      <c r="V362">
        <v>500</v>
      </c>
      <c r="W362" t="s">
        <v>1195</v>
      </c>
      <c r="X362" t="s">
        <v>973</v>
      </c>
      <c r="Y362">
        <v>10000</v>
      </c>
      <c r="Z362" s="2" t="s">
        <v>1194</v>
      </c>
      <c r="AA362" s="2">
        <v>0</v>
      </c>
      <c r="AB362" t="s">
        <v>1238</v>
      </c>
      <c r="AC362">
        <v>817</v>
      </c>
      <c r="AD362" t="s">
        <v>1284</v>
      </c>
      <c r="AE362">
        <v>1</v>
      </c>
      <c r="AF362" t="s">
        <v>1290</v>
      </c>
      <c r="AG362">
        <v>0</v>
      </c>
      <c r="AH362">
        <v>0</v>
      </c>
      <c r="AI362">
        <v>0</v>
      </c>
      <c r="AJ362">
        <v>1925</v>
      </c>
      <c r="AK362" t="s">
        <v>1194</v>
      </c>
      <c r="AL362">
        <v>2013</v>
      </c>
      <c r="AM362" s="4" t="s">
        <v>1238</v>
      </c>
      <c r="AN362">
        <v>0</v>
      </c>
      <c r="AO362" t="s">
        <v>1316</v>
      </c>
      <c r="AP362">
        <f t="shared" si="10"/>
        <v>0</v>
      </c>
      <c r="AQ362">
        <v>0</v>
      </c>
      <c r="AR362" t="s">
        <v>1993</v>
      </c>
      <c r="AS362" t="s">
        <v>1996</v>
      </c>
      <c r="AT362" t="s">
        <v>1995</v>
      </c>
      <c r="AU362" t="s">
        <v>1995</v>
      </c>
      <c r="AV362" t="s">
        <v>1995</v>
      </c>
      <c r="AW362" t="s">
        <v>1995</v>
      </c>
      <c r="AX362" t="s">
        <v>2003</v>
      </c>
      <c r="AY362" t="s">
        <v>1996</v>
      </c>
      <c r="AZ362">
        <v>3392</v>
      </c>
      <c r="BA362" t="s">
        <v>1194</v>
      </c>
      <c r="BB362" t="s">
        <v>1194</v>
      </c>
      <c r="BC362" s="3">
        <v>10937.8781</v>
      </c>
      <c r="BD362" s="3">
        <v>5148.21</v>
      </c>
      <c r="BE362" s="3">
        <v>0</v>
      </c>
      <c r="BF362" s="3">
        <v>0</v>
      </c>
      <c r="BG362" s="3">
        <v>150</v>
      </c>
      <c r="BH362" s="3">
        <v>0</v>
      </c>
      <c r="BI362" s="3">
        <v>2920</v>
      </c>
      <c r="BJ362" s="3">
        <v>19156</v>
      </c>
      <c r="BK362" s="3">
        <v>0</v>
      </c>
      <c r="BL362" s="3">
        <v>19156</v>
      </c>
      <c r="BM362" s="2">
        <f t="shared" ca="1" si="11"/>
        <v>2</v>
      </c>
      <c r="BN362" s="3">
        <v>100000</v>
      </c>
      <c r="BO362" s="3">
        <v>100000</v>
      </c>
      <c r="BP362" s="3">
        <v>50000</v>
      </c>
      <c r="BQ362" s="3">
        <v>500000</v>
      </c>
      <c r="BR362" s="3">
        <v>2000000</v>
      </c>
      <c r="BS362">
        <v>50000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0</v>
      </c>
      <c r="BZ362" t="s">
        <v>2942</v>
      </c>
      <c r="CA362" t="s">
        <v>2006</v>
      </c>
      <c r="CB362" t="s">
        <v>2941</v>
      </c>
    </row>
    <row r="363" spans="1:80" x14ac:dyDescent="0.25">
      <c r="A363">
        <v>362</v>
      </c>
      <c r="B363" t="s">
        <v>2378</v>
      </c>
      <c r="C363" s="1">
        <v>44677</v>
      </c>
      <c r="D363" s="2">
        <v>12</v>
      </c>
      <c r="E363" t="s">
        <v>4</v>
      </c>
      <c r="F363" t="s">
        <v>1311</v>
      </c>
      <c r="G363">
        <v>0</v>
      </c>
      <c r="H363" s="3">
        <v>16500000</v>
      </c>
      <c r="I363" s="3">
        <v>0</v>
      </c>
      <c r="J363" s="3">
        <v>0</v>
      </c>
      <c r="K363" s="3">
        <v>0</v>
      </c>
      <c r="L363" s="3" t="s">
        <v>1191</v>
      </c>
      <c r="M363">
        <v>1623243</v>
      </c>
      <c r="N363" t="s">
        <v>690</v>
      </c>
      <c r="P363" t="s">
        <v>691</v>
      </c>
      <c r="Q363" t="s">
        <v>19</v>
      </c>
      <c r="R363">
        <v>92629</v>
      </c>
      <c r="S363" t="s">
        <v>37</v>
      </c>
      <c r="T363" t="s">
        <v>976</v>
      </c>
      <c r="U363">
        <v>1</v>
      </c>
      <c r="V363">
        <v>7</v>
      </c>
      <c r="W363" t="s">
        <v>691</v>
      </c>
      <c r="X363" t="s">
        <v>1309</v>
      </c>
      <c r="Y363">
        <v>50000</v>
      </c>
      <c r="Z363" s="2" t="s">
        <v>1194</v>
      </c>
      <c r="AA363" s="2" t="s">
        <v>1238</v>
      </c>
      <c r="AB363" t="s">
        <v>1238</v>
      </c>
      <c r="AC363" t="s">
        <v>1194</v>
      </c>
      <c r="AD363" t="s">
        <v>1279</v>
      </c>
      <c r="AE363">
        <v>3</v>
      </c>
      <c r="AF363" t="s">
        <v>1290</v>
      </c>
      <c r="AG363">
        <v>0</v>
      </c>
      <c r="AH363">
        <v>0</v>
      </c>
      <c r="AI363">
        <v>0</v>
      </c>
      <c r="AJ363">
        <v>2009</v>
      </c>
      <c r="AK363" t="s">
        <v>1194</v>
      </c>
      <c r="AL363" t="s">
        <v>1194</v>
      </c>
      <c r="AM363" s="4" t="s">
        <v>1238</v>
      </c>
      <c r="AN363">
        <v>0</v>
      </c>
      <c r="AO363" t="s">
        <v>1315</v>
      </c>
      <c r="AP363">
        <f t="shared" si="10"/>
        <v>0</v>
      </c>
      <c r="AQ363">
        <v>0</v>
      </c>
      <c r="AR363" t="s">
        <v>1993</v>
      </c>
      <c r="AS363" t="s">
        <v>1995</v>
      </c>
      <c r="AT363" t="s">
        <v>1995</v>
      </c>
      <c r="AU363" t="s">
        <v>1995</v>
      </c>
      <c r="AV363" t="s">
        <v>1996</v>
      </c>
      <c r="AW363" t="s">
        <v>1995</v>
      </c>
      <c r="AX363" t="s">
        <v>1194</v>
      </c>
      <c r="AY363" t="s">
        <v>1996</v>
      </c>
      <c r="AZ363">
        <v>8904</v>
      </c>
      <c r="BA363" t="s">
        <v>1194</v>
      </c>
      <c r="BB363" t="s">
        <v>2016</v>
      </c>
      <c r="BC363" s="3">
        <v>0</v>
      </c>
      <c r="BD363" s="3">
        <v>0</v>
      </c>
      <c r="BE363" s="3">
        <v>84161.600000000006</v>
      </c>
      <c r="BF363" s="3">
        <v>26937.79</v>
      </c>
      <c r="BG363" s="3">
        <v>150</v>
      </c>
      <c r="BH363" s="3">
        <v>0</v>
      </c>
      <c r="BI363" s="3">
        <v>0</v>
      </c>
      <c r="BJ363" s="3">
        <v>111249.39</v>
      </c>
      <c r="BK363" s="3">
        <v>24750.81</v>
      </c>
      <c r="BL363" s="3">
        <v>136000.20000000001</v>
      </c>
      <c r="BM363" s="2">
        <f t="shared" ca="1" si="11"/>
        <v>5</v>
      </c>
      <c r="BN363" s="3">
        <v>500000</v>
      </c>
      <c r="BO363" s="3">
        <v>25000</v>
      </c>
      <c r="BP363" s="3">
        <v>100000</v>
      </c>
      <c r="BQ363" s="3">
        <v>50000</v>
      </c>
      <c r="BR363" s="3">
        <v>500000</v>
      </c>
      <c r="BS363">
        <v>1000000</v>
      </c>
      <c r="BT363">
        <v>0</v>
      </c>
      <c r="BU363">
        <v>1</v>
      </c>
      <c r="BV363">
        <v>0</v>
      </c>
      <c r="BW363">
        <v>0</v>
      </c>
      <c r="BX363">
        <v>0</v>
      </c>
      <c r="BY363">
        <v>0</v>
      </c>
      <c r="BZ363" t="s">
        <v>2953</v>
      </c>
      <c r="CA363" t="s">
        <v>1194</v>
      </c>
      <c r="CB363" t="s">
        <v>2941</v>
      </c>
    </row>
    <row r="364" spans="1:80" x14ac:dyDescent="0.25">
      <c r="A364">
        <v>363</v>
      </c>
      <c r="B364" t="s">
        <v>2379</v>
      </c>
      <c r="C364" s="1">
        <v>44967</v>
      </c>
      <c r="D364" s="2">
        <v>6</v>
      </c>
      <c r="E364" t="s">
        <v>4</v>
      </c>
      <c r="F364" t="s">
        <v>1310</v>
      </c>
      <c r="G364">
        <v>0</v>
      </c>
      <c r="H364" s="3">
        <v>8000000</v>
      </c>
      <c r="I364" s="3">
        <v>1300000</v>
      </c>
      <c r="J364" s="3">
        <v>100000</v>
      </c>
      <c r="K364" s="3">
        <v>0</v>
      </c>
      <c r="L364" s="3" t="s">
        <v>1191</v>
      </c>
      <c r="M364">
        <v>604680</v>
      </c>
      <c r="N364" t="s">
        <v>692</v>
      </c>
      <c r="P364" t="s">
        <v>693</v>
      </c>
      <c r="Q364" t="s">
        <v>19</v>
      </c>
      <c r="R364">
        <v>92067</v>
      </c>
      <c r="S364" t="s">
        <v>77</v>
      </c>
      <c r="T364" t="s">
        <v>975</v>
      </c>
      <c r="U364">
        <v>0</v>
      </c>
      <c r="V364">
        <v>2</v>
      </c>
      <c r="W364" t="s">
        <v>1203</v>
      </c>
      <c r="X364" t="s">
        <v>973</v>
      </c>
      <c r="Y364">
        <v>25000</v>
      </c>
      <c r="Z364" s="2" t="s">
        <v>1194</v>
      </c>
      <c r="AA364" s="2" t="s">
        <v>1238</v>
      </c>
      <c r="AB364" t="s">
        <v>1238</v>
      </c>
      <c r="AC364" t="s">
        <v>1194</v>
      </c>
      <c r="AD364" t="s">
        <v>1279</v>
      </c>
      <c r="AE364">
        <v>2</v>
      </c>
      <c r="AF364" t="s">
        <v>1290</v>
      </c>
      <c r="AG364">
        <v>0</v>
      </c>
      <c r="AH364">
        <v>0</v>
      </c>
      <c r="AI364">
        <v>0</v>
      </c>
      <c r="AJ364">
        <v>2006</v>
      </c>
      <c r="AK364" t="s">
        <v>1194</v>
      </c>
      <c r="AL364" t="s">
        <v>1194</v>
      </c>
      <c r="AM364" s="4" t="s">
        <v>1305</v>
      </c>
      <c r="AN364">
        <v>0</v>
      </c>
      <c r="AO364" t="s">
        <v>1315</v>
      </c>
      <c r="AP364">
        <f t="shared" si="10"/>
        <v>0</v>
      </c>
      <c r="AQ364">
        <v>0</v>
      </c>
      <c r="AR364" t="s">
        <v>1993</v>
      </c>
      <c r="AS364" t="s">
        <v>1995</v>
      </c>
      <c r="AT364" t="s">
        <v>1996</v>
      </c>
      <c r="AU364" t="s">
        <v>1996</v>
      </c>
      <c r="AV364" t="s">
        <v>1995</v>
      </c>
      <c r="AW364" t="s">
        <v>1996</v>
      </c>
      <c r="AX364" t="s">
        <v>1194</v>
      </c>
      <c r="AY364" t="s">
        <v>1996</v>
      </c>
      <c r="AZ364">
        <v>10085</v>
      </c>
      <c r="BA364">
        <v>4</v>
      </c>
      <c r="BB364" t="s">
        <v>2016</v>
      </c>
      <c r="BC364" s="3">
        <v>0</v>
      </c>
      <c r="BD364" s="3">
        <v>0</v>
      </c>
      <c r="BE364" s="3">
        <v>13011.9</v>
      </c>
      <c r="BF364" s="3">
        <v>15436.8</v>
      </c>
      <c r="BG364" s="3">
        <v>150</v>
      </c>
      <c r="BH364" s="3">
        <v>0</v>
      </c>
      <c r="BI364" s="3">
        <v>53500</v>
      </c>
      <c r="BJ364" s="3">
        <v>82098.7</v>
      </c>
      <c r="BK364" s="3">
        <v>0</v>
      </c>
      <c r="BL364" s="3">
        <v>82098.7</v>
      </c>
      <c r="BM364" s="2">
        <f t="shared" ca="1" si="11"/>
        <v>1</v>
      </c>
      <c r="BN364" s="3">
        <v>100000</v>
      </c>
      <c r="BO364" s="3">
        <v>500000</v>
      </c>
      <c r="BP364" s="3">
        <v>100000</v>
      </c>
      <c r="BQ364" s="3">
        <v>1000000</v>
      </c>
      <c r="BR364" s="3">
        <v>250000</v>
      </c>
      <c r="BS364">
        <v>500000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 t="s">
        <v>2948</v>
      </c>
      <c r="CA364" t="s">
        <v>1194</v>
      </c>
      <c r="CB364" t="s">
        <v>2941</v>
      </c>
    </row>
    <row r="365" spans="1:80" x14ac:dyDescent="0.25">
      <c r="A365">
        <v>364</v>
      </c>
      <c r="B365" t="s">
        <v>2380</v>
      </c>
      <c r="C365" s="1">
        <v>44753</v>
      </c>
      <c r="D365" s="2">
        <v>21</v>
      </c>
      <c r="E365" t="s">
        <v>4</v>
      </c>
      <c r="F365" t="s">
        <v>1311</v>
      </c>
      <c r="G365">
        <v>0</v>
      </c>
      <c r="H365" s="3">
        <v>0</v>
      </c>
      <c r="I365" s="3">
        <v>0</v>
      </c>
      <c r="J365" s="3">
        <v>2950000</v>
      </c>
      <c r="K365" s="3">
        <v>0</v>
      </c>
      <c r="L365" s="3" t="s">
        <v>1192</v>
      </c>
      <c r="M365">
        <v>1831338</v>
      </c>
      <c r="N365" t="s">
        <v>694</v>
      </c>
      <c r="O365" t="s">
        <v>695</v>
      </c>
      <c r="P365" t="s">
        <v>29</v>
      </c>
      <c r="Q365" t="s">
        <v>14</v>
      </c>
      <c r="R365">
        <v>10019</v>
      </c>
      <c r="S365" t="s">
        <v>29</v>
      </c>
      <c r="T365" t="s">
        <v>962</v>
      </c>
      <c r="U365">
        <v>0</v>
      </c>
      <c r="V365" t="s">
        <v>1138</v>
      </c>
      <c r="W365" t="s">
        <v>1194</v>
      </c>
      <c r="X365" t="s">
        <v>973</v>
      </c>
      <c r="Y365">
        <v>10000</v>
      </c>
      <c r="Z365" s="2">
        <v>2</v>
      </c>
      <c r="AA365" s="2" t="s">
        <v>1238</v>
      </c>
      <c r="AB365" t="s">
        <v>1238</v>
      </c>
      <c r="AC365">
        <v>776</v>
      </c>
      <c r="AD365" t="s">
        <v>1281</v>
      </c>
      <c r="AE365">
        <v>1</v>
      </c>
      <c r="AF365" t="s">
        <v>1290</v>
      </c>
      <c r="AG365">
        <v>0</v>
      </c>
      <c r="AH365">
        <v>0</v>
      </c>
      <c r="AI365">
        <v>0</v>
      </c>
      <c r="AJ365">
        <v>2020</v>
      </c>
      <c r="AK365" t="s">
        <v>1194</v>
      </c>
      <c r="AL365" t="s">
        <v>1194</v>
      </c>
      <c r="AM365" s="4" t="s">
        <v>1238</v>
      </c>
      <c r="AN365">
        <v>0</v>
      </c>
      <c r="AO365" t="s">
        <v>1315</v>
      </c>
      <c r="AP365">
        <f t="shared" si="10"/>
        <v>0</v>
      </c>
      <c r="AQ365">
        <v>0</v>
      </c>
      <c r="AR365" t="s">
        <v>1993</v>
      </c>
      <c r="AS365" t="s">
        <v>1995</v>
      </c>
      <c r="AT365" t="s">
        <v>1996</v>
      </c>
      <c r="AU365" t="s">
        <v>1996</v>
      </c>
      <c r="AV365" t="s">
        <v>1995</v>
      </c>
      <c r="AW365" t="s">
        <v>1996</v>
      </c>
      <c r="AX365" t="s">
        <v>2006</v>
      </c>
      <c r="AY365" t="s">
        <v>1996</v>
      </c>
      <c r="AZ365">
        <v>3364</v>
      </c>
      <c r="BA365" t="s">
        <v>1194</v>
      </c>
      <c r="BB365" t="s">
        <v>1194</v>
      </c>
      <c r="BC365" s="3">
        <v>10229.249400000001</v>
      </c>
      <c r="BD365" s="3">
        <v>999.09</v>
      </c>
      <c r="BE365" s="3">
        <v>0</v>
      </c>
      <c r="BF365" s="3">
        <v>0</v>
      </c>
      <c r="BG365" s="3">
        <v>150</v>
      </c>
      <c r="BH365" s="3">
        <v>0</v>
      </c>
      <c r="BI365" s="3">
        <v>4551.66</v>
      </c>
      <c r="BJ365" s="3">
        <v>15930</v>
      </c>
      <c r="BK365" s="3">
        <v>0</v>
      </c>
      <c r="BL365" s="3">
        <v>15930</v>
      </c>
      <c r="BM365" s="2">
        <f t="shared" ca="1" si="11"/>
        <v>3</v>
      </c>
      <c r="BN365" s="3">
        <v>100000</v>
      </c>
      <c r="BO365" s="3">
        <v>500000</v>
      </c>
      <c r="BP365" s="3">
        <v>100000</v>
      </c>
      <c r="BQ365" s="3">
        <v>500000</v>
      </c>
      <c r="BR365" s="3">
        <v>2000000</v>
      </c>
      <c r="BS365">
        <v>500000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 t="s">
        <v>2942</v>
      </c>
      <c r="CA365" t="s">
        <v>2006</v>
      </c>
      <c r="CB365" t="s">
        <v>2946</v>
      </c>
    </row>
    <row r="366" spans="1:80" x14ac:dyDescent="0.25">
      <c r="A366">
        <v>365</v>
      </c>
      <c r="B366" t="s">
        <v>2381</v>
      </c>
      <c r="C366" s="1">
        <v>44968</v>
      </c>
      <c r="D366" s="2">
        <v>6</v>
      </c>
      <c r="E366" t="s">
        <v>4</v>
      </c>
      <c r="F366" t="s">
        <v>1310</v>
      </c>
      <c r="G366">
        <v>0</v>
      </c>
      <c r="H366" s="3">
        <v>5204625</v>
      </c>
      <c r="I366" s="3">
        <v>221550</v>
      </c>
      <c r="J366" s="3">
        <v>1761850</v>
      </c>
      <c r="K366" s="3">
        <v>520462</v>
      </c>
      <c r="L366" s="3" t="s">
        <v>1191</v>
      </c>
      <c r="M366">
        <v>1839777</v>
      </c>
      <c r="N366" t="s">
        <v>696</v>
      </c>
      <c r="P366" t="s">
        <v>697</v>
      </c>
      <c r="Q366" t="s">
        <v>13</v>
      </c>
      <c r="R366">
        <v>2468</v>
      </c>
      <c r="S366" t="s">
        <v>53</v>
      </c>
      <c r="T366" t="s">
        <v>968</v>
      </c>
      <c r="U366">
        <v>0</v>
      </c>
      <c r="V366" t="s">
        <v>1139</v>
      </c>
      <c r="W366" t="s">
        <v>1194</v>
      </c>
      <c r="X366" t="s">
        <v>973</v>
      </c>
      <c r="Y366">
        <v>25000</v>
      </c>
      <c r="Z366" s="2">
        <v>4.9999951969999996</v>
      </c>
      <c r="AA366" s="2" t="s">
        <v>1238</v>
      </c>
      <c r="AB366" t="s">
        <v>1238</v>
      </c>
      <c r="AC366">
        <v>725</v>
      </c>
      <c r="AD366" t="s">
        <v>1279</v>
      </c>
      <c r="AE366">
        <v>1</v>
      </c>
      <c r="AF366" t="s">
        <v>1290</v>
      </c>
      <c r="AG366">
        <v>1</v>
      </c>
      <c r="AH366">
        <v>0</v>
      </c>
      <c r="AI366">
        <v>1</v>
      </c>
      <c r="AJ366">
        <v>2020</v>
      </c>
      <c r="AK366" t="s">
        <v>1194</v>
      </c>
      <c r="AL366" t="s">
        <v>1194</v>
      </c>
      <c r="AM366" s="4" t="s">
        <v>1304</v>
      </c>
      <c r="AN366">
        <v>0</v>
      </c>
      <c r="AO366" t="s">
        <v>1316</v>
      </c>
      <c r="AP366">
        <f t="shared" si="10"/>
        <v>1</v>
      </c>
      <c r="AQ366">
        <v>1</v>
      </c>
      <c r="AR366" t="s">
        <v>1992</v>
      </c>
      <c r="AS366" t="s">
        <v>1995</v>
      </c>
      <c r="AT366" t="s">
        <v>1995</v>
      </c>
      <c r="AU366" t="s">
        <v>1996</v>
      </c>
      <c r="AV366" t="s">
        <v>1995</v>
      </c>
      <c r="AW366" t="s">
        <v>1996</v>
      </c>
      <c r="AX366" t="s">
        <v>2006</v>
      </c>
      <c r="AY366" t="s">
        <v>1996</v>
      </c>
      <c r="AZ366">
        <v>9275</v>
      </c>
      <c r="BA366" t="s">
        <v>1194</v>
      </c>
      <c r="BB366" t="s">
        <v>1194</v>
      </c>
      <c r="BC366" s="3">
        <v>12402.1549</v>
      </c>
      <c r="BD366" s="3">
        <v>2320.88</v>
      </c>
      <c r="BE366" s="3">
        <v>0</v>
      </c>
      <c r="BF366" s="3">
        <v>0</v>
      </c>
      <c r="BG366" s="3">
        <v>150</v>
      </c>
      <c r="BH366" s="3">
        <v>0</v>
      </c>
      <c r="BI366" s="3">
        <v>6825</v>
      </c>
      <c r="BJ366" s="3">
        <v>21698</v>
      </c>
      <c r="BK366" s="3">
        <v>0</v>
      </c>
      <c r="BL366" s="3">
        <v>21698</v>
      </c>
      <c r="BM366" s="2">
        <f t="shared" ca="1" si="11"/>
        <v>1</v>
      </c>
      <c r="BN366" s="3">
        <v>100000</v>
      </c>
      <c r="BO366" s="3">
        <v>2000000</v>
      </c>
      <c r="BP366" s="3">
        <v>200000</v>
      </c>
      <c r="BQ366" s="3">
        <v>250000</v>
      </c>
      <c r="BR366" s="3">
        <v>1000000</v>
      </c>
      <c r="BS366">
        <v>100000</v>
      </c>
      <c r="BT366">
        <v>0</v>
      </c>
      <c r="BU366">
        <v>0</v>
      </c>
      <c r="BV366">
        <v>1</v>
      </c>
      <c r="BW366">
        <v>0</v>
      </c>
      <c r="BX366">
        <v>0</v>
      </c>
      <c r="BY366">
        <v>0</v>
      </c>
      <c r="BZ366" t="s">
        <v>2942</v>
      </c>
      <c r="CA366" t="s">
        <v>2006</v>
      </c>
      <c r="CB366" t="s">
        <v>2006</v>
      </c>
    </row>
    <row r="367" spans="1:80" x14ac:dyDescent="0.25">
      <c r="A367">
        <v>366</v>
      </c>
      <c r="B367" t="s">
        <v>2382</v>
      </c>
      <c r="C367" s="1">
        <v>44936</v>
      </c>
      <c r="D367" s="2">
        <v>3</v>
      </c>
      <c r="E367" t="s">
        <v>4</v>
      </c>
      <c r="F367" t="s">
        <v>1310</v>
      </c>
      <c r="G367">
        <v>0</v>
      </c>
      <c r="H367" s="3">
        <v>9000000</v>
      </c>
      <c r="I367" s="3">
        <v>0</v>
      </c>
      <c r="J367" s="3">
        <v>0</v>
      </c>
      <c r="K367" s="3">
        <v>0</v>
      </c>
      <c r="L367" s="3" t="s">
        <v>1191</v>
      </c>
      <c r="M367">
        <v>1769605</v>
      </c>
      <c r="N367" t="s">
        <v>698</v>
      </c>
      <c r="P367" t="s">
        <v>403</v>
      </c>
      <c r="Q367" t="s">
        <v>14</v>
      </c>
      <c r="R367">
        <v>11976</v>
      </c>
      <c r="S367" t="s">
        <v>26</v>
      </c>
      <c r="T367" t="s">
        <v>963</v>
      </c>
      <c r="U367">
        <v>0</v>
      </c>
      <c r="V367" t="s">
        <v>1140</v>
      </c>
      <c r="W367" t="s">
        <v>1194</v>
      </c>
      <c r="X367" t="s">
        <v>973</v>
      </c>
      <c r="Y367">
        <v>25000</v>
      </c>
      <c r="Z367" s="2">
        <v>2</v>
      </c>
      <c r="AA367" s="2" t="s">
        <v>1238</v>
      </c>
      <c r="AB367" t="s">
        <v>1238</v>
      </c>
      <c r="AC367">
        <v>661</v>
      </c>
      <c r="AD367" t="s">
        <v>1279</v>
      </c>
      <c r="AE367">
        <v>3</v>
      </c>
      <c r="AF367" t="s">
        <v>1291</v>
      </c>
      <c r="AG367">
        <v>0</v>
      </c>
      <c r="AH367">
        <v>0</v>
      </c>
      <c r="AI367">
        <v>0</v>
      </c>
      <c r="AJ367">
        <v>2021</v>
      </c>
      <c r="AK367" t="s">
        <v>1194</v>
      </c>
      <c r="AL367" t="s">
        <v>1194</v>
      </c>
      <c r="AM367" s="4" t="s">
        <v>1304</v>
      </c>
      <c r="AN367">
        <v>1</v>
      </c>
      <c r="AO367" t="s">
        <v>1315</v>
      </c>
      <c r="AP367">
        <f t="shared" si="10"/>
        <v>0</v>
      </c>
      <c r="AQ367">
        <v>1</v>
      </c>
      <c r="AR367" t="s">
        <v>1992</v>
      </c>
      <c r="AS367" t="s">
        <v>1995</v>
      </c>
      <c r="AT367" t="s">
        <v>1996</v>
      </c>
      <c r="AU367" t="s">
        <v>1996</v>
      </c>
      <c r="AV367" t="s">
        <v>1996</v>
      </c>
      <c r="AW367" t="s">
        <v>1996</v>
      </c>
      <c r="AX367" t="s">
        <v>2006</v>
      </c>
      <c r="AY367" t="s">
        <v>1996</v>
      </c>
      <c r="AZ367">
        <v>7445</v>
      </c>
      <c r="BA367" t="s">
        <v>1194</v>
      </c>
      <c r="BB367" t="s">
        <v>1194</v>
      </c>
      <c r="BC367" s="3">
        <v>22638.078600000001</v>
      </c>
      <c r="BD367" s="3">
        <v>37499.22</v>
      </c>
      <c r="BE367" s="3">
        <v>0</v>
      </c>
      <c r="BF367" s="3">
        <v>0</v>
      </c>
      <c r="BG367" s="3">
        <v>150</v>
      </c>
      <c r="BH367" s="3">
        <v>0</v>
      </c>
      <c r="BI367" s="3">
        <v>12462</v>
      </c>
      <c r="BJ367" s="3">
        <v>72749</v>
      </c>
      <c r="BK367" s="3">
        <v>300</v>
      </c>
      <c r="BL367" s="3">
        <v>73049</v>
      </c>
      <c r="BM367" s="2">
        <f t="shared" ca="1" si="11"/>
        <v>2</v>
      </c>
      <c r="BN367" s="3">
        <v>100000</v>
      </c>
      <c r="BO367" s="3">
        <v>100000</v>
      </c>
      <c r="BP367" s="3" t="s">
        <v>2922</v>
      </c>
      <c r="BQ367" s="3">
        <v>250000</v>
      </c>
      <c r="BR367" s="3">
        <v>1000000</v>
      </c>
      <c r="BS367">
        <v>50000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 t="s">
        <v>2942</v>
      </c>
      <c r="CA367" t="s">
        <v>2006</v>
      </c>
      <c r="CB367" t="s">
        <v>2006</v>
      </c>
    </row>
    <row r="368" spans="1:80" x14ac:dyDescent="0.25">
      <c r="A368">
        <v>367</v>
      </c>
      <c r="B368" t="s">
        <v>2383</v>
      </c>
      <c r="C368" s="1">
        <v>44944</v>
      </c>
      <c r="D368" s="2">
        <v>3</v>
      </c>
      <c r="E368" t="s">
        <v>4</v>
      </c>
      <c r="F368" t="s">
        <v>1310</v>
      </c>
      <c r="G368">
        <v>0</v>
      </c>
      <c r="H368" s="3">
        <v>9260000</v>
      </c>
      <c r="I368" s="3">
        <v>400000</v>
      </c>
      <c r="J368" s="3">
        <v>0</v>
      </c>
      <c r="K368" s="3">
        <v>0</v>
      </c>
      <c r="L368" s="3" t="s">
        <v>1191</v>
      </c>
      <c r="M368">
        <v>2047855</v>
      </c>
      <c r="N368" t="s">
        <v>699</v>
      </c>
      <c r="P368" t="s">
        <v>134</v>
      </c>
      <c r="Q368" t="s">
        <v>17</v>
      </c>
      <c r="R368">
        <v>29455</v>
      </c>
      <c r="S368" t="s">
        <v>31</v>
      </c>
      <c r="T368" t="s">
        <v>969</v>
      </c>
      <c r="U368">
        <v>1</v>
      </c>
      <c r="V368" t="s">
        <v>1040</v>
      </c>
      <c r="W368" t="s">
        <v>1194</v>
      </c>
      <c r="X368" t="s">
        <v>1309</v>
      </c>
      <c r="Y368">
        <v>25000</v>
      </c>
      <c r="Z368" s="2">
        <v>5</v>
      </c>
      <c r="AA368" s="2" t="s">
        <v>1238</v>
      </c>
      <c r="AB368" t="s">
        <v>1238</v>
      </c>
      <c r="AC368">
        <v>722</v>
      </c>
      <c r="AD368" t="s">
        <v>1279</v>
      </c>
      <c r="AE368">
        <v>2</v>
      </c>
      <c r="AF368" t="s">
        <v>1291</v>
      </c>
      <c r="AG368">
        <v>0</v>
      </c>
      <c r="AH368">
        <v>0</v>
      </c>
      <c r="AI368">
        <v>0</v>
      </c>
      <c r="AJ368">
        <v>2023</v>
      </c>
      <c r="AK368" t="s">
        <v>1194</v>
      </c>
      <c r="AL368" t="s">
        <v>1194</v>
      </c>
      <c r="AM368" s="4" t="s">
        <v>1304</v>
      </c>
      <c r="AN368">
        <v>1</v>
      </c>
      <c r="AO368" t="s">
        <v>1316</v>
      </c>
      <c r="AP368">
        <f t="shared" si="10"/>
        <v>0</v>
      </c>
      <c r="AQ368">
        <v>1</v>
      </c>
      <c r="AR368" t="s">
        <v>1992</v>
      </c>
      <c r="AS368" t="s">
        <v>1996</v>
      </c>
      <c r="AT368" t="s">
        <v>1996</v>
      </c>
      <c r="AU368" t="s">
        <v>1995</v>
      </c>
      <c r="AV368" t="s">
        <v>1995</v>
      </c>
      <c r="AW368" t="s">
        <v>1996</v>
      </c>
      <c r="AX368" t="s">
        <v>2009</v>
      </c>
      <c r="AY368" t="s">
        <v>1995</v>
      </c>
      <c r="AZ368">
        <v>14255</v>
      </c>
      <c r="BA368" t="s">
        <v>1194</v>
      </c>
      <c r="BB368" t="s">
        <v>1194</v>
      </c>
      <c r="BC368" s="3">
        <v>11758.7307</v>
      </c>
      <c r="BD368" s="3">
        <v>18813.080000000002</v>
      </c>
      <c r="BE368" s="3">
        <v>0</v>
      </c>
      <c r="BF368" s="3">
        <v>0</v>
      </c>
      <c r="BG368" s="3">
        <v>150</v>
      </c>
      <c r="BH368" s="3">
        <v>0</v>
      </c>
      <c r="BI368" s="3">
        <v>62014</v>
      </c>
      <c r="BJ368" s="3">
        <v>92736</v>
      </c>
      <c r="BK368" s="3">
        <v>1250</v>
      </c>
      <c r="BL368" s="3">
        <v>93986</v>
      </c>
      <c r="BM368" s="2">
        <f t="shared" ca="1" si="11"/>
        <v>4</v>
      </c>
      <c r="BN368" s="3">
        <v>250000</v>
      </c>
      <c r="BO368" s="3">
        <v>25000</v>
      </c>
      <c r="BP368" s="3" t="s">
        <v>2922</v>
      </c>
      <c r="BQ368" s="3">
        <v>100000</v>
      </c>
      <c r="BR368" s="3">
        <v>100000</v>
      </c>
      <c r="BS368">
        <v>50000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 t="s">
        <v>2006</v>
      </c>
      <c r="CA368" t="s">
        <v>2006</v>
      </c>
      <c r="CB368" t="s">
        <v>2945</v>
      </c>
    </row>
    <row r="369" spans="1:80" x14ac:dyDescent="0.25">
      <c r="A369">
        <v>368</v>
      </c>
      <c r="B369" t="s">
        <v>2384</v>
      </c>
      <c r="C369" s="1">
        <v>44860</v>
      </c>
      <c r="D369" s="2">
        <v>30</v>
      </c>
      <c r="E369" t="s">
        <v>4</v>
      </c>
      <c r="F369" t="s">
        <v>1311</v>
      </c>
      <c r="G369">
        <v>0</v>
      </c>
      <c r="H369" s="3">
        <v>7800000</v>
      </c>
      <c r="I369" s="3">
        <v>0</v>
      </c>
      <c r="J369" s="3">
        <v>0</v>
      </c>
      <c r="K369" s="3">
        <v>0</v>
      </c>
      <c r="L369" s="3" t="s">
        <v>1191</v>
      </c>
      <c r="M369">
        <v>861806</v>
      </c>
      <c r="N369" t="s">
        <v>700</v>
      </c>
      <c r="P369" t="s">
        <v>271</v>
      </c>
      <c r="Q369" t="s">
        <v>14</v>
      </c>
      <c r="R369">
        <v>11215</v>
      </c>
      <c r="S369" t="s">
        <v>67</v>
      </c>
      <c r="T369" t="s">
        <v>962</v>
      </c>
      <c r="U369">
        <v>0</v>
      </c>
      <c r="V369" t="s">
        <v>1141</v>
      </c>
      <c r="W369" t="s">
        <v>1194</v>
      </c>
      <c r="X369" t="s">
        <v>973</v>
      </c>
      <c r="Y369">
        <v>50000</v>
      </c>
      <c r="Z369" s="2">
        <v>2</v>
      </c>
      <c r="AA369" s="2" t="s">
        <v>1238</v>
      </c>
      <c r="AB369" t="s">
        <v>1238</v>
      </c>
      <c r="AC369">
        <v>715</v>
      </c>
      <c r="AD369" t="s">
        <v>1280</v>
      </c>
      <c r="AE369">
        <v>1</v>
      </c>
      <c r="AF369" t="s">
        <v>1290</v>
      </c>
      <c r="AG369">
        <v>0</v>
      </c>
      <c r="AH369">
        <v>0</v>
      </c>
      <c r="AI369">
        <v>0</v>
      </c>
      <c r="AJ369">
        <v>1901</v>
      </c>
      <c r="AK369">
        <v>2018</v>
      </c>
      <c r="AL369">
        <v>2018</v>
      </c>
      <c r="AM369" s="4" t="s">
        <v>1238</v>
      </c>
      <c r="AN369">
        <v>1</v>
      </c>
      <c r="AO369" t="s">
        <v>1316</v>
      </c>
      <c r="AP369">
        <f t="shared" si="10"/>
        <v>0</v>
      </c>
      <c r="AQ369">
        <v>1</v>
      </c>
      <c r="AR369" t="s">
        <v>1992</v>
      </c>
      <c r="AS369" t="s">
        <v>1995</v>
      </c>
      <c r="AT369" t="s">
        <v>1995</v>
      </c>
      <c r="AU369" t="s">
        <v>1996</v>
      </c>
      <c r="AV369" t="s">
        <v>1996</v>
      </c>
      <c r="AW369" t="s">
        <v>1996</v>
      </c>
      <c r="AX369" t="s">
        <v>2006</v>
      </c>
      <c r="AY369" t="s">
        <v>1996</v>
      </c>
      <c r="AZ369">
        <v>5986</v>
      </c>
      <c r="BA369" t="s">
        <v>1194</v>
      </c>
      <c r="BB369" t="s">
        <v>1194</v>
      </c>
      <c r="BC369" s="3">
        <v>26166.436699999998</v>
      </c>
      <c r="BD369" s="3">
        <v>4268.34</v>
      </c>
      <c r="BE369" s="3">
        <v>0</v>
      </c>
      <c r="BF369" s="3">
        <v>0</v>
      </c>
      <c r="BG369" s="3">
        <v>150</v>
      </c>
      <c r="BH369" s="3">
        <v>0</v>
      </c>
      <c r="BI369" s="3">
        <v>22146</v>
      </c>
      <c r="BJ369" s="3">
        <v>52731</v>
      </c>
      <c r="BK369" s="3">
        <v>0</v>
      </c>
      <c r="BL369" s="3">
        <v>52731</v>
      </c>
      <c r="BM369" s="2">
        <f t="shared" ca="1" si="11"/>
        <v>4</v>
      </c>
      <c r="BN369" s="3">
        <v>250000</v>
      </c>
      <c r="BO369" s="3">
        <v>100000</v>
      </c>
      <c r="BP369" s="3">
        <v>50000</v>
      </c>
      <c r="BQ369" s="3">
        <v>250000</v>
      </c>
      <c r="BR369" s="3">
        <v>50000</v>
      </c>
      <c r="BS369">
        <v>250000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 t="s">
        <v>2942</v>
      </c>
      <c r="CA369" t="s">
        <v>2006</v>
      </c>
      <c r="CB369" t="s">
        <v>2946</v>
      </c>
    </row>
    <row r="370" spans="1:80" x14ac:dyDescent="0.25">
      <c r="A370">
        <v>369</v>
      </c>
      <c r="B370" t="s">
        <v>2385</v>
      </c>
      <c r="C370" s="1">
        <v>44936</v>
      </c>
      <c r="D370" s="2">
        <v>3</v>
      </c>
      <c r="E370" t="s">
        <v>4</v>
      </c>
      <c r="F370" t="s">
        <v>1310</v>
      </c>
      <c r="G370">
        <v>0</v>
      </c>
      <c r="H370" s="3">
        <v>0</v>
      </c>
      <c r="I370" s="3">
        <v>0</v>
      </c>
      <c r="J370" s="3">
        <v>1550000</v>
      </c>
      <c r="K370" s="3">
        <v>0</v>
      </c>
      <c r="L370" s="3" t="s">
        <v>1192</v>
      </c>
      <c r="M370">
        <v>1771749</v>
      </c>
      <c r="N370" t="s">
        <v>701</v>
      </c>
      <c r="O370" t="s">
        <v>702</v>
      </c>
      <c r="P370" t="s">
        <v>29</v>
      </c>
      <c r="Q370" t="s">
        <v>14</v>
      </c>
      <c r="R370">
        <v>10075</v>
      </c>
      <c r="S370" t="s">
        <v>29</v>
      </c>
      <c r="T370" t="s">
        <v>968</v>
      </c>
      <c r="U370">
        <v>0</v>
      </c>
      <c r="V370" t="s">
        <v>999</v>
      </c>
      <c r="W370" t="s">
        <v>1194</v>
      </c>
      <c r="X370" t="s">
        <v>973</v>
      </c>
      <c r="Y370">
        <v>10000</v>
      </c>
      <c r="Z370" s="2">
        <v>1</v>
      </c>
      <c r="AA370" s="2" t="s">
        <v>1238</v>
      </c>
      <c r="AB370" t="s">
        <v>1238</v>
      </c>
      <c r="AC370">
        <v>775</v>
      </c>
      <c r="AD370" t="s">
        <v>1281</v>
      </c>
      <c r="AE370">
        <v>1</v>
      </c>
      <c r="AF370" t="s">
        <v>1290</v>
      </c>
      <c r="AG370">
        <v>0</v>
      </c>
      <c r="AH370">
        <v>0</v>
      </c>
      <c r="AI370">
        <v>0</v>
      </c>
      <c r="AJ370">
        <v>1915</v>
      </c>
      <c r="AK370" t="s">
        <v>1194</v>
      </c>
      <c r="AL370" t="s">
        <v>1194</v>
      </c>
      <c r="AM370" s="4" t="s">
        <v>1308</v>
      </c>
      <c r="AN370">
        <v>0</v>
      </c>
      <c r="AO370" t="s">
        <v>1315</v>
      </c>
      <c r="AP370">
        <f t="shared" si="10"/>
        <v>0</v>
      </c>
      <c r="AQ370">
        <v>1</v>
      </c>
      <c r="AR370" t="s">
        <v>1992</v>
      </c>
      <c r="AS370" t="s">
        <v>1996</v>
      </c>
      <c r="AT370" t="s">
        <v>1995</v>
      </c>
      <c r="AU370" t="s">
        <v>1995</v>
      </c>
      <c r="AV370" t="s">
        <v>1995</v>
      </c>
      <c r="AW370" t="s">
        <v>1995</v>
      </c>
      <c r="AX370" t="s">
        <v>2006</v>
      </c>
      <c r="AY370" t="s">
        <v>1996</v>
      </c>
      <c r="AZ370">
        <v>1923</v>
      </c>
      <c r="BA370" t="s">
        <v>1194</v>
      </c>
      <c r="BB370" t="s">
        <v>1194</v>
      </c>
      <c r="BC370" s="3">
        <v>6587.1234999999997</v>
      </c>
      <c r="BD370" s="3">
        <v>1660.66</v>
      </c>
      <c r="BE370" s="3">
        <v>0</v>
      </c>
      <c r="BF370" s="3">
        <v>0</v>
      </c>
      <c r="BG370" s="3">
        <v>150</v>
      </c>
      <c r="BH370" s="3">
        <v>0</v>
      </c>
      <c r="BI370" s="3">
        <v>-573</v>
      </c>
      <c r="BJ370" s="3">
        <v>7825</v>
      </c>
      <c r="BK370" s="3">
        <v>0</v>
      </c>
      <c r="BL370" s="3">
        <v>7825</v>
      </c>
      <c r="BM370" s="2">
        <f t="shared" ca="1" si="11"/>
        <v>2</v>
      </c>
      <c r="BN370" s="3">
        <v>500000</v>
      </c>
      <c r="BO370" s="3">
        <v>500000</v>
      </c>
      <c r="BP370" s="3">
        <v>50000</v>
      </c>
      <c r="BQ370" s="3">
        <v>50000</v>
      </c>
      <c r="BR370" s="3" t="s">
        <v>2916</v>
      </c>
      <c r="BS370">
        <v>1000000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 t="s">
        <v>2006</v>
      </c>
      <c r="CA370" t="s">
        <v>2006</v>
      </c>
      <c r="CB370" t="s">
        <v>2946</v>
      </c>
    </row>
    <row r="371" spans="1:80" x14ac:dyDescent="0.25">
      <c r="A371">
        <v>370</v>
      </c>
      <c r="B371" t="s">
        <v>2386</v>
      </c>
      <c r="C371" s="1">
        <v>44956</v>
      </c>
      <c r="D371" s="2">
        <v>3</v>
      </c>
      <c r="E371" t="s">
        <v>4</v>
      </c>
      <c r="F371" t="s">
        <v>1310</v>
      </c>
      <c r="G371">
        <v>0</v>
      </c>
      <c r="H371" s="3">
        <v>0</v>
      </c>
      <c r="I371" s="3">
        <v>0</v>
      </c>
      <c r="J371" s="3">
        <v>2000000</v>
      </c>
      <c r="K371" s="3">
        <v>0</v>
      </c>
      <c r="L371" s="3" t="s">
        <v>1192</v>
      </c>
      <c r="M371">
        <v>1795248</v>
      </c>
      <c r="N371" t="s">
        <v>703</v>
      </c>
      <c r="O371" t="s">
        <v>704</v>
      </c>
      <c r="P371" t="s">
        <v>29</v>
      </c>
      <c r="Q371" t="s">
        <v>14</v>
      </c>
      <c r="R371">
        <v>10023</v>
      </c>
      <c r="S371" t="s">
        <v>29</v>
      </c>
      <c r="T371" t="s">
        <v>962</v>
      </c>
      <c r="U371">
        <v>0</v>
      </c>
      <c r="V371" t="s">
        <v>1064</v>
      </c>
      <c r="W371" t="s">
        <v>1194</v>
      </c>
      <c r="X371" t="s">
        <v>973</v>
      </c>
      <c r="Y371">
        <v>25000</v>
      </c>
      <c r="Z371" s="2">
        <v>2</v>
      </c>
      <c r="AA371" s="2" t="s">
        <v>1238</v>
      </c>
      <c r="AB371" t="s">
        <v>1238</v>
      </c>
      <c r="AC371">
        <v>829</v>
      </c>
      <c r="AD371" t="s">
        <v>1281</v>
      </c>
      <c r="AE371">
        <v>1</v>
      </c>
      <c r="AF371" t="s">
        <v>1290</v>
      </c>
      <c r="AG371">
        <v>0</v>
      </c>
      <c r="AH371">
        <v>1</v>
      </c>
      <c r="AI371">
        <v>1</v>
      </c>
      <c r="AJ371">
        <v>1993</v>
      </c>
      <c r="AK371">
        <v>2017</v>
      </c>
      <c r="AL371" t="s">
        <v>1194</v>
      </c>
      <c r="AM371" s="4" t="s">
        <v>1304</v>
      </c>
      <c r="AN371">
        <v>1</v>
      </c>
      <c r="AO371" t="s">
        <v>1315</v>
      </c>
      <c r="AP371">
        <f t="shared" si="10"/>
        <v>1</v>
      </c>
      <c r="AQ371">
        <v>0</v>
      </c>
      <c r="AR371" t="s">
        <v>1993</v>
      </c>
      <c r="AS371" t="s">
        <v>1995</v>
      </c>
      <c r="AT371" t="s">
        <v>1996</v>
      </c>
      <c r="AU371" t="s">
        <v>1996</v>
      </c>
      <c r="AV371" t="s">
        <v>1996</v>
      </c>
      <c r="AW371" t="s">
        <v>1996</v>
      </c>
      <c r="AX371" t="s">
        <v>2006</v>
      </c>
      <c r="AY371" t="s">
        <v>1996</v>
      </c>
      <c r="AZ371">
        <v>1931</v>
      </c>
      <c r="BA371" t="s">
        <v>1194</v>
      </c>
      <c r="BB371" t="s">
        <v>1194</v>
      </c>
      <c r="BC371" s="3">
        <v>6958.3874999999998</v>
      </c>
      <c r="BD371" s="3">
        <v>1624.64</v>
      </c>
      <c r="BE371" s="3">
        <v>0</v>
      </c>
      <c r="BF371" s="3">
        <v>0</v>
      </c>
      <c r="BG371" s="3">
        <v>120</v>
      </c>
      <c r="BH371" s="3">
        <v>0</v>
      </c>
      <c r="BI371" s="3">
        <v>4297</v>
      </c>
      <c r="BJ371" s="3">
        <v>13000</v>
      </c>
      <c r="BK371" s="3">
        <v>0</v>
      </c>
      <c r="BL371" s="3">
        <v>13000</v>
      </c>
      <c r="BM371" s="2">
        <f t="shared" ca="1" si="11"/>
        <v>4</v>
      </c>
      <c r="BN371" s="3">
        <v>500000</v>
      </c>
      <c r="BO371" s="3">
        <v>500000</v>
      </c>
      <c r="BP371" s="3">
        <v>50000</v>
      </c>
      <c r="BQ371" s="3">
        <v>2000000</v>
      </c>
      <c r="BR371" s="3">
        <v>500000</v>
      </c>
      <c r="BS371">
        <v>250000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 t="s">
        <v>2942</v>
      </c>
      <c r="CA371" t="s">
        <v>2006</v>
      </c>
      <c r="CB371" t="s">
        <v>2946</v>
      </c>
    </row>
    <row r="372" spans="1:80" x14ac:dyDescent="0.25">
      <c r="A372">
        <v>371</v>
      </c>
      <c r="B372" t="s">
        <v>2387</v>
      </c>
      <c r="C372" s="1">
        <v>44912</v>
      </c>
      <c r="D372" s="2">
        <v>36</v>
      </c>
      <c r="E372" t="s">
        <v>4</v>
      </c>
      <c r="F372" t="s">
        <v>1311</v>
      </c>
      <c r="G372">
        <v>0</v>
      </c>
      <c r="H372" s="3">
        <v>3100000</v>
      </c>
      <c r="I372" s="3">
        <v>0</v>
      </c>
      <c r="J372" s="3">
        <v>0</v>
      </c>
      <c r="K372" s="3">
        <v>0</v>
      </c>
      <c r="L372" s="3" t="s">
        <v>1191</v>
      </c>
      <c r="M372">
        <v>2026066</v>
      </c>
      <c r="N372" t="s">
        <v>705</v>
      </c>
      <c r="P372" t="s">
        <v>214</v>
      </c>
      <c r="Q372" t="s">
        <v>15</v>
      </c>
      <c r="R372">
        <v>33767</v>
      </c>
      <c r="S372" t="s">
        <v>28</v>
      </c>
      <c r="T372" t="s">
        <v>967</v>
      </c>
      <c r="U372">
        <v>1</v>
      </c>
      <c r="V372" t="s">
        <v>1026</v>
      </c>
      <c r="W372" t="s">
        <v>1194</v>
      </c>
      <c r="X372" t="s">
        <v>1309</v>
      </c>
      <c r="Y372">
        <v>10000</v>
      </c>
      <c r="Z372" s="2">
        <v>5</v>
      </c>
      <c r="AA372" s="2" t="s">
        <v>1238</v>
      </c>
      <c r="AB372" t="s">
        <v>1238</v>
      </c>
      <c r="AC372">
        <v>898</v>
      </c>
      <c r="AD372" t="s">
        <v>1280</v>
      </c>
      <c r="AE372">
        <v>1</v>
      </c>
      <c r="AF372" t="s">
        <v>1291</v>
      </c>
      <c r="AG372">
        <v>0</v>
      </c>
      <c r="AH372">
        <v>0</v>
      </c>
      <c r="AI372">
        <v>0</v>
      </c>
      <c r="AJ372">
        <v>2022</v>
      </c>
      <c r="AK372" t="s">
        <v>1194</v>
      </c>
      <c r="AL372" t="s">
        <v>1194</v>
      </c>
      <c r="AM372" s="4" t="s">
        <v>1238</v>
      </c>
      <c r="AN372">
        <v>0</v>
      </c>
      <c r="AO372" t="s">
        <v>1317</v>
      </c>
      <c r="AP372">
        <f t="shared" si="10"/>
        <v>0</v>
      </c>
      <c r="AQ372">
        <v>1</v>
      </c>
      <c r="AR372" t="s">
        <v>1992</v>
      </c>
      <c r="AS372" t="s">
        <v>1995</v>
      </c>
      <c r="AT372" t="s">
        <v>1995</v>
      </c>
      <c r="AU372" t="s">
        <v>1995</v>
      </c>
      <c r="AV372" t="s">
        <v>1995</v>
      </c>
      <c r="AW372" t="s">
        <v>1995</v>
      </c>
      <c r="AX372" t="s">
        <v>2006</v>
      </c>
      <c r="AY372" t="s">
        <v>1996</v>
      </c>
      <c r="AZ372">
        <v>6755</v>
      </c>
      <c r="BA372" t="s">
        <v>1194</v>
      </c>
      <c r="BB372" t="s">
        <v>1194</v>
      </c>
      <c r="BC372" s="3">
        <v>5407.0982999999997</v>
      </c>
      <c r="BD372" s="3">
        <v>8979.59</v>
      </c>
      <c r="BE372" s="3">
        <v>0</v>
      </c>
      <c r="BF372" s="3">
        <v>0</v>
      </c>
      <c r="BG372" s="3">
        <v>300</v>
      </c>
      <c r="BH372" s="3">
        <v>0</v>
      </c>
      <c r="BI372" s="3">
        <v>44133</v>
      </c>
      <c r="BJ372" s="3">
        <v>58820</v>
      </c>
      <c r="BK372" s="3">
        <v>250</v>
      </c>
      <c r="BL372" s="3">
        <v>59070</v>
      </c>
      <c r="BM372" s="2">
        <f t="shared" ca="1" si="11"/>
        <v>2</v>
      </c>
      <c r="BN372" s="3">
        <v>500000</v>
      </c>
      <c r="BO372" s="3">
        <v>25000</v>
      </c>
      <c r="BP372" s="3">
        <v>100000</v>
      </c>
      <c r="BQ372" s="3">
        <v>50000</v>
      </c>
      <c r="BR372" s="3">
        <v>1000000</v>
      </c>
      <c r="BS372">
        <v>500000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 t="s">
        <v>2943</v>
      </c>
      <c r="CA372" t="s">
        <v>2006</v>
      </c>
      <c r="CB372" t="s">
        <v>2941</v>
      </c>
    </row>
    <row r="373" spans="1:80" x14ac:dyDescent="0.25">
      <c r="A373">
        <v>372</v>
      </c>
      <c r="B373" t="s">
        <v>2388</v>
      </c>
      <c r="C373" s="1">
        <v>44701</v>
      </c>
      <c r="D373" s="2">
        <v>15</v>
      </c>
      <c r="E373" t="s">
        <v>4</v>
      </c>
      <c r="F373" t="s">
        <v>1311</v>
      </c>
      <c r="G373">
        <v>0</v>
      </c>
      <c r="H373" s="3">
        <v>2000000</v>
      </c>
      <c r="I373" s="3">
        <v>200000</v>
      </c>
      <c r="J373" s="3">
        <v>0</v>
      </c>
      <c r="K373" s="3">
        <v>0</v>
      </c>
      <c r="L373" s="3" t="s">
        <v>1191</v>
      </c>
      <c r="M373">
        <v>1819451</v>
      </c>
      <c r="N373" t="s">
        <v>706</v>
      </c>
      <c r="P373" t="s">
        <v>200</v>
      </c>
      <c r="Q373" t="s">
        <v>16</v>
      </c>
      <c r="R373">
        <v>8202</v>
      </c>
      <c r="S373" t="s">
        <v>32</v>
      </c>
      <c r="T373" t="s">
        <v>970</v>
      </c>
      <c r="U373">
        <v>1</v>
      </c>
      <c r="V373" t="s">
        <v>1019</v>
      </c>
      <c r="W373" t="s">
        <v>1194</v>
      </c>
      <c r="X373" t="s">
        <v>1309</v>
      </c>
      <c r="Y373">
        <v>10000</v>
      </c>
      <c r="Z373" s="2">
        <v>2</v>
      </c>
      <c r="AA373" s="2" t="s">
        <v>1238</v>
      </c>
      <c r="AB373" t="s">
        <v>1238</v>
      </c>
      <c r="AC373">
        <v>728</v>
      </c>
      <c r="AD373" t="s">
        <v>1279</v>
      </c>
      <c r="AE373">
        <v>3</v>
      </c>
      <c r="AF373" t="s">
        <v>1291</v>
      </c>
      <c r="AG373">
        <v>0</v>
      </c>
      <c r="AH373">
        <v>0</v>
      </c>
      <c r="AI373">
        <v>0</v>
      </c>
      <c r="AJ373">
        <v>2022</v>
      </c>
      <c r="AK373" t="s">
        <v>1194</v>
      </c>
      <c r="AL373" t="s">
        <v>1194</v>
      </c>
      <c r="AM373" s="4" t="s">
        <v>1238</v>
      </c>
      <c r="AN373">
        <v>0</v>
      </c>
      <c r="AO373" t="s">
        <v>1317</v>
      </c>
      <c r="AP373">
        <f t="shared" si="10"/>
        <v>0</v>
      </c>
      <c r="AQ373">
        <v>0</v>
      </c>
      <c r="AR373" t="s">
        <v>1993</v>
      </c>
      <c r="AS373" t="s">
        <v>1995</v>
      </c>
      <c r="AT373" t="s">
        <v>1996</v>
      </c>
      <c r="AU373" t="s">
        <v>1996</v>
      </c>
      <c r="AV373" t="s">
        <v>1995</v>
      </c>
      <c r="AW373" t="s">
        <v>1995</v>
      </c>
      <c r="AX373" t="s">
        <v>2006</v>
      </c>
      <c r="AY373" t="s">
        <v>1996</v>
      </c>
      <c r="AZ373">
        <v>3500</v>
      </c>
      <c r="BA373" t="s">
        <v>1194</v>
      </c>
      <c r="BB373" t="s">
        <v>1194</v>
      </c>
      <c r="BC373" s="3">
        <v>4258.5065999999997</v>
      </c>
      <c r="BD373" s="3">
        <v>3076.27</v>
      </c>
      <c r="BE373" s="3">
        <v>0</v>
      </c>
      <c r="BF373" s="3">
        <v>0</v>
      </c>
      <c r="BG373" s="3">
        <v>150</v>
      </c>
      <c r="BH373" s="3">
        <v>0</v>
      </c>
      <c r="BI373" s="3">
        <v>3914</v>
      </c>
      <c r="BJ373" s="3">
        <v>11399</v>
      </c>
      <c r="BK373" s="3">
        <v>300</v>
      </c>
      <c r="BL373" s="3">
        <v>11699</v>
      </c>
      <c r="BM373" s="2">
        <f t="shared" ca="1" si="11"/>
        <v>0</v>
      </c>
      <c r="BN373" s="3">
        <v>50000</v>
      </c>
      <c r="BO373" s="3">
        <v>25000</v>
      </c>
      <c r="BP373" s="3" t="s">
        <v>2922</v>
      </c>
      <c r="BQ373" s="3">
        <v>100000</v>
      </c>
      <c r="BR373" s="3">
        <v>50000</v>
      </c>
      <c r="BS373">
        <v>50000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 t="s">
        <v>2942</v>
      </c>
      <c r="CA373" t="s">
        <v>2006</v>
      </c>
      <c r="CB373" t="s">
        <v>2006</v>
      </c>
    </row>
    <row r="374" spans="1:80" x14ac:dyDescent="0.25">
      <c r="A374">
        <v>373</v>
      </c>
      <c r="B374" t="s">
        <v>2389</v>
      </c>
      <c r="C374" s="1">
        <v>44910</v>
      </c>
      <c r="D374" s="2">
        <v>36</v>
      </c>
      <c r="E374" t="s">
        <v>4</v>
      </c>
      <c r="F374" t="s">
        <v>1311</v>
      </c>
      <c r="G374">
        <v>1</v>
      </c>
      <c r="H374" s="3">
        <v>5500000</v>
      </c>
      <c r="I374" s="3">
        <v>0</v>
      </c>
      <c r="J374" s="3">
        <v>0</v>
      </c>
      <c r="K374" s="3">
        <v>0</v>
      </c>
      <c r="L374" s="3" t="s">
        <v>1191</v>
      </c>
      <c r="M374">
        <v>1827989</v>
      </c>
      <c r="N374" t="s">
        <v>707</v>
      </c>
      <c r="O374" t="s">
        <v>708</v>
      </c>
      <c r="P374" t="s">
        <v>580</v>
      </c>
      <c r="Q374" t="s">
        <v>15</v>
      </c>
      <c r="R374">
        <v>33156</v>
      </c>
      <c r="S374" t="s">
        <v>33</v>
      </c>
      <c r="T374" t="s">
        <v>964</v>
      </c>
      <c r="U374">
        <v>1</v>
      </c>
      <c r="V374" t="s">
        <v>1046</v>
      </c>
      <c r="W374" t="s">
        <v>1194</v>
      </c>
      <c r="X374" t="s">
        <v>1309</v>
      </c>
      <c r="Y374">
        <v>10000</v>
      </c>
      <c r="Z374" s="2">
        <v>10</v>
      </c>
      <c r="AA374" s="2" t="s">
        <v>1238</v>
      </c>
      <c r="AB374" t="s">
        <v>1238</v>
      </c>
      <c r="AC374">
        <v>647</v>
      </c>
      <c r="AD374" t="s">
        <v>1280</v>
      </c>
      <c r="AE374">
        <v>1</v>
      </c>
      <c r="AF374" t="s">
        <v>1291</v>
      </c>
      <c r="AG374">
        <v>0</v>
      </c>
      <c r="AH374">
        <v>0</v>
      </c>
      <c r="AI374">
        <v>0</v>
      </c>
      <c r="AJ374">
        <v>2021</v>
      </c>
      <c r="AK374" t="s">
        <v>1194</v>
      </c>
      <c r="AL374" t="s">
        <v>1194</v>
      </c>
      <c r="AM374" s="4" t="s">
        <v>1238</v>
      </c>
      <c r="AN374">
        <v>0</v>
      </c>
      <c r="AO374" t="s">
        <v>1316</v>
      </c>
      <c r="AP374">
        <f t="shared" si="10"/>
        <v>0</v>
      </c>
      <c r="AQ374">
        <v>1</v>
      </c>
      <c r="AR374" t="s">
        <v>1992</v>
      </c>
      <c r="AS374" t="s">
        <v>1995</v>
      </c>
      <c r="AT374" t="s">
        <v>1996</v>
      </c>
      <c r="AU374" t="s">
        <v>1996</v>
      </c>
      <c r="AV374" t="s">
        <v>1995</v>
      </c>
      <c r="AW374" t="s">
        <v>1995</v>
      </c>
      <c r="AX374" t="s">
        <v>2007</v>
      </c>
      <c r="AY374" t="s">
        <v>1995</v>
      </c>
      <c r="AZ374">
        <v>4081</v>
      </c>
      <c r="BA374" t="s">
        <v>1194</v>
      </c>
      <c r="BB374" t="s">
        <v>1194</v>
      </c>
      <c r="BC374" s="3">
        <v>16855.685099999999</v>
      </c>
      <c r="BD374" s="3">
        <v>32654.240000000002</v>
      </c>
      <c r="BE374" s="3">
        <v>0</v>
      </c>
      <c r="BF374" s="3">
        <v>0</v>
      </c>
      <c r="BG374" s="3">
        <v>0</v>
      </c>
      <c r="BH374" s="3">
        <v>0</v>
      </c>
      <c r="BI374" s="3">
        <v>10990</v>
      </c>
      <c r="BJ374" s="3">
        <v>60500</v>
      </c>
      <c r="BK374" s="3">
        <v>550</v>
      </c>
      <c r="BL374" s="3">
        <v>61050</v>
      </c>
      <c r="BM374" s="2">
        <f t="shared" ca="1" si="11"/>
        <v>0</v>
      </c>
      <c r="BN374" s="3">
        <v>1000000</v>
      </c>
      <c r="BO374" s="3">
        <v>25000</v>
      </c>
      <c r="BP374" s="3">
        <v>100000</v>
      </c>
      <c r="BQ374" s="3">
        <v>50000</v>
      </c>
      <c r="BR374" s="3">
        <v>2000000</v>
      </c>
      <c r="BS374">
        <v>2000000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 t="s">
        <v>2938</v>
      </c>
      <c r="CA374" t="s">
        <v>2939</v>
      </c>
      <c r="CB374" t="s">
        <v>2941</v>
      </c>
    </row>
    <row r="375" spans="1:80" x14ac:dyDescent="0.25">
      <c r="A375">
        <v>374</v>
      </c>
      <c r="B375" t="s">
        <v>2390</v>
      </c>
      <c r="C375" s="1">
        <v>44966</v>
      </c>
      <c r="D375" s="2">
        <v>6</v>
      </c>
      <c r="E375" t="s">
        <v>4</v>
      </c>
      <c r="F375" t="s">
        <v>1310</v>
      </c>
      <c r="G375">
        <v>0</v>
      </c>
      <c r="H375" s="3">
        <v>0</v>
      </c>
      <c r="I375" s="3">
        <v>0</v>
      </c>
      <c r="J375" s="3">
        <v>800000</v>
      </c>
      <c r="K375" s="3">
        <v>0</v>
      </c>
      <c r="L375" s="3" t="s">
        <v>1192</v>
      </c>
      <c r="M375">
        <v>1649159</v>
      </c>
      <c r="N375" t="s">
        <v>709</v>
      </c>
      <c r="O375" t="s">
        <v>710</v>
      </c>
      <c r="P375" t="s">
        <v>29</v>
      </c>
      <c r="Q375" t="s">
        <v>14</v>
      </c>
      <c r="R375">
        <v>10014</v>
      </c>
      <c r="S375" t="s">
        <v>29</v>
      </c>
      <c r="T375" t="s">
        <v>962</v>
      </c>
      <c r="U375">
        <v>0</v>
      </c>
      <c r="V375" t="s">
        <v>997</v>
      </c>
      <c r="W375" t="s">
        <v>1194</v>
      </c>
      <c r="X375" t="s">
        <v>973</v>
      </c>
      <c r="Y375">
        <v>10000</v>
      </c>
      <c r="Z375" s="2">
        <v>2</v>
      </c>
      <c r="AA375" s="2" t="s">
        <v>1238</v>
      </c>
      <c r="AB375" t="s">
        <v>1238</v>
      </c>
      <c r="AC375">
        <v>710</v>
      </c>
      <c r="AD375" t="s">
        <v>1281</v>
      </c>
      <c r="AE375">
        <v>1</v>
      </c>
      <c r="AF375" t="s">
        <v>1290</v>
      </c>
      <c r="AG375">
        <v>0</v>
      </c>
      <c r="AH375">
        <v>0</v>
      </c>
      <c r="AI375">
        <v>0</v>
      </c>
      <c r="AJ375">
        <v>1920</v>
      </c>
      <c r="AK375">
        <v>2023</v>
      </c>
      <c r="AL375" t="s">
        <v>1194</v>
      </c>
      <c r="AM375" s="4" t="s">
        <v>1304</v>
      </c>
      <c r="AN375">
        <v>1</v>
      </c>
      <c r="AO375" t="s">
        <v>1315</v>
      </c>
      <c r="AP375">
        <f t="shared" si="10"/>
        <v>0</v>
      </c>
      <c r="AQ375">
        <v>0</v>
      </c>
      <c r="AR375" t="s">
        <v>1993</v>
      </c>
      <c r="AS375" t="s">
        <v>1996</v>
      </c>
      <c r="AT375" t="s">
        <v>1995</v>
      </c>
      <c r="AU375" t="s">
        <v>1996</v>
      </c>
      <c r="AV375" t="s">
        <v>1996</v>
      </c>
      <c r="AW375" t="s">
        <v>1995</v>
      </c>
      <c r="AX375" t="s">
        <v>2006</v>
      </c>
      <c r="AY375" t="s">
        <v>1996</v>
      </c>
      <c r="AZ375">
        <v>832</v>
      </c>
      <c r="BA375" t="s">
        <v>1194</v>
      </c>
      <c r="BB375" t="s">
        <v>1194</v>
      </c>
      <c r="BC375" s="3">
        <v>4248.7705999999998</v>
      </c>
      <c r="BD375" s="3">
        <v>1099.82</v>
      </c>
      <c r="BE375" s="3">
        <v>0</v>
      </c>
      <c r="BF375" s="3">
        <v>0</v>
      </c>
      <c r="BG375" s="3">
        <v>150</v>
      </c>
      <c r="BH375" s="3">
        <v>0</v>
      </c>
      <c r="BI375" s="3">
        <v>2901</v>
      </c>
      <c r="BJ375" s="3">
        <v>8400</v>
      </c>
      <c r="BK375" s="3">
        <v>0</v>
      </c>
      <c r="BL375" s="3">
        <v>8400</v>
      </c>
      <c r="BM375" s="2">
        <f t="shared" ca="1" si="11"/>
        <v>5</v>
      </c>
      <c r="BN375" s="3" t="s">
        <v>2916</v>
      </c>
      <c r="BO375" s="3">
        <v>500000</v>
      </c>
      <c r="BP375" s="3">
        <v>100000</v>
      </c>
      <c r="BQ375" s="3">
        <v>250000</v>
      </c>
      <c r="BR375" s="3" t="s">
        <v>2916</v>
      </c>
      <c r="BS375">
        <v>500000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 t="s">
        <v>2942</v>
      </c>
      <c r="CA375" t="s">
        <v>2006</v>
      </c>
      <c r="CB375" t="s">
        <v>2946</v>
      </c>
    </row>
    <row r="376" spans="1:80" x14ac:dyDescent="0.25">
      <c r="A376">
        <v>375</v>
      </c>
      <c r="B376" t="s">
        <v>2391</v>
      </c>
      <c r="C376" s="1">
        <v>44715</v>
      </c>
      <c r="D376" s="2">
        <v>18</v>
      </c>
      <c r="E376" t="s">
        <v>4</v>
      </c>
      <c r="F376" t="s">
        <v>1311</v>
      </c>
      <c r="G376">
        <v>0</v>
      </c>
      <c r="H376" s="3">
        <v>3400000</v>
      </c>
      <c r="I376" s="3">
        <v>0</v>
      </c>
      <c r="J376" s="3">
        <v>0</v>
      </c>
      <c r="K376" s="3">
        <v>0</v>
      </c>
      <c r="L376" s="3" t="s">
        <v>1191</v>
      </c>
      <c r="M376">
        <v>1880435</v>
      </c>
      <c r="N376" t="s">
        <v>711</v>
      </c>
      <c r="P376" t="s">
        <v>712</v>
      </c>
      <c r="Q376" t="s">
        <v>17</v>
      </c>
      <c r="R376">
        <v>29451</v>
      </c>
      <c r="S376" t="s">
        <v>31</v>
      </c>
      <c r="T376" t="s">
        <v>978</v>
      </c>
      <c r="U376">
        <v>0</v>
      </c>
      <c r="V376" t="s">
        <v>1142</v>
      </c>
      <c r="W376" t="s">
        <v>1194</v>
      </c>
      <c r="X376" t="s">
        <v>973</v>
      </c>
      <c r="Y376">
        <v>10000</v>
      </c>
      <c r="Z376" s="2">
        <v>5</v>
      </c>
      <c r="AA376" s="2" t="s">
        <v>1238</v>
      </c>
      <c r="AB376" t="s">
        <v>1238</v>
      </c>
      <c r="AC376">
        <v>760</v>
      </c>
      <c r="AD376" t="s">
        <v>1279</v>
      </c>
      <c r="AE376">
        <v>1</v>
      </c>
      <c r="AF376" t="s">
        <v>1291</v>
      </c>
      <c r="AG376">
        <v>0</v>
      </c>
      <c r="AH376">
        <v>0</v>
      </c>
      <c r="AI376">
        <v>0</v>
      </c>
      <c r="AJ376">
        <v>2022</v>
      </c>
      <c r="AK376" t="s">
        <v>1194</v>
      </c>
      <c r="AL376" t="s">
        <v>1194</v>
      </c>
      <c r="AM376" s="4" t="s">
        <v>1238</v>
      </c>
      <c r="AN376">
        <v>1</v>
      </c>
      <c r="AO376" t="s">
        <v>1316</v>
      </c>
      <c r="AP376">
        <f t="shared" si="10"/>
        <v>0</v>
      </c>
      <c r="AQ376">
        <v>1</v>
      </c>
      <c r="AR376" t="s">
        <v>1992</v>
      </c>
      <c r="AS376" t="s">
        <v>1995</v>
      </c>
      <c r="AT376" t="s">
        <v>1995</v>
      </c>
      <c r="AU376" t="s">
        <v>1995</v>
      </c>
      <c r="AV376" t="s">
        <v>1996</v>
      </c>
      <c r="AW376" t="s">
        <v>1996</v>
      </c>
      <c r="AX376" t="s">
        <v>2007</v>
      </c>
      <c r="AY376" t="s">
        <v>1995</v>
      </c>
      <c r="AZ376">
        <v>4400</v>
      </c>
      <c r="BA376" t="s">
        <v>1194</v>
      </c>
      <c r="BB376" t="s">
        <v>1194</v>
      </c>
      <c r="BC376" s="3">
        <v>4408.5326999999997</v>
      </c>
      <c r="BD376" s="3">
        <v>11492.16</v>
      </c>
      <c r="BE376" s="3">
        <v>0</v>
      </c>
      <c r="BF376" s="3">
        <v>0</v>
      </c>
      <c r="BG376" s="3">
        <v>150</v>
      </c>
      <c r="BH376" s="3">
        <v>0</v>
      </c>
      <c r="BI376" s="3">
        <v>7469</v>
      </c>
      <c r="BJ376" s="3">
        <v>23520</v>
      </c>
      <c r="BK376" s="3">
        <v>400</v>
      </c>
      <c r="BL376" s="3">
        <v>23920</v>
      </c>
      <c r="BM376" s="2">
        <f t="shared" ca="1" si="11"/>
        <v>4</v>
      </c>
      <c r="BN376" s="3">
        <v>250000</v>
      </c>
      <c r="BO376" s="3">
        <v>50000</v>
      </c>
      <c r="BP376" s="3">
        <v>100000</v>
      </c>
      <c r="BQ376" s="3">
        <v>1000000</v>
      </c>
      <c r="BR376" s="3">
        <v>2000000</v>
      </c>
      <c r="BS376">
        <v>500000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 t="s">
        <v>2943</v>
      </c>
      <c r="CA376" t="s">
        <v>2944</v>
      </c>
      <c r="CB376" t="s">
        <v>2006</v>
      </c>
    </row>
    <row r="377" spans="1:80" x14ac:dyDescent="0.25">
      <c r="A377">
        <v>376</v>
      </c>
      <c r="B377" t="s">
        <v>2392</v>
      </c>
      <c r="C377" s="1">
        <v>44666</v>
      </c>
      <c r="D377" s="2">
        <v>12</v>
      </c>
      <c r="E377" t="s">
        <v>4</v>
      </c>
      <c r="F377" t="s">
        <v>1311</v>
      </c>
      <c r="G377">
        <v>1</v>
      </c>
      <c r="H377" s="3">
        <v>6400000</v>
      </c>
      <c r="I377" s="3">
        <v>428858</v>
      </c>
      <c r="J377" s="3">
        <v>0</v>
      </c>
      <c r="K377" s="3">
        <v>0</v>
      </c>
      <c r="L377" s="3" t="s">
        <v>1191</v>
      </c>
      <c r="M377">
        <v>1655328</v>
      </c>
      <c r="N377" t="s">
        <v>713</v>
      </c>
      <c r="P377" t="s">
        <v>278</v>
      </c>
      <c r="Q377" t="s">
        <v>15</v>
      </c>
      <c r="R377">
        <v>33301</v>
      </c>
      <c r="S377" t="s">
        <v>68</v>
      </c>
      <c r="T377" t="s">
        <v>966</v>
      </c>
      <c r="U377">
        <v>0</v>
      </c>
      <c r="V377" t="s">
        <v>1143</v>
      </c>
      <c r="W377" t="s">
        <v>1194</v>
      </c>
      <c r="X377" t="s">
        <v>973</v>
      </c>
      <c r="Y377">
        <v>100000</v>
      </c>
      <c r="Z377" s="2">
        <v>15</v>
      </c>
      <c r="AA377" s="2" t="s">
        <v>1238</v>
      </c>
      <c r="AB377" t="s">
        <v>1238</v>
      </c>
      <c r="AC377">
        <v>785</v>
      </c>
      <c r="AD377" t="s">
        <v>1280</v>
      </c>
      <c r="AE377">
        <v>1</v>
      </c>
      <c r="AF377" t="s">
        <v>1291</v>
      </c>
      <c r="AG377">
        <v>0</v>
      </c>
      <c r="AH377">
        <v>0</v>
      </c>
      <c r="AI377">
        <v>0</v>
      </c>
      <c r="AJ377">
        <v>2001</v>
      </c>
      <c r="AK377" t="s">
        <v>1194</v>
      </c>
      <c r="AL377">
        <v>2021</v>
      </c>
      <c r="AM377" s="4" t="s">
        <v>1238</v>
      </c>
      <c r="AN377">
        <v>0</v>
      </c>
      <c r="AO377" t="s">
        <v>1315</v>
      </c>
      <c r="AP377">
        <f t="shared" si="10"/>
        <v>0</v>
      </c>
      <c r="AQ377">
        <v>1</v>
      </c>
      <c r="AR377" t="s">
        <v>1992</v>
      </c>
      <c r="AS377" t="s">
        <v>1995</v>
      </c>
      <c r="AT377" t="s">
        <v>1996</v>
      </c>
      <c r="AU377" t="s">
        <v>1995</v>
      </c>
      <c r="AV377" t="s">
        <v>1995</v>
      </c>
      <c r="AW377" t="s">
        <v>1995</v>
      </c>
      <c r="AX377" t="s">
        <v>2007</v>
      </c>
      <c r="AY377" t="s">
        <v>1995</v>
      </c>
      <c r="AZ377">
        <v>7388</v>
      </c>
      <c r="BA377" t="s">
        <v>1194</v>
      </c>
      <c r="BB377" t="s">
        <v>1194</v>
      </c>
      <c r="BC377" s="3">
        <v>11190.019399999999</v>
      </c>
      <c r="BD377" s="3">
        <v>19280.12</v>
      </c>
      <c r="BE377" s="3">
        <v>0</v>
      </c>
      <c r="BF377" s="3">
        <v>0</v>
      </c>
      <c r="BG377" s="3">
        <v>300</v>
      </c>
      <c r="BH377" s="3">
        <v>0</v>
      </c>
      <c r="BI377" s="3">
        <v>46487</v>
      </c>
      <c r="BJ377" s="3">
        <v>77257</v>
      </c>
      <c r="BK377" s="3">
        <v>3308.04</v>
      </c>
      <c r="BL377" s="3">
        <v>80565.039999999994</v>
      </c>
      <c r="BM377" s="2">
        <f t="shared" ca="1" si="11"/>
        <v>2</v>
      </c>
      <c r="BN377" s="3">
        <v>250000</v>
      </c>
      <c r="BO377" s="3">
        <v>500000</v>
      </c>
      <c r="BP377" s="3" t="s">
        <v>2922</v>
      </c>
      <c r="BQ377" s="3">
        <v>1000000</v>
      </c>
      <c r="BR377" s="3">
        <v>1000000</v>
      </c>
      <c r="BS377">
        <v>50000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 t="s">
        <v>2940</v>
      </c>
      <c r="CA377" t="s">
        <v>2939</v>
      </c>
      <c r="CB377" t="s">
        <v>2941</v>
      </c>
    </row>
    <row r="378" spans="1:80" x14ac:dyDescent="0.25">
      <c r="A378">
        <v>377</v>
      </c>
      <c r="B378" t="s">
        <v>2393</v>
      </c>
      <c r="C378" s="1">
        <v>44831</v>
      </c>
      <c r="D378" s="2">
        <v>27</v>
      </c>
      <c r="E378" t="s">
        <v>4</v>
      </c>
      <c r="F378" t="s">
        <v>1311</v>
      </c>
      <c r="G378">
        <v>1</v>
      </c>
      <c r="H378" s="3">
        <v>2370000</v>
      </c>
      <c r="I378" s="3">
        <v>125000</v>
      </c>
      <c r="J378" s="3">
        <v>0</v>
      </c>
      <c r="K378" s="3">
        <v>0</v>
      </c>
      <c r="L378" s="3" t="s">
        <v>1191</v>
      </c>
      <c r="M378">
        <v>1658148</v>
      </c>
      <c r="N378" t="s">
        <v>714</v>
      </c>
      <c r="P378" t="s">
        <v>193</v>
      </c>
      <c r="Q378" t="s">
        <v>14</v>
      </c>
      <c r="R378">
        <v>11968</v>
      </c>
      <c r="S378" t="s">
        <v>26</v>
      </c>
      <c r="T378" t="s">
        <v>963</v>
      </c>
      <c r="U378">
        <v>0</v>
      </c>
      <c r="V378" t="s">
        <v>1015</v>
      </c>
      <c r="W378" t="s">
        <v>1194</v>
      </c>
      <c r="X378" t="s">
        <v>973</v>
      </c>
      <c r="Y378">
        <v>10000</v>
      </c>
      <c r="Z378" s="2">
        <v>1</v>
      </c>
      <c r="AA378" s="2" t="s">
        <v>1238</v>
      </c>
      <c r="AB378" t="s">
        <v>1238</v>
      </c>
      <c r="AC378">
        <v>724</v>
      </c>
      <c r="AD378" t="s">
        <v>1279</v>
      </c>
      <c r="AE378">
        <v>3</v>
      </c>
      <c r="AF378" t="s">
        <v>1290</v>
      </c>
      <c r="AG378">
        <v>0</v>
      </c>
      <c r="AH378">
        <v>0</v>
      </c>
      <c r="AI378">
        <v>0</v>
      </c>
      <c r="AJ378">
        <v>2021</v>
      </c>
      <c r="AK378">
        <v>2021</v>
      </c>
      <c r="AL378" t="s">
        <v>1194</v>
      </c>
      <c r="AM378" s="4" t="s">
        <v>1238</v>
      </c>
      <c r="AN378">
        <v>1</v>
      </c>
      <c r="AO378" t="s">
        <v>1315</v>
      </c>
      <c r="AP378">
        <f t="shared" si="10"/>
        <v>0</v>
      </c>
      <c r="AQ378">
        <v>0</v>
      </c>
      <c r="AR378" t="s">
        <v>1993</v>
      </c>
      <c r="AS378" t="s">
        <v>1995</v>
      </c>
      <c r="AT378" t="s">
        <v>1995</v>
      </c>
      <c r="AU378" t="s">
        <v>1996</v>
      </c>
      <c r="AV378" t="s">
        <v>1996</v>
      </c>
      <c r="AW378" t="s">
        <v>1995</v>
      </c>
      <c r="AX378" t="s">
        <v>2006</v>
      </c>
      <c r="AY378" t="s">
        <v>1996</v>
      </c>
      <c r="AZ378">
        <v>3279</v>
      </c>
      <c r="BA378" t="s">
        <v>1194</v>
      </c>
      <c r="BB378" t="s">
        <v>1194</v>
      </c>
      <c r="BC378" s="3">
        <v>6917.3302999999996</v>
      </c>
      <c r="BD378" s="3">
        <v>9569.65</v>
      </c>
      <c r="BE378" s="3">
        <v>0</v>
      </c>
      <c r="BF378" s="3">
        <v>0</v>
      </c>
      <c r="BG378" s="3">
        <v>150</v>
      </c>
      <c r="BH378" s="3">
        <v>0</v>
      </c>
      <c r="BI378" s="3">
        <v>430</v>
      </c>
      <c r="BJ378" s="3">
        <v>17067</v>
      </c>
      <c r="BK378" s="3">
        <v>0</v>
      </c>
      <c r="BL378" s="3">
        <v>17067</v>
      </c>
      <c r="BM378" s="2">
        <f t="shared" ca="1" si="11"/>
        <v>2</v>
      </c>
      <c r="BN378" s="3">
        <v>50000</v>
      </c>
      <c r="BO378" s="3">
        <v>250000</v>
      </c>
      <c r="BP378" s="3">
        <v>100000</v>
      </c>
      <c r="BQ378" s="3">
        <v>50000</v>
      </c>
      <c r="BR378" s="3">
        <v>100000</v>
      </c>
      <c r="BS378">
        <v>250000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 t="s">
        <v>2942</v>
      </c>
      <c r="CA378" t="s">
        <v>2006</v>
      </c>
      <c r="CB378" t="s">
        <v>2006</v>
      </c>
    </row>
    <row r="379" spans="1:80" x14ac:dyDescent="0.25">
      <c r="A379">
        <v>378</v>
      </c>
      <c r="B379" t="s">
        <v>2394</v>
      </c>
      <c r="C379" s="1">
        <v>44937</v>
      </c>
      <c r="D379" s="2">
        <v>3</v>
      </c>
      <c r="E379" t="s">
        <v>4</v>
      </c>
      <c r="F379" t="s">
        <v>1310</v>
      </c>
      <c r="G379">
        <v>0</v>
      </c>
      <c r="H379" s="3">
        <v>4500000</v>
      </c>
      <c r="I379" s="3">
        <v>1000000</v>
      </c>
      <c r="J379" s="3">
        <v>0</v>
      </c>
      <c r="K379" s="3">
        <v>0</v>
      </c>
      <c r="L379" s="3" t="s">
        <v>1191</v>
      </c>
      <c r="M379">
        <v>561544</v>
      </c>
      <c r="N379" t="s">
        <v>715</v>
      </c>
      <c r="P379" t="s">
        <v>518</v>
      </c>
      <c r="Q379" t="s">
        <v>13</v>
      </c>
      <c r="R379">
        <v>2539</v>
      </c>
      <c r="S379" t="s">
        <v>55</v>
      </c>
      <c r="T379" t="s">
        <v>963</v>
      </c>
      <c r="U379">
        <v>0</v>
      </c>
      <c r="V379" t="s">
        <v>1027</v>
      </c>
      <c r="W379" t="s">
        <v>1194</v>
      </c>
      <c r="X379" t="s">
        <v>973</v>
      </c>
      <c r="Y379">
        <v>25000</v>
      </c>
      <c r="Z379" s="2">
        <v>2</v>
      </c>
      <c r="AA379" s="2" t="s">
        <v>1238</v>
      </c>
      <c r="AB379" t="s">
        <v>1238</v>
      </c>
      <c r="AC379">
        <v>585</v>
      </c>
      <c r="AD379" t="s">
        <v>1279</v>
      </c>
      <c r="AE379">
        <v>9</v>
      </c>
      <c r="AF379" t="s">
        <v>1290</v>
      </c>
      <c r="AG379">
        <v>0</v>
      </c>
      <c r="AH379">
        <v>0</v>
      </c>
      <c r="AI379">
        <v>0</v>
      </c>
      <c r="AJ379">
        <v>2021</v>
      </c>
      <c r="AK379" t="s">
        <v>1194</v>
      </c>
      <c r="AL379" t="s">
        <v>1194</v>
      </c>
      <c r="AM379" s="4" t="s">
        <v>1304</v>
      </c>
      <c r="AN379">
        <v>1</v>
      </c>
      <c r="AO379" t="s">
        <v>1316</v>
      </c>
      <c r="AP379">
        <f t="shared" si="10"/>
        <v>0</v>
      </c>
      <c r="AQ379">
        <v>1</v>
      </c>
      <c r="AR379" t="s">
        <v>1992</v>
      </c>
      <c r="AS379" t="s">
        <v>1996</v>
      </c>
      <c r="AT379" t="s">
        <v>1996</v>
      </c>
      <c r="AU379" t="s">
        <v>1995</v>
      </c>
      <c r="AV379" t="s">
        <v>1995</v>
      </c>
      <c r="AW379" t="s">
        <v>1996</v>
      </c>
      <c r="AX379" t="s">
        <v>2006</v>
      </c>
      <c r="AY379" t="s">
        <v>1996</v>
      </c>
      <c r="AZ379">
        <v>7488</v>
      </c>
      <c r="BA379" t="s">
        <v>1194</v>
      </c>
      <c r="BB379" t="s">
        <v>1194</v>
      </c>
      <c r="BC379" s="3">
        <v>13431.3879</v>
      </c>
      <c r="BD379" s="3">
        <v>8028.91</v>
      </c>
      <c r="BE379" s="3">
        <v>0</v>
      </c>
      <c r="BF379" s="3">
        <v>0</v>
      </c>
      <c r="BG379" s="3">
        <v>150</v>
      </c>
      <c r="BH379" s="3">
        <v>0</v>
      </c>
      <c r="BI379" s="3">
        <v>26515</v>
      </c>
      <c r="BJ379" s="3">
        <v>48125</v>
      </c>
      <c r="BK379" s="3">
        <v>0</v>
      </c>
      <c r="BL379" s="3">
        <v>48125</v>
      </c>
      <c r="BM379" s="2">
        <f t="shared" ca="1" si="11"/>
        <v>3</v>
      </c>
      <c r="BN379" s="3" t="s">
        <v>2916</v>
      </c>
      <c r="BO379" s="3">
        <v>25000</v>
      </c>
      <c r="BP379" s="3" t="s">
        <v>2922</v>
      </c>
      <c r="BQ379" s="3">
        <v>500000</v>
      </c>
      <c r="BR379" s="3" t="s">
        <v>2916</v>
      </c>
      <c r="BS379">
        <v>50000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 t="s">
        <v>2942</v>
      </c>
      <c r="CA379" t="s">
        <v>2006</v>
      </c>
      <c r="CB379" t="s">
        <v>2006</v>
      </c>
    </row>
    <row r="380" spans="1:80" x14ac:dyDescent="0.25">
      <c r="A380">
        <v>379</v>
      </c>
      <c r="B380" t="s">
        <v>2395</v>
      </c>
      <c r="C380" s="1">
        <v>44676</v>
      </c>
      <c r="D380" s="2">
        <v>12</v>
      </c>
      <c r="E380" t="s">
        <v>4</v>
      </c>
      <c r="F380" t="s">
        <v>1311</v>
      </c>
      <c r="G380">
        <v>0</v>
      </c>
      <c r="H380" s="3">
        <v>2115000</v>
      </c>
      <c r="I380" s="3">
        <v>150000</v>
      </c>
      <c r="J380" s="3">
        <v>742835</v>
      </c>
      <c r="K380" s="3">
        <v>0</v>
      </c>
      <c r="L380" s="3" t="s">
        <v>1191</v>
      </c>
      <c r="M380">
        <v>1658602</v>
      </c>
      <c r="N380" t="s">
        <v>716</v>
      </c>
      <c r="P380" t="s">
        <v>717</v>
      </c>
      <c r="Q380" t="s">
        <v>14</v>
      </c>
      <c r="R380">
        <v>12581</v>
      </c>
      <c r="S380" t="s">
        <v>47</v>
      </c>
      <c r="T380" t="s">
        <v>973</v>
      </c>
      <c r="U380">
        <v>0</v>
      </c>
      <c r="V380" t="s">
        <v>1010</v>
      </c>
      <c r="W380" t="s">
        <v>1194</v>
      </c>
      <c r="X380" t="s">
        <v>973</v>
      </c>
      <c r="Y380">
        <v>10000</v>
      </c>
      <c r="Z380" s="2" t="s">
        <v>1194</v>
      </c>
      <c r="AA380" s="2" t="s">
        <v>1238</v>
      </c>
      <c r="AB380" t="s">
        <v>1238</v>
      </c>
      <c r="AC380">
        <v>833</v>
      </c>
      <c r="AD380" t="s">
        <v>1279</v>
      </c>
      <c r="AE380">
        <v>9</v>
      </c>
      <c r="AF380" t="s">
        <v>1290</v>
      </c>
      <c r="AG380">
        <v>0</v>
      </c>
      <c r="AH380">
        <v>0</v>
      </c>
      <c r="AI380">
        <v>0</v>
      </c>
      <c r="AJ380">
        <v>1984</v>
      </c>
      <c r="AK380" t="s">
        <v>1194</v>
      </c>
      <c r="AL380" t="s">
        <v>1194</v>
      </c>
      <c r="AM380" s="4" t="s">
        <v>1238</v>
      </c>
      <c r="AN380">
        <v>0</v>
      </c>
      <c r="AO380" t="s">
        <v>1317</v>
      </c>
      <c r="AP380">
        <f t="shared" si="10"/>
        <v>0</v>
      </c>
      <c r="AQ380">
        <v>1</v>
      </c>
      <c r="AR380" t="s">
        <v>1992</v>
      </c>
      <c r="AS380" t="s">
        <v>1996</v>
      </c>
      <c r="AT380" t="s">
        <v>1995</v>
      </c>
      <c r="AU380" t="s">
        <v>1996</v>
      </c>
      <c r="AV380" t="s">
        <v>1995</v>
      </c>
      <c r="AW380" t="s">
        <v>1995</v>
      </c>
      <c r="AX380" t="s">
        <v>2006</v>
      </c>
      <c r="AY380" t="s">
        <v>1996</v>
      </c>
      <c r="AZ380">
        <v>3530</v>
      </c>
      <c r="BA380" t="s">
        <v>1194</v>
      </c>
      <c r="BB380" t="s">
        <v>1194</v>
      </c>
      <c r="BC380" s="3">
        <v>8701.7225999999991</v>
      </c>
      <c r="BD380" s="3">
        <v>1332.78</v>
      </c>
      <c r="BE380" s="3">
        <v>0</v>
      </c>
      <c r="BF380" s="3">
        <v>0</v>
      </c>
      <c r="BG380" s="3">
        <v>150</v>
      </c>
      <c r="BH380" s="3">
        <v>0</v>
      </c>
      <c r="BI380" s="3">
        <v>3351</v>
      </c>
      <c r="BJ380" s="3">
        <v>13536</v>
      </c>
      <c r="BK380" s="3">
        <v>150</v>
      </c>
      <c r="BL380" s="3">
        <v>13686</v>
      </c>
      <c r="BM380" s="2">
        <f t="shared" ca="1" si="11"/>
        <v>2</v>
      </c>
      <c r="BN380" s="3">
        <v>250000</v>
      </c>
      <c r="BO380" s="3">
        <v>100000</v>
      </c>
      <c r="BP380" s="3">
        <v>50000</v>
      </c>
      <c r="BQ380" s="3">
        <v>100000</v>
      </c>
      <c r="BR380" s="3">
        <v>250000</v>
      </c>
      <c r="BS380">
        <v>2000000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 t="s">
        <v>2942</v>
      </c>
      <c r="CA380" t="s">
        <v>2006</v>
      </c>
      <c r="CB380" t="s">
        <v>2006</v>
      </c>
    </row>
    <row r="381" spans="1:80" x14ac:dyDescent="0.25">
      <c r="A381">
        <v>380</v>
      </c>
      <c r="B381" t="s">
        <v>2396</v>
      </c>
      <c r="C381" s="1">
        <v>44761</v>
      </c>
      <c r="D381" s="2">
        <v>21</v>
      </c>
      <c r="E381" t="s">
        <v>4</v>
      </c>
      <c r="F381" t="s">
        <v>1311</v>
      </c>
      <c r="G381">
        <v>1</v>
      </c>
      <c r="H381" s="3">
        <v>15000000</v>
      </c>
      <c r="I381" s="3">
        <v>0</v>
      </c>
      <c r="J381" s="3">
        <v>0</v>
      </c>
      <c r="K381" s="3">
        <v>0</v>
      </c>
      <c r="L381" s="3" t="s">
        <v>1191</v>
      </c>
      <c r="M381">
        <v>1660095</v>
      </c>
      <c r="N381" t="s">
        <v>718</v>
      </c>
      <c r="P381" t="s">
        <v>46</v>
      </c>
      <c r="Q381" t="s">
        <v>19</v>
      </c>
      <c r="R381">
        <v>90024</v>
      </c>
      <c r="S381" t="s">
        <v>46</v>
      </c>
      <c r="T381" t="s">
        <v>965</v>
      </c>
      <c r="U381">
        <v>0</v>
      </c>
      <c r="V381">
        <v>51</v>
      </c>
      <c r="W381" t="s">
        <v>1219</v>
      </c>
      <c r="X381" t="s">
        <v>973</v>
      </c>
      <c r="Y381">
        <v>25000</v>
      </c>
      <c r="Z381" s="2" t="s">
        <v>1194</v>
      </c>
      <c r="AA381" s="2" t="s">
        <v>1238</v>
      </c>
      <c r="AB381" t="s">
        <v>1238</v>
      </c>
      <c r="AC381" t="s">
        <v>1194</v>
      </c>
      <c r="AD381" t="s">
        <v>1279</v>
      </c>
      <c r="AE381">
        <v>1</v>
      </c>
      <c r="AF381" t="s">
        <v>1290</v>
      </c>
      <c r="AG381">
        <v>0</v>
      </c>
      <c r="AH381">
        <v>0</v>
      </c>
      <c r="AI381">
        <v>0</v>
      </c>
      <c r="AJ381">
        <v>2001</v>
      </c>
      <c r="AK381" t="s">
        <v>1194</v>
      </c>
      <c r="AL381" t="s">
        <v>1194</v>
      </c>
      <c r="AM381" s="4" t="s">
        <v>1238</v>
      </c>
      <c r="AN381">
        <v>1</v>
      </c>
      <c r="AO381" t="s">
        <v>1315</v>
      </c>
      <c r="AP381">
        <f t="shared" si="10"/>
        <v>0</v>
      </c>
      <c r="AQ381">
        <v>1</v>
      </c>
      <c r="AR381" t="s">
        <v>1992</v>
      </c>
      <c r="AS381" t="s">
        <v>1996</v>
      </c>
      <c r="AT381" t="s">
        <v>1995</v>
      </c>
      <c r="AU381" t="s">
        <v>1996</v>
      </c>
      <c r="AV381" t="s">
        <v>1996</v>
      </c>
      <c r="AW381" t="s">
        <v>1996</v>
      </c>
      <c r="AX381" t="s">
        <v>1194</v>
      </c>
      <c r="AY381" t="s">
        <v>1996</v>
      </c>
      <c r="AZ381">
        <v>19319</v>
      </c>
      <c r="BA381">
        <v>3</v>
      </c>
      <c r="BB381" t="s">
        <v>2017</v>
      </c>
      <c r="BC381" s="3">
        <v>0</v>
      </c>
      <c r="BD381" s="3">
        <v>0</v>
      </c>
      <c r="BE381" s="3">
        <v>284817.99</v>
      </c>
      <c r="BF381" s="3">
        <v>40013.86</v>
      </c>
      <c r="BG381" s="3">
        <v>150</v>
      </c>
      <c r="BH381" s="3">
        <v>0</v>
      </c>
      <c r="BI381" s="3">
        <v>-4200</v>
      </c>
      <c r="BJ381" s="3">
        <v>320781.84999999998</v>
      </c>
      <c r="BK381" s="3">
        <v>0</v>
      </c>
      <c r="BL381" s="3">
        <v>320781.84999999998</v>
      </c>
      <c r="BM381" s="2">
        <f t="shared" ca="1" si="11"/>
        <v>1</v>
      </c>
      <c r="BN381" s="3">
        <v>250000</v>
      </c>
      <c r="BO381" s="3">
        <v>50000</v>
      </c>
      <c r="BP381" s="3">
        <v>100000</v>
      </c>
      <c r="BQ381" s="3">
        <v>1000000</v>
      </c>
      <c r="BR381" s="3">
        <v>250000</v>
      </c>
      <c r="BS381">
        <v>250000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 t="s">
        <v>2948</v>
      </c>
      <c r="CA381" t="s">
        <v>1194</v>
      </c>
      <c r="CB381" t="s">
        <v>2941</v>
      </c>
    </row>
    <row r="382" spans="1:80" x14ac:dyDescent="0.25">
      <c r="A382">
        <v>381</v>
      </c>
      <c r="B382" t="s">
        <v>2397</v>
      </c>
      <c r="C382" s="1">
        <v>44822</v>
      </c>
      <c r="D382" s="2">
        <v>27</v>
      </c>
      <c r="E382" t="s">
        <v>4</v>
      </c>
      <c r="F382" t="s">
        <v>1311</v>
      </c>
      <c r="G382">
        <v>1</v>
      </c>
      <c r="H382" s="3">
        <v>8286775</v>
      </c>
      <c r="I382" s="3">
        <v>1000000</v>
      </c>
      <c r="J382" s="3">
        <v>0</v>
      </c>
      <c r="K382" s="3">
        <v>0</v>
      </c>
      <c r="L382" s="3" t="s">
        <v>1191</v>
      </c>
      <c r="M382">
        <v>1836128</v>
      </c>
      <c r="N382" t="s">
        <v>719</v>
      </c>
      <c r="P382" t="s">
        <v>62</v>
      </c>
      <c r="Q382" t="s">
        <v>19</v>
      </c>
      <c r="R382">
        <v>94118</v>
      </c>
      <c r="S382" t="s">
        <v>62</v>
      </c>
      <c r="T382" t="s">
        <v>975</v>
      </c>
      <c r="U382">
        <v>0</v>
      </c>
      <c r="V382">
        <v>33</v>
      </c>
      <c r="W382" t="s">
        <v>1198</v>
      </c>
      <c r="X382" t="s">
        <v>973</v>
      </c>
      <c r="Y382">
        <v>100000</v>
      </c>
      <c r="Z382" s="2" t="s">
        <v>1194</v>
      </c>
      <c r="AA382" s="2" t="s">
        <v>1238</v>
      </c>
      <c r="AB382" t="s">
        <v>1238</v>
      </c>
      <c r="AC382" t="s">
        <v>1194</v>
      </c>
      <c r="AD382" t="s">
        <v>1279</v>
      </c>
      <c r="AE382">
        <v>1</v>
      </c>
      <c r="AF382" t="s">
        <v>1290</v>
      </c>
      <c r="AG382">
        <v>0</v>
      </c>
      <c r="AH382">
        <v>0</v>
      </c>
      <c r="AI382">
        <v>0</v>
      </c>
      <c r="AJ382">
        <v>1907</v>
      </c>
      <c r="AK382">
        <v>2002</v>
      </c>
      <c r="AL382">
        <v>2002</v>
      </c>
      <c r="AM382" s="4" t="s">
        <v>1238</v>
      </c>
      <c r="AN382">
        <v>1</v>
      </c>
      <c r="AO382" t="s">
        <v>1317</v>
      </c>
      <c r="AP382">
        <f t="shared" si="10"/>
        <v>0</v>
      </c>
      <c r="AQ382">
        <v>0</v>
      </c>
      <c r="AR382" t="s">
        <v>1993</v>
      </c>
      <c r="AS382" t="s">
        <v>1995</v>
      </c>
      <c r="AT382" t="s">
        <v>1995</v>
      </c>
      <c r="AU382" t="s">
        <v>1996</v>
      </c>
      <c r="AV382" t="s">
        <v>1995</v>
      </c>
      <c r="AW382" t="s">
        <v>1995</v>
      </c>
      <c r="AX382" t="s">
        <v>1194</v>
      </c>
      <c r="AY382" t="s">
        <v>1996</v>
      </c>
      <c r="AZ382">
        <v>7040</v>
      </c>
      <c r="BA382" t="s">
        <v>1194</v>
      </c>
      <c r="BB382" t="s">
        <v>2014</v>
      </c>
      <c r="BC382" s="3">
        <v>0</v>
      </c>
      <c r="BD382" s="3">
        <v>0</v>
      </c>
      <c r="BE382" s="3">
        <v>11219.04</v>
      </c>
      <c r="BF382" s="3">
        <v>10390.379999999999</v>
      </c>
      <c r="BG382" s="3">
        <v>150</v>
      </c>
      <c r="BH382" s="3">
        <v>0</v>
      </c>
      <c r="BI382" s="3">
        <v>39138</v>
      </c>
      <c r="BJ382" s="3">
        <v>60897.42</v>
      </c>
      <c r="BK382" s="3">
        <v>20441.59</v>
      </c>
      <c r="BL382" s="3">
        <v>81339.009999999995</v>
      </c>
      <c r="BM382" s="2">
        <f t="shared" ca="1" si="11"/>
        <v>1</v>
      </c>
      <c r="BN382" s="3">
        <v>100000</v>
      </c>
      <c r="BO382" s="3">
        <v>1000000</v>
      </c>
      <c r="BP382" s="3">
        <v>200000</v>
      </c>
      <c r="BQ382" s="3">
        <v>50000</v>
      </c>
      <c r="BR382" s="3">
        <v>100000</v>
      </c>
      <c r="BS382">
        <v>50000</v>
      </c>
      <c r="BT382">
        <v>0</v>
      </c>
      <c r="BU382">
        <v>1</v>
      </c>
      <c r="BV382">
        <v>0</v>
      </c>
      <c r="BW382">
        <v>0</v>
      </c>
      <c r="BX382">
        <v>1</v>
      </c>
      <c r="BY382">
        <v>0</v>
      </c>
      <c r="BZ382" t="s">
        <v>2950</v>
      </c>
      <c r="CA382" t="s">
        <v>1194</v>
      </c>
      <c r="CB382" t="s">
        <v>2941</v>
      </c>
    </row>
    <row r="383" spans="1:80" x14ac:dyDescent="0.25">
      <c r="A383">
        <v>382</v>
      </c>
      <c r="B383" t="s">
        <v>2398</v>
      </c>
      <c r="C383" s="1">
        <v>44684</v>
      </c>
      <c r="D383" s="2">
        <v>15</v>
      </c>
      <c r="E383" t="s">
        <v>4</v>
      </c>
      <c r="F383" t="s">
        <v>1311</v>
      </c>
      <c r="G383">
        <v>1</v>
      </c>
      <c r="H383" s="3">
        <v>3000000</v>
      </c>
      <c r="I383" s="3">
        <v>600000</v>
      </c>
      <c r="J383" s="3">
        <v>0</v>
      </c>
      <c r="K383" s="3">
        <v>0</v>
      </c>
      <c r="L383" s="3" t="s">
        <v>1191</v>
      </c>
      <c r="M383">
        <v>1891583</v>
      </c>
      <c r="N383" t="s">
        <v>720</v>
      </c>
      <c r="P383" t="s">
        <v>721</v>
      </c>
      <c r="Q383" t="s">
        <v>16</v>
      </c>
      <c r="R383">
        <v>7976</v>
      </c>
      <c r="S383" t="s">
        <v>98</v>
      </c>
      <c r="T383" t="s">
        <v>973</v>
      </c>
      <c r="U383">
        <v>0</v>
      </c>
      <c r="V383" t="s">
        <v>1144</v>
      </c>
      <c r="W383" t="s">
        <v>1194</v>
      </c>
      <c r="X383" t="s">
        <v>973</v>
      </c>
      <c r="Y383">
        <v>10000</v>
      </c>
      <c r="Z383" s="2" t="s">
        <v>1194</v>
      </c>
      <c r="AA383" s="2" t="s">
        <v>1238</v>
      </c>
      <c r="AB383" t="s">
        <v>1238</v>
      </c>
      <c r="AC383">
        <v>695</v>
      </c>
      <c r="AD383" t="s">
        <v>1280</v>
      </c>
      <c r="AE383">
        <v>9</v>
      </c>
      <c r="AF383" t="s">
        <v>1291</v>
      </c>
      <c r="AG383">
        <v>0</v>
      </c>
      <c r="AH383">
        <v>0</v>
      </c>
      <c r="AI383">
        <v>0</v>
      </c>
      <c r="AJ383">
        <v>2022</v>
      </c>
      <c r="AK383" t="s">
        <v>1194</v>
      </c>
      <c r="AL383" t="s">
        <v>1194</v>
      </c>
      <c r="AM383" s="4" t="s">
        <v>1238</v>
      </c>
      <c r="AN383">
        <v>0</v>
      </c>
      <c r="AO383" t="s">
        <v>1317</v>
      </c>
      <c r="AP383">
        <f t="shared" si="10"/>
        <v>0</v>
      </c>
      <c r="AQ383">
        <v>0</v>
      </c>
      <c r="AR383" t="s">
        <v>1993</v>
      </c>
      <c r="AS383" t="s">
        <v>1995</v>
      </c>
      <c r="AT383" t="s">
        <v>1996</v>
      </c>
      <c r="AU383" t="s">
        <v>1996</v>
      </c>
      <c r="AV383" t="s">
        <v>1996</v>
      </c>
      <c r="AW383" t="s">
        <v>1995</v>
      </c>
      <c r="AX383" t="s">
        <v>2006</v>
      </c>
      <c r="AY383" t="s">
        <v>1996</v>
      </c>
      <c r="AZ383">
        <v>6000</v>
      </c>
      <c r="BA383" t="s">
        <v>1194</v>
      </c>
      <c r="BB383" t="s">
        <v>1194</v>
      </c>
      <c r="BC383" s="3">
        <v>8539.9040000000005</v>
      </c>
      <c r="BD383" s="3">
        <v>370.44</v>
      </c>
      <c r="BE383" s="3">
        <v>0</v>
      </c>
      <c r="BF383" s="3">
        <v>0</v>
      </c>
      <c r="BG383" s="3">
        <v>150</v>
      </c>
      <c r="BH383" s="3">
        <v>0</v>
      </c>
      <c r="BI383" s="3">
        <v>7140</v>
      </c>
      <c r="BJ383" s="3">
        <v>16200</v>
      </c>
      <c r="BK383" s="3">
        <v>400</v>
      </c>
      <c r="BL383" s="3">
        <v>16600</v>
      </c>
      <c r="BM383" s="2">
        <f t="shared" ca="1" si="11"/>
        <v>5</v>
      </c>
      <c r="BN383" s="3" t="s">
        <v>2916</v>
      </c>
      <c r="BO383" s="3">
        <v>1000000</v>
      </c>
      <c r="BP383" s="3">
        <v>50000</v>
      </c>
      <c r="BQ383" s="3">
        <v>250000</v>
      </c>
      <c r="BR383" s="3">
        <v>250000</v>
      </c>
      <c r="BS383">
        <v>100000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 t="s">
        <v>2942</v>
      </c>
      <c r="CA383" t="s">
        <v>2006</v>
      </c>
      <c r="CB383" t="s">
        <v>2006</v>
      </c>
    </row>
    <row r="384" spans="1:80" x14ac:dyDescent="0.25">
      <c r="A384">
        <v>383</v>
      </c>
      <c r="B384" t="s">
        <v>2399</v>
      </c>
      <c r="C384" s="1">
        <v>44861</v>
      </c>
      <c r="D384" s="2">
        <v>30</v>
      </c>
      <c r="E384" t="s">
        <v>4</v>
      </c>
      <c r="F384" t="s">
        <v>1311</v>
      </c>
      <c r="G384">
        <v>1</v>
      </c>
      <c r="H384" s="3">
        <v>0</v>
      </c>
      <c r="I384" s="3">
        <v>0</v>
      </c>
      <c r="J384" s="3">
        <v>4500000</v>
      </c>
      <c r="K384" s="3">
        <v>0</v>
      </c>
      <c r="L384" s="3" t="s">
        <v>1192</v>
      </c>
      <c r="M384">
        <v>1968726</v>
      </c>
      <c r="N384" t="s">
        <v>722</v>
      </c>
      <c r="P384" t="s">
        <v>723</v>
      </c>
      <c r="Q384" t="s">
        <v>19</v>
      </c>
      <c r="R384">
        <v>90210</v>
      </c>
      <c r="S384" t="s">
        <v>46</v>
      </c>
      <c r="T384" t="s">
        <v>965</v>
      </c>
      <c r="U384">
        <v>0</v>
      </c>
      <c r="V384">
        <v>9</v>
      </c>
      <c r="W384" t="s">
        <v>1200</v>
      </c>
      <c r="X384" t="s">
        <v>973</v>
      </c>
      <c r="Y384">
        <v>25000</v>
      </c>
      <c r="Z384" s="2" t="s">
        <v>1194</v>
      </c>
      <c r="AA384" s="2" t="s">
        <v>1238</v>
      </c>
      <c r="AB384" t="s">
        <v>1238</v>
      </c>
      <c r="AC384" t="s">
        <v>1194</v>
      </c>
      <c r="AD384" t="s">
        <v>1279</v>
      </c>
      <c r="AE384">
        <v>1</v>
      </c>
      <c r="AF384" t="s">
        <v>1290</v>
      </c>
      <c r="AG384">
        <v>0</v>
      </c>
      <c r="AH384">
        <v>0</v>
      </c>
      <c r="AI384">
        <v>0</v>
      </c>
      <c r="AJ384">
        <v>1993</v>
      </c>
      <c r="AK384" t="s">
        <v>1194</v>
      </c>
      <c r="AL384" t="s">
        <v>1194</v>
      </c>
      <c r="AM384" s="4" t="s">
        <v>1238</v>
      </c>
      <c r="AN384">
        <v>1</v>
      </c>
      <c r="AO384" t="s">
        <v>1317</v>
      </c>
      <c r="AP384">
        <f t="shared" si="10"/>
        <v>0</v>
      </c>
      <c r="AQ384">
        <v>1</v>
      </c>
      <c r="AR384" t="s">
        <v>1992</v>
      </c>
      <c r="AS384" t="s">
        <v>1995</v>
      </c>
      <c r="AT384" t="s">
        <v>1995</v>
      </c>
      <c r="AU384" t="s">
        <v>1996</v>
      </c>
      <c r="AV384" t="s">
        <v>1996</v>
      </c>
      <c r="AW384" t="s">
        <v>1996</v>
      </c>
      <c r="AX384" t="s">
        <v>1194</v>
      </c>
      <c r="AY384" t="s">
        <v>1996</v>
      </c>
      <c r="AZ384">
        <v>5066</v>
      </c>
      <c r="BA384" t="s">
        <v>1194</v>
      </c>
      <c r="BB384" t="s">
        <v>2014</v>
      </c>
      <c r="BC384" s="3">
        <v>0</v>
      </c>
      <c r="BD384" s="3">
        <v>0</v>
      </c>
      <c r="BE384" s="3">
        <v>9923.66</v>
      </c>
      <c r="BF384" s="3">
        <v>6065.28</v>
      </c>
      <c r="BG384" s="3">
        <v>120</v>
      </c>
      <c r="BH384" s="3">
        <v>0</v>
      </c>
      <c r="BI384" s="3">
        <v>32042</v>
      </c>
      <c r="BJ384" s="3">
        <v>48150.94</v>
      </c>
      <c r="BK384" s="3">
        <v>0</v>
      </c>
      <c r="BL384" s="3">
        <v>48150.94</v>
      </c>
      <c r="BM384" s="2">
        <f t="shared" ca="1" si="11"/>
        <v>1</v>
      </c>
      <c r="BN384" s="3">
        <v>250000</v>
      </c>
      <c r="BO384" s="3">
        <v>500000</v>
      </c>
      <c r="BP384" s="3">
        <v>50000</v>
      </c>
      <c r="BQ384" s="3">
        <v>25000</v>
      </c>
      <c r="BR384" s="3">
        <v>100000</v>
      </c>
      <c r="BS384">
        <v>2000000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 t="s">
        <v>2951</v>
      </c>
      <c r="CA384" t="s">
        <v>1194</v>
      </c>
      <c r="CB384" t="s">
        <v>2952</v>
      </c>
    </row>
    <row r="385" spans="1:80" x14ac:dyDescent="0.25">
      <c r="A385">
        <v>384</v>
      </c>
      <c r="B385" t="s">
        <v>2400</v>
      </c>
      <c r="C385" s="1">
        <v>44761</v>
      </c>
      <c r="D385" s="2">
        <v>21</v>
      </c>
      <c r="E385" t="s">
        <v>4</v>
      </c>
      <c r="F385" t="s">
        <v>1311</v>
      </c>
      <c r="G385">
        <v>0</v>
      </c>
      <c r="H385" s="3">
        <v>4400000</v>
      </c>
      <c r="I385" s="3">
        <v>600000</v>
      </c>
      <c r="J385" s="3">
        <v>0</v>
      </c>
      <c r="K385" s="3">
        <v>0</v>
      </c>
      <c r="L385" s="3" t="s">
        <v>1191</v>
      </c>
      <c r="M385">
        <v>1692154</v>
      </c>
      <c r="N385" t="s">
        <v>724</v>
      </c>
      <c r="P385" t="s">
        <v>267</v>
      </c>
      <c r="Q385" t="s">
        <v>19</v>
      </c>
      <c r="R385">
        <v>94027</v>
      </c>
      <c r="S385" t="s">
        <v>66</v>
      </c>
      <c r="T385" t="s">
        <v>975</v>
      </c>
      <c r="U385">
        <v>0</v>
      </c>
      <c r="V385">
        <v>48</v>
      </c>
      <c r="W385" t="s">
        <v>1201</v>
      </c>
      <c r="X385" t="s">
        <v>973</v>
      </c>
      <c r="Y385">
        <v>10000</v>
      </c>
      <c r="Z385" s="2" t="s">
        <v>1194</v>
      </c>
      <c r="AA385" s="2" t="s">
        <v>1238</v>
      </c>
      <c r="AB385" t="s">
        <v>1238</v>
      </c>
      <c r="AC385" t="s">
        <v>1194</v>
      </c>
      <c r="AD385" t="s">
        <v>1279</v>
      </c>
      <c r="AE385">
        <v>2</v>
      </c>
      <c r="AF385" t="s">
        <v>1290</v>
      </c>
      <c r="AG385">
        <v>0</v>
      </c>
      <c r="AH385">
        <v>0</v>
      </c>
      <c r="AI385">
        <v>0</v>
      </c>
      <c r="AJ385">
        <v>2022</v>
      </c>
      <c r="AK385" t="s">
        <v>1194</v>
      </c>
      <c r="AL385">
        <v>2022</v>
      </c>
      <c r="AM385" s="4" t="s">
        <v>1238</v>
      </c>
      <c r="AN385">
        <v>1</v>
      </c>
      <c r="AO385" t="s">
        <v>1315</v>
      </c>
      <c r="AP385">
        <f t="shared" si="10"/>
        <v>0</v>
      </c>
      <c r="AQ385">
        <v>1</v>
      </c>
      <c r="AR385" t="s">
        <v>1992</v>
      </c>
      <c r="AS385" t="s">
        <v>1995</v>
      </c>
      <c r="AT385" t="s">
        <v>1995</v>
      </c>
      <c r="AU385" t="s">
        <v>1995</v>
      </c>
      <c r="AV385" t="s">
        <v>1996</v>
      </c>
      <c r="AW385" t="s">
        <v>1995</v>
      </c>
      <c r="AX385" t="s">
        <v>1194</v>
      </c>
      <c r="AY385" t="s">
        <v>1996</v>
      </c>
      <c r="AZ385">
        <v>3910</v>
      </c>
      <c r="BA385">
        <v>4</v>
      </c>
      <c r="BB385" t="s">
        <v>2016</v>
      </c>
      <c r="BC385" s="3">
        <v>0</v>
      </c>
      <c r="BD385" s="3">
        <v>0</v>
      </c>
      <c r="BE385" s="3">
        <v>6807.98</v>
      </c>
      <c r="BF385" s="3">
        <v>10290.24</v>
      </c>
      <c r="BG385" s="3">
        <v>150</v>
      </c>
      <c r="BH385" s="3">
        <v>0</v>
      </c>
      <c r="BI385" s="3">
        <v>5252</v>
      </c>
      <c r="BJ385" s="3">
        <v>22500.22</v>
      </c>
      <c r="BK385" s="3">
        <v>0</v>
      </c>
      <c r="BL385" s="3">
        <v>22500.22</v>
      </c>
      <c r="BM385" s="2">
        <f t="shared" ca="1" si="11"/>
        <v>0</v>
      </c>
      <c r="BN385" s="3">
        <v>250000</v>
      </c>
      <c r="BO385" s="3">
        <v>20000</v>
      </c>
      <c r="BP385" s="3">
        <v>50000</v>
      </c>
      <c r="BQ385" s="3">
        <v>500000</v>
      </c>
      <c r="BR385" s="3">
        <v>1000000</v>
      </c>
      <c r="BS385">
        <v>50000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 t="s">
        <v>2956</v>
      </c>
      <c r="CA385" t="s">
        <v>1194</v>
      </c>
      <c r="CB385" t="s">
        <v>2949</v>
      </c>
    </row>
    <row r="386" spans="1:80" x14ac:dyDescent="0.25">
      <c r="A386">
        <v>385</v>
      </c>
      <c r="B386" t="s">
        <v>2401</v>
      </c>
      <c r="C386" s="1">
        <v>44880</v>
      </c>
      <c r="D386" s="2">
        <v>33</v>
      </c>
      <c r="E386" t="s">
        <v>4</v>
      </c>
      <c r="F386" t="s">
        <v>1311</v>
      </c>
      <c r="G386">
        <v>0</v>
      </c>
      <c r="H386" s="3">
        <v>4600000</v>
      </c>
      <c r="I386" s="3">
        <v>0</v>
      </c>
      <c r="J386" s="3">
        <v>0</v>
      </c>
      <c r="K386" s="3">
        <v>0</v>
      </c>
      <c r="L386" s="3" t="s">
        <v>1191</v>
      </c>
      <c r="M386">
        <v>1461027</v>
      </c>
      <c r="N386" t="s">
        <v>725</v>
      </c>
      <c r="P386" t="s">
        <v>111</v>
      </c>
      <c r="Q386" t="s">
        <v>14</v>
      </c>
      <c r="R386">
        <v>11937</v>
      </c>
      <c r="S386" t="s">
        <v>26</v>
      </c>
      <c r="T386" t="s">
        <v>970</v>
      </c>
      <c r="U386">
        <v>1</v>
      </c>
      <c r="V386" t="s">
        <v>1145</v>
      </c>
      <c r="W386" t="s">
        <v>1194</v>
      </c>
      <c r="X386" t="s">
        <v>1309</v>
      </c>
      <c r="Y386">
        <v>100000</v>
      </c>
      <c r="Z386" s="2">
        <v>3</v>
      </c>
      <c r="AA386" s="2" t="s">
        <v>1238</v>
      </c>
      <c r="AB386" t="s">
        <v>1238</v>
      </c>
      <c r="AC386">
        <v>861</v>
      </c>
      <c r="AD386" t="s">
        <v>1279</v>
      </c>
      <c r="AE386">
        <v>3</v>
      </c>
      <c r="AF386" t="s">
        <v>1290</v>
      </c>
      <c r="AG386">
        <v>0</v>
      </c>
      <c r="AH386">
        <v>0</v>
      </c>
      <c r="AI386">
        <v>0</v>
      </c>
      <c r="AJ386">
        <v>1997</v>
      </c>
      <c r="AK386" t="s">
        <v>1194</v>
      </c>
      <c r="AL386" t="s">
        <v>1194</v>
      </c>
      <c r="AM386" s="4" t="s">
        <v>1238</v>
      </c>
      <c r="AN386">
        <v>0</v>
      </c>
      <c r="AO386" t="s">
        <v>1315</v>
      </c>
      <c r="AP386">
        <f t="shared" si="10"/>
        <v>0</v>
      </c>
      <c r="AQ386">
        <v>1</v>
      </c>
      <c r="AR386" t="s">
        <v>1992</v>
      </c>
      <c r="AS386" t="s">
        <v>1995</v>
      </c>
      <c r="AT386" t="s">
        <v>1996</v>
      </c>
      <c r="AU386" t="s">
        <v>1995</v>
      </c>
      <c r="AV386" t="s">
        <v>1996</v>
      </c>
      <c r="AW386" t="s">
        <v>1996</v>
      </c>
      <c r="AX386" t="s">
        <v>2006</v>
      </c>
      <c r="AY386" t="s">
        <v>1996</v>
      </c>
      <c r="AZ386">
        <v>4500</v>
      </c>
      <c r="BA386" t="s">
        <v>1194</v>
      </c>
      <c r="BB386" t="s">
        <v>1194</v>
      </c>
      <c r="BC386" s="3">
        <v>12463.8884</v>
      </c>
      <c r="BD386" s="3">
        <v>25126.75</v>
      </c>
      <c r="BE386" s="3">
        <v>0</v>
      </c>
      <c r="BF386" s="3">
        <v>0</v>
      </c>
      <c r="BG386" s="3">
        <v>0</v>
      </c>
      <c r="BH386" s="3">
        <v>0</v>
      </c>
      <c r="BI386" s="3">
        <v>-7690</v>
      </c>
      <c r="BJ386" s="3">
        <v>29901</v>
      </c>
      <c r="BK386" s="3">
        <v>0</v>
      </c>
      <c r="BL386" s="3">
        <v>29901</v>
      </c>
      <c r="BM386" s="2">
        <f t="shared" ca="1" si="11"/>
        <v>2</v>
      </c>
      <c r="BN386" s="3">
        <v>250000</v>
      </c>
      <c r="BO386" s="3">
        <v>1000000</v>
      </c>
      <c r="BP386" s="3">
        <v>50000</v>
      </c>
      <c r="BQ386" s="3">
        <v>1000000</v>
      </c>
      <c r="BR386" s="3">
        <v>50000</v>
      </c>
      <c r="BS386">
        <v>100000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 t="s">
        <v>2942</v>
      </c>
      <c r="CA386" t="s">
        <v>2006</v>
      </c>
      <c r="CB386" t="s">
        <v>2946</v>
      </c>
    </row>
    <row r="387" spans="1:80" x14ac:dyDescent="0.25">
      <c r="A387">
        <v>386</v>
      </c>
      <c r="B387" t="s">
        <v>2402</v>
      </c>
      <c r="C387" s="1">
        <v>44896</v>
      </c>
      <c r="D387" s="2">
        <v>36</v>
      </c>
      <c r="E387" t="s">
        <v>4</v>
      </c>
      <c r="F387" t="s">
        <v>1311</v>
      </c>
      <c r="G387">
        <v>0</v>
      </c>
      <c r="H387" s="3">
        <v>0</v>
      </c>
      <c r="I387" s="3">
        <v>0</v>
      </c>
      <c r="J387" s="3">
        <v>5000000</v>
      </c>
      <c r="K387" s="3">
        <v>0</v>
      </c>
      <c r="L387" s="3" t="s">
        <v>1192</v>
      </c>
      <c r="M387">
        <v>2025834</v>
      </c>
      <c r="N387" t="s">
        <v>726</v>
      </c>
      <c r="P387" t="s">
        <v>29</v>
      </c>
      <c r="Q387" t="s">
        <v>14</v>
      </c>
      <c r="R387">
        <v>10021</v>
      </c>
      <c r="S387" t="s">
        <v>29</v>
      </c>
      <c r="T387" t="s">
        <v>962</v>
      </c>
      <c r="U387">
        <v>0</v>
      </c>
      <c r="V387" t="s">
        <v>1009</v>
      </c>
      <c r="W387" t="s">
        <v>1194</v>
      </c>
      <c r="X387" t="s">
        <v>973</v>
      </c>
      <c r="Y387">
        <v>100000</v>
      </c>
      <c r="Z387" s="2">
        <v>2</v>
      </c>
      <c r="AA387" s="2" t="s">
        <v>1238</v>
      </c>
      <c r="AB387" t="s">
        <v>1238</v>
      </c>
      <c r="AC387">
        <v>681</v>
      </c>
      <c r="AD387" t="s">
        <v>1281</v>
      </c>
      <c r="AE387">
        <v>1</v>
      </c>
      <c r="AF387" t="s">
        <v>1290</v>
      </c>
      <c r="AG387">
        <v>0</v>
      </c>
      <c r="AH387">
        <v>0</v>
      </c>
      <c r="AI387">
        <v>0</v>
      </c>
      <c r="AJ387">
        <v>1937</v>
      </c>
      <c r="AK387" t="s">
        <v>1194</v>
      </c>
      <c r="AL387" t="s">
        <v>1194</v>
      </c>
      <c r="AM387" s="4" t="s">
        <v>1238</v>
      </c>
      <c r="AN387">
        <v>0</v>
      </c>
      <c r="AO387" t="s">
        <v>1316</v>
      </c>
      <c r="AP387">
        <f t="shared" si="10"/>
        <v>0</v>
      </c>
      <c r="AQ387">
        <v>1</v>
      </c>
      <c r="AR387" t="s">
        <v>1992</v>
      </c>
      <c r="AS387" t="s">
        <v>1996</v>
      </c>
      <c r="AT387" t="s">
        <v>1995</v>
      </c>
      <c r="AU387" t="s">
        <v>1996</v>
      </c>
      <c r="AV387" t="s">
        <v>1995</v>
      </c>
      <c r="AW387" t="s">
        <v>1996</v>
      </c>
      <c r="AX387" t="s">
        <v>2006</v>
      </c>
      <c r="AY387" t="s">
        <v>1996</v>
      </c>
      <c r="AZ387">
        <v>4000</v>
      </c>
      <c r="BA387" t="s">
        <v>1194</v>
      </c>
      <c r="BB387" t="s">
        <v>1194</v>
      </c>
      <c r="BC387" s="3">
        <v>18419.8475</v>
      </c>
      <c r="BD387" s="3">
        <v>3065.78</v>
      </c>
      <c r="BE387" s="3">
        <v>0</v>
      </c>
      <c r="BF387" s="3">
        <v>0</v>
      </c>
      <c r="BG387" s="3">
        <v>0</v>
      </c>
      <c r="BH387" s="3">
        <v>0</v>
      </c>
      <c r="BI387" s="3">
        <v>2975</v>
      </c>
      <c r="BJ387" s="3">
        <v>24461</v>
      </c>
      <c r="BK387" s="3">
        <v>0</v>
      </c>
      <c r="BL387" s="3">
        <v>24461</v>
      </c>
      <c r="BM387" s="2">
        <f t="shared" ca="1" si="11"/>
        <v>0</v>
      </c>
      <c r="BN387" s="3">
        <v>250000</v>
      </c>
      <c r="BO387" s="3">
        <v>500000</v>
      </c>
      <c r="BP387" s="3">
        <v>50000</v>
      </c>
      <c r="BQ387" s="3">
        <v>100000</v>
      </c>
      <c r="BR387" s="3">
        <v>1000000</v>
      </c>
      <c r="BS387">
        <v>50000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 t="s">
        <v>2942</v>
      </c>
      <c r="CA387" t="s">
        <v>2939</v>
      </c>
      <c r="CB387" t="s">
        <v>2946</v>
      </c>
    </row>
    <row r="388" spans="1:80" x14ac:dyDescent="0.25">
      <c r="A388">
        <v>387</v>
      </c>
      <c r="B388" t="s">
        <v>2403</v>
      </c>
      <c r="C388" s="1">
        <v>44799</v>
      </c>
      <c r="D388" s="2">
        <v>24</v>
      </c>
      <c r="E388" t="s">
        <v>4</v>
      </c>
      <c r="F388" t="s">
        <v>1311</v>
      </c>
      <c r="G388">
        <v>1</v>
      </c>
      <c r="H388" s="3">
        <v>7030000</v>
      </c>
      <c r="I388" s="3">
        <v>1200000</v>
      </c>
      <c r="J388" s="3">
        <v>0</v>
      </c>
      <c r="K388" s="3">
        <v>0</v>
      </c>
      <c r="L388" s="3" t="s">
        <v>1191</v>
      </c>
      <c r="M388">
        <v>1229</v>
      </c>
      <c r="N388" t="s">
        <v>727</v>
      </c>
      <c r="P388" t="s">
        <v>27</v>
      </c>
      <c r="Q388" t="s">
        <v>15</v>
      </c>
      <c r="R388">
        <v>33480</v>
      </c>
      <c r="S388" t="s">
        <v>27</v>
      </c>
      <c r="T388" t="s">
        <v>967</v>
      </c>
      <c r="U388">
        <v>0</v>
      </c>
      <c r="V388" t="s">
        <v>989</v>
      </c>
      <c r="W388" t="s">
        <v>1194</v>
      </c>
      <c r="X388" t="s">
        <v>973</v>
      </c>
      <c r="Y388">
        <v>25000</v>
      </c>
      <c r="Z388" s="2">
        <v>25</v>
      </c>
      <c r="AA388" s="2" t="s">
        <v>1238</v>
      </c>
      <c r="AB388" t="s">
        <v>1238</v>
      </c>
      <c r="AC388">
        <v>690</v>
      </c>
      <c r="AD388" t="s">
        <v>1280</v>
      </c>
      <c r="AE388">
        <v>1</v>
      </c>
      <c r="AF388" t="s">
        <v>1290</v>
      </c>
      <c r="AG388">
        <v>0</v>
      </c>
      <c r="AH388">
        <v>0</v>
      </c>
      <c r="AI388">
        <v>0</v>
      </c>
      <c r="AJ388">
        <v>1950</v>
      </c>
      <c r="AK388" t="s">
        <v>1194</v>
      </c>
      <c r="AL388">
        <v>2004</v>
      </c>
      <c r="AM388" s="4" t="s">
        <v>1238</v>
      </c>
      <c r="AN388">
        <v>0</v>
      </c>
      <c r="AO388" t="s">
        <v>1317</v>
      </c>
      <c r="AP388">
        <f t="shared" ref="AP388:AP451" si="12">AI388</f>
        <v>0</v>
      </c>
      <c r="AQ388">
        <v>1</v>
      </c>
      <c r="AR388" t="s">
        <v>1992</v>
      </c>
      <c r="AS388" t="s">
        <v>1995</v>
      </c>
      <c r="AT388" t="s">
        <v>1996</v>
      </c>
      <c r="AU388" t="s">
        <v>1995</v>
      </c>
      <c r="AV388" t="s">
        <v>1995</v>
      </c>
      <c r="AW388" t="s">
        <v>1996</v>
      </c>
      <c r="AX388" t="s">
        <v>2007</v>
      </c>
      <c r="AY388" t="s">
        <v>1995</v>
      </c>
      <c r="AZ388">
        <v>4994</v>
      </c>
      <c r="BA388" t="s">
        <v>1194</v>
      </c>
      <c r="BB388" t="s">
        <v>1194</v>
      </c>
      <c r="BC388" s="3">
        <v>19770.387299999999</v>
      </c>
      <c r="BD388" s="3">
        <v>27866.57</v>
      </c>
      <c r="BE388" s="3">
        <v>0</v>
      </c>
      <c r="BF388" s="3">
        <v>0</v>
      </c>
      <c r="BG388" s="3">
        <v>300</v>
      </c>
      <c r="BH388" s="3">
        <v>0</v>
      </c>
      <c r="BI388" s="3">
        <v>75246</v>
      </c>
      <c r="BJ388" s="3">
        <v>123183</v>
      </c>
      <c r="BK388" s="3">
        <v>0</v>
      </c>
      <c r="BL388" s="3">
        <v>123183</v>
      </c>
      <c r="BM388" s="2">
        <f t="shared" ref="BM388:BM451" ca="1" si="13">IF(ROUND((6*RAND()),0)=0,1,(ROUND((6*RAND()),0)))</f>
        <v>2</v>
      </c>
      <c r="BN388" s="3">
        <v>1000000</v>
      </c>
      <c r="BO388" s="3">
        <v>250000</v>
      </c>
      <c r="BP388" s="3">
        <v>100000</v>
      </c>
      <c r="BQ388" s="3">
        <v>1000000</v>
      </c>
      <c r="BR388" s="3">
        <v>1000000</v>
      </c>
      <c r="BS388">
        <v>50000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 t="s">
        <v>2940</v>
      </c>
      <c r="CA388" t="s">
        <v>2939</v>
      </c>
      <c r="CB388" t="s">
        <v>2941</v>
      </c>
    </row>
    <row r="389" spans="1:80" x14ac:dyDescent="0.25">
      <c r="A389">
        <v>388</v>
      </c>
      <c r="B389" t="s">
        <v>2404</v>
      </c>
      <c r="C389" s="1">
        <v>44783</v>
      </c>
      <c r="D389" s="2">
        <v>24</v>
      </c>
      <c r="E389" t="s">
        <v>4</v>
      </c>
      <c r="F389" t="s">
        <v>1311</v>
      </c>
      <c r="G389">
        <v>0</v>
      </c>
      <c r="H389" s="3">
        <v>10500000</v>
      </c>
      <c r="I389" s="3">
        <v>500000</v>
      </c>
      <c r="J389" s="3">
        <v>0</v>
      </c>
      <c r="K389" s="3">
        <v>0</v>
      </c>
      <c r="L389" s="3" t="s">
        <v>1191</v>
      </c>
      <c r="M389">
        <v>1698550</v>
      </c>
      <c r="N389" t="s">
        <v>728</v>
      </c>
      <c r="P389" t="s">
        <v>729</v>
      </c>
      <c r="Q389" t="s">
        <v>13</v>
      </c>
      <c r="R389">
        <v>2467</v>
      </c>
      <c r="S389" t="s">
        <v>53</v>
      </c>
      <c r="T389" t="s">
        <v>968</v>
      </c>
      <c r="U389">
        <v>0</v>
      </c>
      <c r="V389" t="s">
        <v>1021</v>
      </c>
      <c r="W389" t="s">
        <v>1194</v>
      </c>
      <c r="X389" t="s">
        <v>973</v>
      </c>
      <c r="Y389">
        <v>25000</v>
      </c>
      <c r="Z389" s="2" t="s">
        <v>1194</v>
      </c>
      <c r="AA389" s="2" t="s">
        <v>1238</v>
      </c>
      <c r="AB389" t="s">
        <v>1238</v>
      </c>
      <c r="AC389">
        <v>796</v>
      </c>
      <c r="AD389" t="s">
        <v>1279</v>
      </c>
      <c r="AE389">
        <v>1</v>
      </c>
      <c r="AF389" t="s">
        <v>1290</v>
      </c>
      <c r="AG389">
        <v>0</v>
      </c>
      <c r="AH389">
        <v>0</v>
      </c>
      <c r="AI389">
        <v>0</v>
      </c>
      <c r="AJ389">
        <v>1920</v>
      </c>
      <c r="AK389">
        <v>2022</v>
      </c>
      <c r="AL389">
        <v>2022</v>
      </c>
      <c r="AM389" s="4" t="s">
        <v>1238</v>
      </c>
      <c r="AN389">
        <v>0</v>
      </c>
      <c r="AO389" t="s">
        <v>1315</v>
      </c>
      <c r="AP389">
        <f t="shared" si="12"/>
        <v>0</v>
      </c>
      <c r="AQ389">
        <v>0</v>
      </c>
      <c r="AR389" t="s">
        <v>1993</v>
      </c>
      <c r="AS389" t="s">
        <v>1996</v>
      </c>
      <c r="AT389" t="s">
        <v>1996</v>
      </c>
      <c r="AU389" t="s">
        <v>1995</v>
      </c>
      <c r="AV389" t="s">
        <v>1996</v>
      </c>
      <c r="AW389" t="s">
        <v>1996</v>
      </c>
      <c r="AX389" t="s">
        <v>2006</v>
      </c>
      <c r="AY389" t="s">
        <v>1996</v>
      </c>
      <c r="AZ389">
        <v>6944</v>
      </c>
      <c r="BA389" t="s">
        <v>1194</v>
      </c>
      <c r="BB389" t="s">
        <v>1194</v>
      </c>
      <c r="BC389" s="3">
        <v>14885.8989</v>
      </c>
      <c r="BD389" s="3">
        <v>7487.57</v>
      </c>
      <c r="BE389" s="3">
        <v>0</v>
      </c>
      <c r="BF389" s="3">
        <v>0</v>
      </c>
      <c r="BG389" s="3">
        <v>150</v>
      </c>
      <c r="BH389" s="3">
        <v>0</v>
      </c>
      <c r="BI389" s="3">
        <v>32277</v>
      </c>
      <c r="BJ389" s="3">
        <v>54800</v>
      </c>
      <c r="BK389" s="3">
        <v>400</v>
      </c>
      <c r="BL389" s="3">
        <v>55200</v>
      </c>
      <c r="BM389" s="2">
        <f t="shared" ca="1" si="13"/>
        <v>5</v>
      </c>
      <c r="BN389" s="3">
        <v>1000000</v>
      </c>
      <c r="BO389" s="3">
        <v>50000</v>
      </c>
      <c r="BP389" s="3">
        <v>200000</v>
      </c>
      <c r="BQ389" s="3">
        <v>50000</v>
      </c>
      <c r="BR389" s="3" t="s">
        <v>2916</v>
      </c>
      <c r="BS389">
        <v>100000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 t="s">
        <v>2942</v>
      </c>
      <c r="CA389" t="s">
        <v>2006</v>
      </c>
      <c r="CB389" t="s">
        <v>2006</v>
      </c>
    </row>
    <row r="390" spans="1:80" x14ac:dyDescent="0.25">
      <c r="A390">
        <v>389</v>
      </c>
      <c r="B390" t="s">
        <v>2405</v>
      </c>
      <c r="C390" s="1">
        <v>44950</v>
      </c>
      <c r="D390" s="2">
        <v>3</v>
      </c>
      <c r="E390" t="s">
        <v>4</v>
      </c>
      <c r="F390" t="s">
        <v>1310</v>
      </c>
      <c r="G390">
        <v>0</v>
      </c>
      <c r="H390" s="3">
        <v>4100000</v>
      </c>
      <c r="I390" s="3">
        <v>627200</v>
      </c>
      <c r="J390" s="3">
        <v>0</v>
      </c>
      <c r="K390" s="3">
        <v>0</v>
      </c>
      <c r="L390" s="3" t="s">
        <v>1191</v>
      </c>
      <c r="M390">
        <v>1587907</v>
      </c>
      <c r="N390" t="s">
        <v>730</v>
      </c>
      <c r="P390" t="s">
        <v>77</v>
      </c>
      <c r="Q390" t="s">
        <v>19</v>
      </c>
      <c r="R390">
        <v>92107</v>
      </c>
      <c r="S390" t="s">
        <v>77</v>
      </c>
      <c r="T390" t="s">
        <v>974</v>
      </c>
      <c r="U390">
        <v>0</v>
      </c>
      <c r="V390">
        <v>17</v>
      </c>
      <c r="W390" t="s">
        <v>1220</v>
      </c>
      <c r="X390" t="s">
        <v>973</v>
      </c>
      <c r="Y390">
        <v>10000</v>
      </c>
      <c r="Z390" s="2" t="s">
        <v>1194</v>
      </c>
      <c r="AA390" s="2" t="s">
        <v>1238</v>
      </c>
      <c r="AB390" t="s">
        <v>1238</v>
      </c>
      <c r="AC390" t="s">
        <v>1194</v>
      </c>
      <c r="AD390" t="s">
        <v>1279</v>
      </c>
      <c r="AE390">
        <v>2</v>
      </c>
      <c r="AF390" t="s">
        <v>1290</v>
      </c>
      <c r="AG390">
        <v>0</v>
      </c>
      <c r="AH390">
        <v>0</v>
      </c>
      <c r="AI390">
        <v>0</v>
      </c>
      <c r="AJ390">
        <v>2009</v>
      </c>
      <c r="AK390" t="s">
        <v>1194</v>
      </c>
      <c r="AL390" t="s">
        <v>1194</v>
      </c>
      <c r="AM390" s="4" t="s">
        <v>1305</v>
      </c>
      <c r="AN390">
        <v>0</v>
      </c>
      <c r="AO390" t="s">
        <v>1316</v>
      </c>
      <c r="AP390">
        <f t="shared" si="12"/>
        <v>0</v>
      </c>
      <c r="AQ390">
        <v>0</v>
      </c>
      <c r="AR390" t="s">
        <v>1993</v>
      </c>
      <c r="AS390" t="s">
        <v>1995</v>
      </c>
      <c r="AT390" t="s">
        <v>1996</v>
      </c>
      <c r="AU390" t="s">
        <v>1996</v>
      </c>
      <c r="AV390" t="s">
        <v>1996</v>
      </c>
      <c r="AW390" t="s">
        <v>1995</v>
      </c>
      <c r="AX390" t="s">
        <v>1194</v>
      </c>
      <c r="AY390" t="s">
        <v>1996</v>
      </c>
      <c r="AZ390">
        <v>5612</v>
      </c>
      <c r="BA390" t="s">
        <v>1194</v>
      </c>
      <c r="BB390" t="s">
        <v>2014</v>
      </c>
      <c r="BC390" s="3">
        <v>0</v>
      </c>
      <c r="BD390" s="3">
        <v>0</v>
      </c>
      <c r="BE390" s="3">
        <v>8030.04</v>
      </c>
      <c r="BF390" s="3">
        <v>5586.05</v>
      </c>
      <c r="BG390" s="3">
        <v>150</v>
      </c>
      <c r="BH390" s="3">
        <v>0</v>
      </c>
      <c r="BI390" s="3">
        <v>21688</v>
      </c>
      <c r="BJ390" s="3">
        <v>35454.089999999997</v>
      </c>
      <c r="BK390" s="3">
        <v>0</v>
      </c>
      <c r="BL390" s="3">
        <v>35454.089999999997</v>
      </c>
      <c r="BM390" s="2">
        <f t="shared" ca="1" si="13"/>
        <v>4</v>
      </c>
      <c r="BN390" s="3">
        <v>500000</v>
      </c>
      <c r="BO390" s="3">
        <v>1000000</v>
      </c>
      <c r="BP390" s="3">
        <v>50000</v>
      </c>
      <c r="BQ390" s="3">
        <v>1000000</v>
      </c>
      <c r="BR390" s="3">
        <v>50000</v>
      </c>
      <c r="BS390" t="s">
        <v>2916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 t="s">
        <v>2948</v>
      </c>
      <c r="CA390" t="s">
        <v>1194</v>
      </c>
      <c r="CB390" t="s">
        <v>2949</v>
      </c>
    </row>
    <row r="391" spans="1:80" x14ac:dyDescent="0.25">
      <c r="A391">
        <v>390</v>
      </c>
      <c r="B391" t="s">
        <v>2406</v>
      </c>
      <c r="C391" s="1">
        <v>44849</v>
      </c>
      <c r="D391" s="2">
        <v>30</v>
      </c>
      <c r="E391" t="s">
        <v>4</v>
      </c>
      <c r="F391" t="s">
        <v>1311</v>
      </c>
      <c r="G391">
        <v>0</v>
      </c>
      <c r="H391" s="3">
        <v>1506450</v>
      </c>
      <c r="I391" s="3">
        <v>0</v>
      </c>
      <c r="J391" s="3">
        <v>0</v>
      </c>
      <c r="K391" s="3">
        <v>0</v>
      </c>
      <c r="L391" s="3" t="s">
        <v>1191</v>
      </c>
      <c r="M391">
        <v>1745194</v>
      </c>
      <c r="N391" t="s">
        <v>731</v>
      </c>
      <c r="P391" t="s">
        <v>732</v>
      </c>
      <c r="Q391" t="s">
        <v>16</v>
      </c>
      <c r="R391">
        <v>8008</v>
      </c>
      <c r="S391" t="s">
        <v>70</v>
      </c>
      <c r="T391" t="s">
        <v>970</v>
      </c>
      <c r="U391">
        <v>1</v>
      </c>
      <c r="V391" t="s">
        <v>1146</v>
      </c>
      <c r="W391" t="s">
        <v>1194</v>
      </c>
      <c r="X391" t="s">
        <v>1309</v>
      </c>
      <c r="Y391">
        <v>10000</v>
      </c>
      <c r="Z391" s="2">
        <v>2</v>
      </c>
      <c r="AA391" s="2" t="s">
        <v>1238</v>
      </c>
      <c r="AB391" t="s">
        <v>1238</v>
      </c>
      <c r="AC391">
        <v>754</v>
      </c>
      <c r="AD391" t="s">
        <v>1279</v>
      </c>
      <c r="AE391">
        <v>5</v>
      </c>
      <c r="AF391" t="s">
        <v>1291</v>
      </c>
      <c r="AG391">
        <v>0</v>
      </c>
      <c r="AH391">
        <v>0</v>
      </c>
      <c r="AI391">
        <v>0</v>
      </c>
      <c r="AJ391">
        <v>2021</v>
      </c>
      <c r="AK391" t="s">
        <v>1194</v>
      </c>
      <c r="AL391" t="s">
        <v>1194</v>
      </c>
      <c r="AM391" s="4" t="s">
        <v>1238</v>
      </c>
      <c r="AN391">
        <v>0</v>
      </c>
      <c r="AO391" t="s">
        <v>1315</v>
      </c>
      <c r="AP391">
        <f t="shared" si="12"/>
        <v>0</v>
      </c>
      <c r="AQ391">
        <v>0</v>
      </c>
      <c r="AR391" t="s">
        <v>1993</v>
      </c>
      <c r="AS391" t="s">
        <v>1996</v>
      </c>
      <c r="AT391" t="s">
        <v>1995</v>
      </c>
      <c r="AU391" t="s">
        <v>1995</v>
      </c>
      <c r="AV391" t="s">
        <v>1996</v>
      </c>
      <c r="AW391" t="s">
        <v>1996</v>
      </c>
      <c r="AX391" t="s">
        <v>2006</v>
      </c>
      <c r="AY391" t="s">
        <v>1996</v>
      </c>
      <c r="AZ391">
        <v>3000</v>
      </c>
      <c r="BA391" t="s">
        <v>1194</v>
      </c>
      <c r="BB391" t="s">
        <v>1194</v>
      </c>
      <c r="BC391" s="3">
        <v>2797.4616000000001</v>
      </c>
      <c r="BD391" s="3">
        <v>3027.67</v>
      </c>
      <c r="BE391" s="3">
        <v>0</v>
      </c>
      <c r="BF391" s="3">
        <v>0</v>
      </c>
      <c r="BG391" s="3">
        <v>150</v>
      </c>
      <c r="BH391" s="3">
        <v>0</v>
      </c>
      <c r="BI391" s="3">
        <v>3263</v>
      </c>
      <c r="BJ391" s="3">
        <v>9238</v>
      </c>
      <c r="BK391" s="3">
        <v>0</v>
      </c>
      <c r="BL391" s="3">
        <v>9238</v>
      </c>
      <c r="BM391" s="2">
        <f t="shared" ca="1" si="13"/>
        <v>4</v>
      </c>
      <c r="BN391" s="3">
        <v>1000000</v>
      </c>
      <c r="BO391" s="3">
        <v>50000</v>
      </c>
      <c r="BP391" s="3" t="s">
        <v>2922</v>
      </c>
      <c r="BQ391" s="3">
        <v>50000</v>
      </c>
      <c r="BR391" s="3">
        <v>50000</v>
      </c>
      <c r="BS391">
        <v>1000000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 t="s">
        <v>2942</v>
      </c>
      <c r="CA391" t="s">
        <v>2006</v>
      </c>
      <c r="CB391" t="s">
        <v>2006</v>
      </c>
    </row>
    <row r="392" spans="1:80" x14ac:dyDescent="0.25">
      <c r="A392">
        <v>391</v>
      </c>
      <c r="B392" t="s">
        <v>2407</v>
      </c>
      <c r="C392" s="1">
        <v>44852</v>
      </c>
      <c r="D392" s="2">
        <v>30</v>
      </c>
      <c r="E392" t="s">
        <v>4</v>
      </c>
      <c r="F392" t="s">
        <v>1311</v>
      </c>
      <c r="G392">
        <v>0</v>
      </c>
      <c r="H392" s="3">
        <v>5500000</v>
      </c>
      <c r="I392" s="3">
        <v>469295</v>
      </c>
      <c r="J392" s="3">
        <v>0</v>
      </c>
      <c r="K392" s="3">
        <v>0</v>
      </c>
      <c r="L392" s="3" t="s">
        <v>1191</v>
      </c>
      <c r="M392">
        <v>1269478</v>
      </c>
      <c r="N392" t="s">
        <v>733</v>
      </c>
      <c r="P392" t="s">
        <v>734</v>
      </c>
      <c r="Q392" t="s">
        <v>16</v>
      </c>
      <c r="R392">
        <v>7960</v>
      </c>
      <c r="S392" t="s">
        <v>98</v>
      </c>
      <c r="T392" t="s">
        <v>973</v>
      </c>
      <c r="U392">
        <v>0</v>
      </c>
      <c r="V392" t="s">
        <v>1144</v>
      </c>
      <c r="W392" t="s">
        <v>1194</v>
      </c>
      <c r="X392" t="s">
        <v>973</v>
      </c>
      <c r="Y392">
        <v>25000</v>
      </c>
      <c r="Z392" s="2" t="s">
        <v>1194</v>
      </c>
      <c r="AA392" s="2" t="s">
        <v>1238</v>
      </c>
      <c r="AB392" t="s">
        <v>1238</v>
      </c>
      <c r="AC392">
        <v>873</v>
      </c>
      <c r="AD392" t="s">
        <v>1279</v>
      </c>
      <c r="AE392">
        <v>4</v>
      </c>
      <c r="AF392" t="s">
        <v>1290</v>
      </c>
      <c r="AG392">
        <v>0</v>
      </c>
      <c r="AH392">
        <v>0</v>
      </c>
      <c r="AI392">
        <v>0</v>
      </c>
      <c r="AJ392">
        <v>1929</v>
      </c>
      <c r="AK392">
        <v>1960</v>
      </c>
      <c r="AL392">
        <v>2022</v>
      </c>
      <c r="AM392" s="4" t="s">
        <v>1238</v>
      </c>
      <c r="AN392">
        <v>0</v>
      </c>
      <c r="AO392" t="s">
        <v>1316</v>
      </c>
      <c r="AP392">
        <f t="shared" si="12"/>
        <v>0</v>
      </c>
      <c r="AQ392">
        <v>0</v>
      </c>
      <c r="AR392" t="s">
        <v>1993</v>
      </c>
      <c r="AS392" t="s">
        <v>1995</v>
      </c>
      <c r="AT392" t="s">
        <v>1996</v>
      </c>
      <c r="AU392" t="s">
        <v>1995</v>
      </c>
      <c r="AV392" t="s">
        <v>1995</v>
      </c>
      <c r="AW392" t="s">
        <v>1996</v>
      </c>
      <c r="AX392" t="s">
        <v>2006</v>
      </c>
      <c r="AY392" t="s">
        <v>1996</v>
      </c>
      <c r="AZ392">
        <v>5560</v>
      </c>
      <c r="BA392" t="s">
        <v>1194</v>
      </c>
      <c r="BB392" t="s">
        <v>1194</v>
      </c>
      <c r="BC392" s="3">
        <v>9736.4055000000008</v>
      </c>
      <c r="BD392" s="3">
        <v>911.25</v>
      </c>
      <c r="BE392" s="3">
        <v>0</v>
      </c>
      <c r="BF392" s="3">
        <v>0</v>
      </c>
      <c r="BG392" s="3">
        <v>150</v>
      </c>
      <c r="BH392" s="3">
        <v>0</v>
      </c>
      <c r="BI392" s="3">
        <v>13000</v>
      </c>
      <c r="BJ392" s="3">
        <v>23798</v>
      </c>
      <c r="BK392" s="3">
        <v>0</v>
      </c>
      <c r="BL392" s="3">
        <v>23798</v>
      </c>
      <c r="BM392" s="2">
        <f t="shared" ca="1" si="13"/>
        <v>6</v>
      </c>
      <c r="BN392" s="3" t="s">
        <v>2916</v>
      </c>
      <c r="BO392" s="3">
        <v>20000</v>
      </c>
      <c r="BP392" s="3">
        <v>50000</v>
      </c>
      <c r="BQ392" s="3">
        <v>250000</v>
      </c>
      <c r="BR392" s="3">
        <v>100000</v>
      </c>
      <c r="BS392">
        <v>100000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 t="s">
        <v>2942</v>
      </c>
      <c r="CA392" t="s">
        <v>2006</v>
      </c>
      <c r="CB392" t="s">
        <v>2946</v>
      </c>
    </row>
    <row r="393" spans="1:80" x14ac:dyDescent="0.25">
      <c r="A393">
        <v>392</v>
      </c>
      <c r="B393" t="s">
        <v>2408</v>
      </c>
      <c r="C393" s="1">
        <v>44624</v>
      </c>
      <c r="D393" s="2">
        <v>9</v>
      </c>
      <c r="E393" t="s">
        <v>4</v>
      </c>
      <c r="F393" t="s">
        <v>1310</v>
      </c>
      <c r="G393">
        <v>0</v>
      </c>
      <c r="H393" s="3">
        <v>11051000</v>
      </c>
      <c r="I393" s="3">
        <v>498000</v>
      </c>
      <c r="J393" s="3">
        <v>0</v>
      </c>
      <c r="K393" s="3">
        <v>0</v>
      </c>
      <c r="L393" s="3" t="s">
        <v>1191</v>
      </c>
      <c r="M393">
        <v>1852326</v>
      </c>
      <c r="N393" t="s">
        <v>735</v>
      </c>
      <c r="P393" t="s">
        <v>736</v>
      </c>
      <c r="Q393" t="s">
        <v>15</v>
      </c>
      <c r="R393">
        <v>33408</v>
      </c>
      <c r="S393" t="s">
        <v>27</v>
      </c>
      <c r="T393" t="s">
        <v>967</v>
      </c>
      <c r="U393">
        <v>1</v>
      </c>
      <c r="V393" t="s">
        <v>989</v>
      </c>
      <c r="W393" t="s">
        <v>1194</v>
      </c>
      <c r="X393" t="s">
        <v>1309</v>
      </c>
      <c r="Y393">
        <v>25000</v>
      </c>
      <c r="Z393" s="2">
        <v>5</v>
      </c>
      <c r="AA393" s="2" t="s">
        <v>1238</v>
      </c>
      <c r="AB393" t="s">
        <v>1238</v>
      </c>
      <c r="AC393">
        <v>683</v>
      </c>
      <c r="AD393" t="s">
        <v>1280</v>
      </c>
      <c r="AE393">
        <v>2</v>
      </c>
      <c r="AF393" t="s">
        <v>1292</v>
      </c>
      <c r="AG393">
        <v>0</v>
      </c>
      <c r="AH393">
        <v>0</v>
      </c>
      <c r="AI393">
        <v>0</v>
      </c>
      <c r="AJ393">
        <v>1971</v>
      </c>
      <c r="AK393">
        <v>2007</v>
      </c>
      <c r="AL393">
        <v>2005</v>
      </c>
      <c r="AM393" s="4" t="s">
        <v>1305</v>
      </c>
      <c r="AN393">
        <v>0</v>
      </c>
      <c r="AO393" t="s">
        <v>1315</v>
      </c>
      <c r="AP393">
        <f t="shared" si="12"/>
        <v>0</v>
      </c>
      <c r="AQ393">
        <v>1</v>
      </c>
      <c r="AR393" t="s">
        <v>1992</v>
      </c>
      <c r="AS393" t="s">
        <v>1996</v>
      </c>
      <c r="AT393" t="s">
        <v>1995</v>
      </c>
      <c r="AU393" t="s">
        <v>1996</v>
      </c>
      <c r="AV393" t="s">
        <v>1995</v>
      </c>
      <c r="AW393" t="s">
        <v>1996</v>
      </c>
      <c r="AX393" t="s">
        <v>2007</v>
      </c>
      <c r="AY393" t="s">
        <v>1995</v>
      </c>
      <c r="AZ393">
        <v>7823</v>
      </c>
      <c r="BA393" t="s">
        <v>1194</v>
      </c>
      <c r="BB393" t="s">
        <v>1194</v>
      </c>
      <c r="BC393" s="3">
        <v>26387.464800000002</v>
      </c>
      <c r="BD393" s="3">
        <v>80861.48</v>
      </c>
      <c r="BE393" s="3">
        <v>0</v>
      </c>
      <c r="BF393" s="3">
        <v>0</v>
      </c>
      <c r="BG393" s="3">
        <v>0</v>
      </c>
      <c r="BH393" s="3">
        <v>0</v>
      </c>
      <c r="BI393" s="3">
        <v>-5431.1</v>
      </c>
      <c r="BJ393" s="3">
        <v>139743</v>
      </c>
      <c r="BK393" s="3">
        <v>0</v>
      </c>
      <c r="BL393" s="3">
        <v>139743</v>
      </c>
      <c r="BM393" s="2">
        <f t="shared" ca="1" si="13"/>
        <v>2</v>
      </c>
      <c r="BN393" s="3">
        <v>50000</v>
      </c>
      <c r="BO393" s="3">
        <v>2000000</v>
      </c>
      <c r="BP393" s="3">
        <v>50000</v>
      </c>
      <c r="BQ393" s="3">
        <v>100000</v>
      </c>
      <c r="BR393" s="3">
        <v>250000</v>
      </c>
      <c r="BS393">
        <v>100000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 t="s">
        <v>2940</v>
      </c>
      <c r="CA393" t="s">
        <v>2006</v>
      </c>
      <c r="CB393" t="s">
        <v>2941</v>
      </c>
    </row>
    <row r="394" spans="1:80" x14ac:dyDescent="0.25">
      <c r="A394">
        <v>393</v>
      </c>
      <c r="B394" t="s">
        <v>2409</v>
      </c>
      <c r="C394" s="1">
        <v>44958</v>
      </c>
      <c r="D394" s="2">
        <v>6</v>
      </c>
      <c r="E394" t="s">
        <v>4</v>
      </c>
      <c r="F394" t="s">
        <v>1310</v>
      </c>
      <c r="G394">
        <v>0</v>
      </c>
      <c r="H394" s="3">
        <v>16000000</v>
      </c>
      <c r="I394" s="3">
        <v>1000000</v>
      </c>
      <c r="J394" s="3">
        <v>0</v>
      </c>
      <c r="K394" s="3">
        <v>0</v>
      </c>
      <c r="L394" s="3" t="s">
        <v>1191</v>
      </c>
      <c r="M394">
        <v>1422584</v>
      </c>
      <c r="N394" t="s">
        <v>737</v>
      </c>
      <c r="P394" t="s">
        <v>738</v>
      </c>
      <c r="Q394" t="s">
        <v>14</v>
      </c>
      <c r="R394">
        <v>10536</v>
      </c>
      <c r="S394" t="s">
        <v>36</v>
      </c>
      <c r="T394" t="s">
        <v>968</v>
      </c>
      <c r="U394">
        <v>0</v>
      </c>
      <c r="V394" t="s">
        <v>1147</v>
      </c>
      <c r="W394" t="s">
        <v>1194</v>
      </c>
      <c r="X394" t="s">
        <v>973</v>
      </c>
      <c r="Y394">
        <v>25000</v>
      </c>
      <c r="Z394" s="2">
        <v>1</v>
      </c>
      <c r="AA394" s="2" t="s">
        <v>1238</v>
      </c>
      <c r="AB394" t="s">
        <v>1238</v>
      </c>
      <c r="AC394">
        <v>797</v>
      </c>
      <c r="AD394" t="s">
        <v>1279</v>
      </c>
      <c r="AE394">
        <v>8</v>
      </c>
      <c r="AF394" t="s">
        <v>1290</v>
      </c>
      <c r="AG394">
        <v>0</v>
      </c>
      <c r="AH394">
        <v>0</v>
      </c>
      <c r="AI394">
        <v>0</v>
      </c>
      <c r="AJ394">
        <v>2022</v>
      </c>
      <c r="AK394" t="s">
        <v>1194</v>
      </c>
      <c r="AL394" t="s">
        <v>1194</v>
      </c>
      <c r="AM394" s="4" t="s">
        <v>1304</v>
      </c>
      <c r="AN394">
        <v>0</v>
      </c>
      <c r="AO394" t="s">
        <v>1317</v>
      </c>
      <c r="AP394">
        <f t="shared" si="12"/>
        <v>0</v>
      </c>
      <c r="AQ394">
        <v>0</v>
      </c>
      <c r="AR394" t="s">
        <v>1993</v>
      </c>
      <c r="AS394" t="s">
        <v>1995</v>
      </c>
      <c r="AT394" t="s">
        <v>1996</v>
      </c>
      <c r="AU394" t="s">
        <v>1995</v>
      </c>
      <c r="AV394" t="s">
        <v>1996</v>
      </c>
      <c r="AW394" t="s">
        <v>1995</v>
      </c>
      <c r="AX394" t="s">
        <v>2003</v>
      </c>
      <c r="AY394" t="s">
        <v>1996</v>
      </c>
      <c r="AZ394">
        <v>10000</v>
      </c>
      <c r="BA394" t="s">
        <v>1194</v>
      </c>
      <c r="BB394" t="s">
        <v>1194</v>
      </c>
      <c r="BC394" s="3">
        <v>29748.595499999999</v>
      </c>
      <c r="BD394" s="3">
        <v>3470.99</v>
      </c>
      <c r="BE394" s="3">
        <v>0</v>
      </c>
      <c r="BF394" s="3">
        <v>0</v>
      </c>
      <c r="BG394" s="3">
        <v>150</v>
      </c>
      <c r="BH394" s="3">
        <v>0</v>
      </c>
      <c r="BI394" s="3">
        <v>55455</v>
      </c>
      <c r="BJ394" s="3">
        <v>88825</v>
      </c>
      <c r="BK394" s="3">
        <v>650</v>
      </c>
      <c r="BL394" s="3">
        <v>89475</v>
      </c>
      <c r="BM394" s="2">
        <f t="shared" ca="1" si="13"/>
        <v>1</v>
      </c>
      <c r="BN394" s="3">
        <v>50000</v>
      </c>
      <c r="BO394" s="3">
        <v>250000</v>
      </c>
      <c r="BP394" s="3">
        <v>50000</v>
      </c>
      <c r="BQ394" s="3">
        <v>1000000</v>
      </c>
      <c r="BR394" s="3">
        <v>250000</v>
      </c>
      <c r="BS394">
        <v>50000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 t="s">
        <v>2006</v>
      </c>
      <c r="CA394" t="s">
        <v>2006</v>
      </c>
      <c r="CB394" t="s">
        <v>2946</v>
      </c>
    </row>
    <row r="395" spans="1:80" x14ac:dyDescent="0.25">
      <c r="A395">
        <v>394</v>
      </c>
      <c r="B395" t="s">
        <v>2410</v>
      </c>
      <c r="C395" s="1">
        <v>44908</v>
      </c>
      <c r="D395" s="2">
        <v>36</v>
      </c>
      <c r="E395" t="s">
        <v>4</v>
      </c>
      <c r="F395" t="s">
        <v>1311</v>
      </c>
      <c r="G395">
        <v>1</v>
      </c>
      <c r="H395" s="3">
        <v>3200000</v>
      </c>
      <c r="I395" s="3">
        <v>260000</v>
      </c>
      <c r="J395" s="3">
        <v>0</v>
      </c>
      <c r="K395" s="3">
        <v>0</v>
      </c>
      <c r="L395" s="3" t="s">
        <v>1191</v>
      </c>
      <c r="M395">
        <v>1717037</v>
      </c>
      <c r="N395" t="s">
        <v>739</v>
      </c>
      <c r="P395" t="s">
        <v>712</v>
      </c>
      <c r="Q395" t="s">
        <v>17</v>
      </c>
      <c r="R395">
        <v>29451</v>
      </c>
      <c r="S395" t="s">
        <v>31</v>
      </c>
      <c r="T395" t="s">
        <v>978</v>
      </c>
      <c r="U395">
        <v>0</v>
      </c>
      <c r="V395" t="s">
        <v>1142</v>
      </c>
      <c r="W395" t="s">
        <v>1194</v>
      </c>
      <c r="X395" t="s">
        <v>973</v>
      </c>
      <c r="Y395">
        <v>10000</v>
      </c>
      <c r="Z395" s="2">
        <v>5</v>
      </c>
      <c r="AA395" s="2" t="s">
        <v>1238</v>
      </c>
      <c r="AB395" t="s">
        <v>1238</v>
      </c>
      <c r="AC395">
        <v>812</v>
      </c>
      <c r="AD395" t="s">
        <v>1279</v>
      </c>
      <c r="AE395">
        <v>1</v>
      </c>
      <c r="AF395" t="s">
        <v>1291</v>
      </c>
      <c r="AG395">
        <v>0</v>
      </c>
      <c r="AH395">
        <v>0</v>
      </c>
      <c r="AI395">
        <v>0</v>
      </c>
      <c r="AJ395">
        <v>2021</v>
      </c>
      <c r="AK395" t="s">
        <v>1194</v>
      </c>
      <c r="AL395" t="s">
        <v>1194</v>
      </c>
      <c r="AM395" s="4" t="s">
        <v>1238</v>
      </c>
      <c r="AN395">
        <v>0</v>
      </c>
      <c r="AO395" t="s">
        <v>1315</v>
      </c>
      <c r="AP395">
        <f t="shared" si="12"/>
        <v>0</v>
      </c>
      <c r="AQ395">
        <v>0</v>
      </c>
      <c r="AR395" t="s">
        <v>1993</v>
      </c>
      <c r="AS395" t="s">
        <v>1996</v>
      </c>
      <c r="AT395" t="s">
        <v>1995</v>
      </c>
      <c r="AU395" t="s">
        <v>1996</v>
      </c>
      <c r="AV395" t="s">
        <v>1996</v>
      </c>
      <c r="AW395" t="s">
        <v>1995</v>
      </c>
      <c r="AX395" t="s">
        <v>2007</v>
      </c>
      <c r="AY395" t="s">
        <v>1995</v>
      </c>
      <c r="AZ395">
        <v>4200</v>
      </c>
      <c r="BA395" t="s">
        <v>1194</v>
      </c>
      <c r="BB395" t="s">
        <v>1194</v>
      </c>
      <c r="BC395" s="3">
        <v>4726.3559999999998</v>
      </c>
      <c r="BD395" s="3">
        <v>11100.68</v>
      </c>
      <c r="BE395" s="3">
        <v>0</v>
      </c>
      <c r="BF395" s="3">
        <v>0</v>
      </c>
      <c r="BG395" s="3">
        <v>150</v>
      </c>
      <c r="BH395" s="3">
        <v>0</v>
      </c>
      <c r="BI395" s="3">
        <v>9626.9599999999991</v>
      </c>
      <c r="BJ395" s="3">
        <v>25604</v>
      </c>
      <c r="BK395" s="3">
        <v>3341.72</v>
      </c>
      <c r="BL395" s="3">
        <v>28945.72</v>
      </c>
      <c r="BM395" s="2">
        <f t="shared" ca="1" si="13"/>
        <v>3</v>
      </c>
      <c r="BN395" s="3">
        <v>500000</v>
      </c>
      <c r="BO395" s="3">
        <v>2000000</v>
      </c>
      <c r="BP395" s="3" t="s">
        <v>2922</v>
      </c>
      <c r="BQ395" s="3">
        <v>100000</v>
      </c>
      <c r="BR395" s="3">
        <v>250000</v>
      </c>
      <c r="BS395">
        <v>50000</v>
      </c>
      <c r="BT395">
        <v>0</v>
      </c>
      <c r="BU395">
        <v>1</v>
      </c>
      <c r="BV395">
        <v>0</v>
      </c>
      <c r="BW395">
        <v>0</v>
      </c>
      <c r="BX395">
        <v>1</v>
      </c>
      <c r="BY395">
        <v>0</v>
      </c>
      <c r="BZ395" t="s">
        <v>2938</v>
      </c>
      <c r="CA395" t="s">
        <v>2939</v>
      </c>
      <c r="CB395" t="s">
        <v>2941</v>
      </c>
    </row>
    <row r="396" spans="1:80" x14ac:dyDescent="0.25">
      <c r="A396">
        <v>395</v>
      </c>
      <c r="B396" t="s">
        <v>2411</v>
      </c>
      <c r="C396" s="1">
        <v>44802</v>
      </c>
      <c r="D396" s="2">
        <v>24</v>
      </c>
      <c r="E396" t="s">
        <v>5</v>
      </c>
      <c r="F396" t="s">
        <v>1310</v>
      </c>
      <c r="G396">
        <v>0</v>
      </c>
      <c r="H396" s="3">
        <v>7160232</v>
      </c>
      <c r="I396" s="3">
        <v>30000</v>
      </c>
      <c r="J396" s="3">
        <v>600000</v>
      </c>
      <c r="K396" s="3">
        <v>225000</v>
      </c>
      <c r="L396" s="3" t="s">
        <v>1191</v>
      </c>
      <c r="M396">
        <v>1718878</v>
      </c>
      <c r="N396" t="s">
        <v>740</v>
      </c>
      <c r="P396" t="s">
        <v>741</v>
      </c>
      <c r="Q396" t="s">
        <v>14</v>
      </c>
      <c r="R396">
        <v>11215</v>
      </c>
      <c r="S396" t="s">
        <v>67</v>
      </c>
      <c r="T396" t="s">
        <v>963</v>
      </c>
      <c r="U396">
        <v>0</v>
      </c>
      <c r="V396" t="s">
        <v>1133</v>
      </c>
      <c r="W396" t="s">
        <v>1194</v>
      </c>
      <c r="X396" t="s">
        <v>973</v>
      </c>
      <c r="Y396">
        <v>10000</v>
      </c>
      <c r="Z396" s="2">
        <v>2.0000050279999999</v>
      </c>
      <c r="AA396" s="2" t="s">
        <v>1238</v>
      </c>
      <c r="AB396" t="s">
        <v>1238</v>
      </c>
      <c r="AC396">
        <v>782</v>
      </c>
      <c r="AD396" t="s">
        <v>1280</v>
      </c>
      <c r="AE396">
        <v>1</v>
      </c>
      <c r="AF396" t="s">
        <v>1290</v>
      </c>
      <c r="AG396">
        <v>0</v>
      </c>
      <c r="AH396">
        <v>0</v>
      </c>
      <c r="AI396">
        <v>0</v>
      </c>
      <c r="AJ396">
        <v>1920</v>
      </c>
      <c r="AK396">
        <v>2022</v>
      </c>
      <c r="AL396">
        <v>2022</v>
      </c>
      <c r="AM396" s="4" t="s">
        <v>1304</v>
      </c>
      <c r="AN396">
        <v>1</v>
      </c>
      <c r="AO396" t="s">
        <v>1316</v>
      </c>
      <c r="AP396">
        <f t="shared" si="12"/>
        <v>0</v>
      </c>
      <c r="AQ396">
        <v>1</v>
      </c>
      <c r="AR396" t="s">
        <v>1992</v>
      </c>
      <c r="AS396" t="s">
        <v>1995</v>
      </c>
      <c r="AT396" t="s">
        <v>1995</v>
      </c>
      <c r="AU396" t="s">
        <v>1996</v>
      </c>
      <c r="AV396" t="s">
        <v>1995</v>
      </c>
      <c r="AW396" t="s">
        <v>1996</v>
      </c>
      <c r="AX396" t="s">
        <v>2006</v>
      </c>
      <c r="AY396" t="s">
        <v>1996</v>
      </c>
      <c r="AZ396">
        <v>5692</v>
      </c>
      <c r="BA396" t="s">
        <v>1194</v>
      </c>
      <c r="BB396" t="s">
        <v>1194</v>
      </c>
      <c r="BC396" s="3">
        <v>20980.7873</v>
      </c>
      <c r="BD396" s="3">
        <v>3358.51</v>
      </c>
      <c r="BE396" s="3">
        <v>0</v>
      </c>
      <c r="BF396" s="3">
        <v>0</v>
      </c>
      <c r="BG396" s="3">
        <v>150</v>
      </c>
      <c r="BH396" s="3">
        <v>0</v>
      </c>
      <c r="BI396" s="3">
        <v>23602.09</v>
      </c>
      <c r="BJ396" s="3">
        <v>48091</v>
      </c>
      <c r="BK396" s="3">
        <v>0</v>
      </c>
      <c r="BL396" s="3">
        <v>48091</v>
      </c>
      <c r="BM396" s="2">
        <f t="shared" ca="1" si="13"/>
        <v>1</v>
      </c>
      <c r="BN396" s="3" t="s">
        <v>2916</v>
      </c>
      <c r="BO396" s="3">
        <v>50000</v>
      </c>
      <c r="BP396" s="3" t="s">
        <v>2922</v>
      </c>
      <c r="BQ396" s="3">
        <v>50000</v>
      </c>
      <c r="BR396" s="3">
        <v>50000</v>
      </c>
      <c r="BS396">
        <v>1000000</v>
      </c>
      <c r="BT396">
        <v>0</v>
      </c>
      <c r="BU396">
        <v>0</v>
      </c>
      <c r="BV396">
        <v>1</v>
      </c>
      <c r="BW396">
        <v>0</v>
      </c>
      <c r="BX396">
        <v>0</v>
      </c>
      <c r="BY396">
        <v>0</v>
      </c>
      <c r="BZ396" t="s">
        <v>2942</v>
      </c>
      <c r="CA396" t="s">
        <v>2006</v>
      </c>
      <c r="CB396" t="s">
        <v>2946</v>
      </c>
    </row>
    <row r="397" spans="1:80" x14ac:dyDescent="0.25">
      <c r="A397">
        <v>396</v>
      </c>
      <c r="B397" t="s">
        <v>2412</v>
      </c>
      <c r="C397" s="1">
        <v>44943</v>
      </c>
      <c r="D397" s="2">
        <v>3</v>
      </c>
      <c r="E397" t="s">
        <v>4</v>
      </c>
      <c r="F397" t="s">
        <v>1310</v>
      </c>
      <c r="G397">
        <v>0</v>
      </c>
      <c r="H397" s="3">
        <v>0</v>
      </c>
      <c r="I397" s="3">
        <v>0</v>
      </c>
      <c r="J397" s="3">
        <v>2300000</v>
      </c>
      <c r="K397" s="3">
        <v>0</v>
      </c>
      <c r="L397" s="3" t="s">
        <v>1192</v>
      </c>
      <c r="M397">
        <v>1721173</v>
      </c>
      <c r="N397" t="s">
        <v>742</v>
      </c>
      <c r="P397" t="s">
        <v>29</v>
      </c>
      <c r="Q397" t="s">
        <v>14</v>
      </c>
      <c r="R397">
        <v>10028</v>
      </c>
      <c r="S397" t="s">
        <v>29</v>
      </c>
      <c r="T397" t="s">
        <v>968</v>
      </c>
      <c r="U397">
        <v>0</v>
      </c>
      <c r="V397" t="s">
        <v>1000</v>
      </c>
      <c r="W397" t="s">
        <v>1194</v>
      </c>
      <c r="X397" t="s">
        <v>973</v>
      </c>
      <c r="Y397">
        <v>10000</v>
      </c>
      <c r="Z397" s="2">
        <v>2</v>
      </c>
      <c r="AA397" s="2" t="s">
        <v>1238</v>
      </c>
      <c r="AB397" t="s">
        <v>1238</v>
      </c>
      <c r="AC397">
        <v>655</v>
      </c>
      <c r="AD397" t="s">
        <v>1281</v>
      </c>
      <c r="AE397">
        <v>1</v>
      </c>
      <c r="AF397" t="s">
        <v>1290</v>
      </c>
      <c r="AG397">
        <v>0</v>
      </c>
      <c r="AH397">
        <v>0</v>
      </c>
      <c r="AI397">
        <v>0</v>
      </c>
      <c r="AJ397">
        <v>1962</v>
      </c>
      <c r="AK397" t="s">
        <v>1194</v>
      </c>
      <c r="AL397" t="s">
        <v>1194</v>
      </c>
      <c r="AM397" s="4" t="s">
        <v>1307</v>
      </c>
      <c r="AN397">
        <v>0</v>
      </c>
      <c r="AO397" t="s">
        <v>1315</v>
      </c>
      <c r="AP397">
        <f t="shared" si="12"/>
        <v>0</v>
      </c>
      <c r="AQ397">
        <v>1</v>
      </c>
      <c r="AR397" t="s">
        <v>1992</v>
      </c>
      <c r="AS397" t="s">
        <v>1996</v>
      </c>
      <c r="AT397" t="s">
        <v>1996</v>
      </c>
      <c r="AU397" t="s">
        <v>1996</v>
      </c>
      <c r="AV397" t="s">
        <v>1996</v>
      </c>
      <c r="AW397" t="s">
        <v>1995</v>
      </c>
      <c r="AX397" t="s">
        <v>2006</v>
      </c>
      <c r="AY397" t="s">
        <v>1996</v>
      </c>
      <c r="AZ397">
        <v>1979</v>
      </c>
      <c r="BA397" t="s">
        <v>1194</v>
      </c>
      <c r="BB397" t="s">
        <v>1194</v>
      </c>
      <c r="BC397" s="3">
        <v>11090.4671</v>
      </c>
      <c r="BD397" s="3">
        <v>2252.81</v>
      </c>
      <c r="BE397" s="3">
        <v>0</v>
      </c>
      <c r="BF397" s="3">
        <v>0</v>
      </c>
      <c r="BG397" s="3">
        <v>0</v>
      </c>
      <c r="BH397" s="3">
        <v>0</v>
      </c>
      <c r="BI397" s="3">
        <v>6894.5</v>
      </c>
      <c r="BJ397" s="3">
        <v>20238</v>
      </c>
      <c r="BK397" s="3">
        <v>0</v>
      </c>
      <c r="BL397" s="3">
        <v>20238</v>
      </c>
      <c r="BM397" s="2">
        <f t="shared" ca="1" si="13"/>
        <v>1</v>
      </c>
      <c r="BN397" s="3">
        <v>250000</v>
      </c>
      <c r="BO397" s="3">
        <v>250000</v>
      </c>
      <c r="BP397" s="3">
        <v>100000</v>
      </c>
      <c r="BQ397" s="3">
        <v>500000</v>
      </c>
      <c r="BR397" s="3">
        <v>1000000</v>
      </c>
      <c r="BS397">
        <v>50000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 t="s">
        <v>2006</v>
      </c>
      <c r="CA397" t="s">
        <v>2006</v>
      </c>
      <c r="CB397" t="s">
        <v>2946</v>
      </c>
    </row>
    <row r="398" spans="1:80" x14ac:dyDescent="0.25">
      <c r="A398">
        <v>397</v>
      </c>
      <c r="B398" t="s">
        <v>2413</v>
      </c>
      <c r="C398" s="1">
        <v>44866</v>
      </c>
      <c r="D398" s="2">
        <v>33</v>
      </c>
      <c r="E398" t="s">
        <v>4</v>
      </c>
      <c r="F398" t="s">
        <v>1311</v>
      </c>
      <c r="G398">
        <v>1</v>
      </c>
      <c r="H398" s="3">
        <v>2300000</v>
      </c>
      <c r="I398" s="3">
        <v>197726</v>
      </c>
      <c r="J398" s="3">
        <v>218000</v>
      </c>
      <c r="K398" s="3">
        <v>0</v>
      </c>
      <c r="L398" s="3" t="s">
        <v>1191</v>
      </c>
      <c r="M398">
        <v>1721117</v>
      </c>
      <c r="N398" t="s">
        <v>743</v>
      </c>
      <c r="P398" t="s">
        <v>615</v>
      </c>
      <c r="Q398" t="s">
        <v>16</v>
      </c>
      <c r="R398">
        <v>7762</v>
      </c>
      <c r="S398" t="s">
        <v>52</v>
      </c>
      <c r="T398" t="s">
        <v>970</v>
      </c>
      <c r="U398">
        <v>0</v>
      </c>
      <c r="V398" t="s">
        <v>1121</v>
      </c>
      <c r="W398" t="s">
        <v>1194</v>
      </c>
      <c r="X398" t="s">
        <v>973</v>
      </c>
      <c r="Y398">
        <v>10000</v>
      </c>
      <c r="Z398" s="2">
        <v>2</v>
      </c>
      <c r="AA398" s="2" t="s">
        <v>1238</v>
      </c>
      <c r="AB398" t="s">
        <v>1238</v>
      </c>
      <c r="AC398">
        <v>707</v>
      </c>
      <c r="AD398" t="s">
        <v>1279</v>
      </c>
      <c r="AE398">
        <v>4</v>
      </c>
      <c r="AF398" t="s">
        <v>1290</v>
      </c>
      <c r="AG398">
        <v>0</v>
      </c>
      <c r="AH398">
        <v>0</v>
      </c>
      <c r="AI398">
        <v>0</v>
      </c>
      <c r="AJ398">
        <v>1925</v>
      </c>
      <c r="AK398">
        <v>2013</v>
      </c>
      <c r="AL398">
        <v>2013</v>
      </c>
      <c r="AM398" s="4" t="s">
        <v>1238</v>
      </c>
      <c r="AN398">
        <v>1</v>
      </c>
      <c r="AO398" t="s">
        <v>1315</v>
      </c>
      <c r="AP398">
        <f t="shared" si="12"/>
        <v>0</v>
      </c>
      <c r="AQ398">
        <v>1</v>
      </c>
      <c r="AR398" t="s">
        <v>1992</v>
      </c>
      <c r="AS398" t="s">
        <v>1996</v>
      </c>
      <c r="AT398" t="s">
        <v>1995</v>
      </c>
      <c r="AU398" t="s">
        <v>1995</v>
      </c>
      <c r="AV398" t="s">
        <v>1995</v>
      </c>
      <c r="AW398" t="s">
        <v>1995</v>
      </c>
      <c r="AX398" t="s">
        <v>2006</v>
      </c>
      <c r="AY398" t="s">
        <v>1996</v>
      </c>
      <c r="AZ398">
        <v>2990</v>
      </c>
      <c r="BA398" t="s">
        <v>1194</v>
      </c>
      <c r="BB398" t="s">
        <v>1194</v>
      </c>
      <c r="BC398" s="3">
        <v>6747.3702000000003</v>
      </c>
      <c r="BD398" s="3">
        <v>5787.48</v>
      </c>
      <c r="BE398" s="3">
        <v>0</v>
      </c>
      <c r="BF398" s="3">
        <v>0</v>
      </c>
      <c r="BG398" s="3">
        <v>150</v>
      </c>
      <c r="BH398" s="3">
        <v>0</v>
      </c>
      <c r="BI398" s="3">
        <v>0</v>
      </c>
      <c r="BJ398" s="3">
        <v>12685</v>
      </c>
      <c r="BK398" s="3">
        <v>0</v>
      </c>
      <c r="BL398" s="3">
        <v>12685</v>
      </c>
      <c r="BM398" s="2">
        <f t="shared" ca="1" si="13"/>
        <v>2</v>
      </c>
      <c r="BN398" s="3">
        <v>50000</v>
      </c>
      <c r="BO398" s="3">
        <v>100000</v>
      </c>
      <c r="BP398" s="3">
        <v>50000</v>
      </c>
      <c r="BQ398" s="3">
        <v>500000</v>
      </c>
      <c r="BR398" s="3">
        <v>250000</v>
      </c>
      <c r="BS398">
        <v>500000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 t="s">
        <v>2942</v>
      </c>
      <c r="CA398" t="s">
        <v>2006</v>
      </c>
      <c r="CB398" t="s">
        <v>2945</v>
      </c>
    </row>
    <row r="399" spans="1:80" x14ac:dyDescent="0.25">
      <c r="A399">
        <v>398</v>
      </c>
      <c r="B399" t="s">
        <v>2414</v>
      </c>
      <c r="C399" s="1">
        <v>44867</v>
      </c>
      <c r="D399" s="2">
        <v>33</v>
      </c>
      <c r="E399" t="s">
        <v>4</v>
      </c>
      <c r="F399" t="s">
        <v>1311</v>
      </c>
      <c r="G399">
        <v>0</v>
      </c>
      <c r="H399" s="3">
        <v>5609000</v>
      </c>
      <c r="I399" s="3">
        <v>1202000</v>
      </c>
      <c r="J399" s="3">
        <v>0</v>
      </c>
      <c r="K399" s="3">
        <v>0</v>
      </c>
      <c r="L399" s="3" t="s">
        <v>1191</v>
      </c>
      <c r="M399">
        <v>1733966</v>
      </c>
      <c r="N399" t="s">
        <v>744</v>
      </c>
      <c r="P399" t="s">
        <v>453</v>
      </c>
      <c r="Q399" t="s">
        <v>19</v>
      </c>
      <c r="R399">
        <v>90210</v>
      </c>
      <c r="S399" t="s">
        <v>46</v>
      </c>
      <c r="T399" t="s">
        <v>965</v>
      </c>
      <c r="U399">
        <v>0</v>
      </c>
      <c r="V399">
        <v>34</v>
      </c>
      <c r="W399" t="s">
        <v>1221</v>
      </c>
      <c r="X399" t="s">
        <v>973</v>
      </c>
      <c r="Y399">
        <v>10000</v>
      </c>
      <c r="Z399" s="2" t="s">
        <v>1194</v>
      </c>
      <c r="AA399" s="2" t="s">
        <v>1238</v>
      </c>
      <c r="AB399" t="s">
        <v>1238</v>
      </c>
      <c r="AC399" t="s">
        <v>1194</v>
      </c>
      <c r="AD399" t="s">
        <v>1279</v>
      </c>
      <c r="AE399">
        <v>1</v>
      </c>
      <c r="AF399" t="s">
        <v>1290</v>
      </c>
      <c r="AG399">
        <v>0</v>
      </c>
      <c r="AH399">
        <v>0</v>
      </c>
      <c r="AI399">
        <v>0</v>
      </c>
      <c r="AJ399">
        <v>1928</v>
      </c>
      <c r="AK399">
        <v>2021</v>
      </c>
      <c r="AL399">
        <v>2021</v>
      </c>
      <c r="AM399" s="4" t="s">
        <v>1238</v>
      </c>
      <c r="AN399">
        <v>1</v>
      </c>
      <c r="AO399" t="s">
        <v>1316</v>
      </c>
      <c r="AP399">
        <f t="shared" si="12"/>
        <v>0</v>
      </c>
      <c r="AQ399">
        <v>0</v>
      </c>
      <c r="AR399" t="s">
        <v>1993</v>
      </c>
      <c r="AS399" t="s">
        <v>1995</v>
      </c>
      <c r="AT399" t="s">
        <v>1995</v>
      </c>
      <c r="AU399" t="s">
        <v>1996</v>
      </c>
      <c r="AV399" t="s">
        <v>1996</v>
      </c>
      <c r="AW399" t="s">
        <v>1996</v>
      </c>
      <c r="AX399" t="s">
        <v>1194</v>
      </c>
      <c r="AY399" t="s">
        <v>1996</v>
      </c>
      <c r="AZ399">
        <v>7675</v>
      </c>
      <c r="BA399">
        <v>3</v>
      </c>
      <c r="BB399" t="s">
        <v>2016</v>
      </c>
      <c r="BC399" s="3">
        <v>0</v>
      </c>
      <c r="BD399" s="3">
        <v>0</v>
      </c>
      <c r="BE399" s="3">
        <v>30038.78</v>
      </c>
      <c r="BF399" s="3">
        <v>15663.32</v>
      </c>
      <c r="BG399" s="3">
        <v>0</v>
      </c>
      <c r="BH399" s="3">
        <v>0</v>
      </c>
      <c r="BI399" s="3">
        <v>0</v>
      </c>
      <c r="BJ399" s="3">
        <v>45702.1</v>
      </c>
      <c r="BK399" s="3">
        <v>0</v>
      </c>
      <c r="BL399" s="3">
        <v>45702.1</v>
      </c>
      <c r="BM399" s="2">
        <f t="shared" ca="1" si="13"/>
        <v>1</v>
      </c>
      <c r="BN399" s="3">
        <v>500000</v>
      </c>
      <c r="BO399" s="3">
        <v>25000</v>
      </c>
      <c r="BP399" s="3">
        <v>100000</v>
      </c>
      <c r="BQ399" s="3">
        <v>50000</v>
      </c>
      <c r="BR399" s="3">
        <v>500000</v>
      </c>
      <c r="BS399">
        <v>1000000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 t="s">
        <v>2948</v>
      </c>
      <c r="CA399" t="s">
        <v>1194</v>
      </c>
      <c r="CB399" t="s">
        <v>2949</v>
      </c>
    </row>
    <row r="400" spans="1:80" x14ac:dyDescent="0.25">
      <c r="A400">
        <v>399</v>
      </c>
      <c r="B400" t="s">
        <v>2415</v>
      </c>
      <c r="C400" s="1">
        <v>44769</v>
      </c>
      <c r="D400" s="2">
        <v>21</v>
      </c>
      <c r="E400" t="s">
        <v>4</v>
      </c>
      <c r="F400" t="s">
        <v>1311</v>
      </c>
      <c r="G400">
        <v>0</v>
      </c>
      <c r="H400" s="3">
        <v>15227085</v>
      </c>
      <c r="I400" s="3">
        <v>80000</v>
      </c>
      <c r="J400" s="3">
        <v>0</v>
      </c>
      <c r="K400" s="3">
        <v>0</v>
      </c>
      <c r="L400" s="3" t="s">
        <v>1191</v>
      </c>
      <c r="M400">
        <v>1733970</v>
      </c>
      <c r="N400" t="s">
        <v>745</v>
      </c>
      <c r="P400" t="s">
        <v>29</v>
      </c>
      <c r="Q400" t="s">
        <v>14</v>
      </c>
      <c r="R400">
        <v>10021</v>
      </c>
      <c r="S400" t="s">
        <v>29</v>
      </c>
      <c r="T400" t="s">
        <v>962</v>
      </c>
      <c r="U400">
        <v>0</v>
      </c>
      <c r="V400" t="s">
        <v>1009</v>
      </c>
      <c r="W400" t="s">
        <v>1194</v>
      </c>
      <c r="X400" t="s">
        <v>973</v>
      </c>
      <c r="Y400">
        <v>100000</v>
      </c>
      <c r="Z400" s="2">
        <v>1.000000985</v>
      </c>
      <c r="AA400" s="2" t="s">
        <v>1238</v>
      </c>
      <c r="AB400" t="s">
        <v>1238</v>
      </c>
      <c r="AC400" t="s">
        <v>1194</v>
      </c>
      <c r="AD400" t="s">
        <v>1280</v>
      </c>
      <c r="AE400">
        <v>1</v>
      </c>
      <c r="AF400" t="s">
        <v>1290</v>
      </c>
      <c r="AG400">
        <v>1</v>
      </c>
      <c r="AH400">
        <v>0</v>
      </c>
      <c r="AI400">
        <v>1</v>
      </c>
      <c r="AJ400">
        <v>1899</v>
      </c>
      <c r="AK400" t="s">
        <v>1194</v>
      </c>
      <c r="AL400">
        <v>2009</v>
      </c>
      <c r="AM400" s="4" t="s">
        <v>1238</v>
      </c>
      <c r="AN400">
        <v>0</v>
      </c>
      <c r="AO400" t="s">
        <v>1315</v>
      </c>
      <c r="AP400">
        <f t="shared" si="12"/>
        <v>1</v>
      </c>
      <c r="AQ400">
        <v>1</v>
      </c>
      <c r="AR400" t="s">
        <v>1992</v>
      </c>
      <c r="AS400" t="s">
        <v>1996</v>
      </c>
      <c r="AT400" t="s">
        <v>1995</v>
      </c>
      <c r="AU400" t="s">
        <v>1996</v>
      </c>
      <c r="AV400" t="s">
        <v>1995</v>
      </c>
      <c r="AW400" t="s">
        <v>1996</v>
      </c>
      <c r="AX400" t="s">
        <v>2003</v>
      </c>
      <c r="AY400" t="s">
        <v>1996</v>
      </c>
      <c r="AZ400">
        <v>7320</v>
      </c>
      <c r="BA400" t="s">
        <v>1194</v>
      </c>
      <c r="BB400" t="s">
        <v>1194</v>
      </c>
      <c r="BC400" s="3">
        <v>58583.229399999997</v>
      </c>
      <c r="BD400" s="3">
        <v>12211.34</v>
      </c>
      <c r="BE400" s="3">
        <v>0</v>
      </c>
      <c r="BF400" s="3">
        <v>0</v>
      </c>
      <c r="BG400" s="3">
        <v>150</v>
      </c>
      <c r="BH400" s="3">
        <v>0</v>
      </c>
      <c r="BI400" s="3">
        <v>12166</v>
      </c>
      <c r="BJ400" s="3">
        <v>83111</v>
      </c>
      <c r="BK400" s="3">
        <v>1000</v>
      </c>
      <c r="BL400" s="3">
        <v>84111</v>
      </c>
      <c r="BM400" s="2">
        <f t="shared" ca="1" si="13"/>
        <v>2</v>
      </c>
      <c r="BN400" s="3">
        <v>100000</v>
      </c>
      <c r="BO400" s="3">
        <v>20000</v>
      </c>
      <c r="BP400" s="3" t="s">
        <v>2922</v>
      </c>
      <c r="BQ400" s="3">
        <v>500000</v>
      </c>
      <c r="BR400" s="3">
        <v>100000</v>
      </c>
      <c r="BS400">
        <v>100000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 t="s">
        <v>2006</v>
      </c>
      <c r="CA400" t="s">
        <v>2006</v>
      </c>
      <c r="CB400" t="s">
        <v>2946</v>
      </c>
    </row>
    <row r="401" spans="1:80" x14ac:dyDescent="0.25">
      <c r="A401">
        <v>400</v>
      </c>
      <c r="B401" t="s">
        <v>2416</v>
      </c>
      <c r="C401" s="1">
        <v>44867</v>
      </c>
      <c r="D401" s="2">
        <v>33</v>
      </c>
      <c r="E401" t="s">
        <v>4</v>
      </c>
      <c r="F401" t="s">
        <v>1311</v>
      </c>
      <c r="G401">
        <v>1</v>
      </c>
      <c r="H401" s="3">
        <v>2700000</v>
      </c>
      <c r="I401" s="3">
        <v>270000</v>
      </c>
      <c r="J401" s="3">
        <v>0</v>
      </c>
      <c r="K401" s="3">
        <v>0</v>
      </c>
      <c r="L401" s="3" t="s">
        <v>1191</v>
      </c>
      <c r="M401">
        <v>1781323</v>
      </c>
      <c r="N401" t="s">
        <v>746</v>
      </c>
      <c r="P401" t="s">
        <v>399</v>
      </c>
      <c r="Q401" t="s">
        <v>13</v>
      </c>
      <c r="R401">
        <v>1810</v>
      </c>
      <c r="S401" t="s">
        <v>75</v>
      </c>
      <c r="T401" t="s">
        <v>968</v>
      </c>
      <c r="U401">
        <v>0</v>
      </c>
      <c r="V401" t="s">
        <v>1075</v>
      </c>
      <c r="W401" t="s">
        <v>1194</v>
      </c>
      <c r="X401" t="s">
        <v>973</v>
      </c>
      <c r="Y401">
        <v>10000</v>
      </c>
      <c r="Z401" s="2">
        <v>1</v>
      </c>
      <c r="AA401" s="2" t="s">
        <v>1238</v>
      </c>
      <c r="AB401" t="s">
        <v>1238</v>
      </c>
      <c r="AC401">
        <v>644</v>
      </c>
      <c r="AD401" t="s">
        <v>1279</v>
      </c>
      <c r="AE401">
        <v>3</v>
      </c>
      <c r="AF401" t="s">
        <v>1290</v>
      </c>
      <c r="AG401">
        <v>0</v>
      </c>
      <c r="AH401">
        <v>0</v>
      </c>
      <c r="AI401">
        <v>0</v>
      </c>
      <c r="AJ401">
        <v>1900</v>
      </c>
      <c r="AK401" t="s">
        <v>1194</v>
      </c>
      <c r="AL401" t="s">
        <v>1194</v>
      </c>
      <c r="AM401" s="4" t="s">
        <v>1238</v>
      </c>
      <c r="AN401">
        <v>1</v>
      </c>
      <c r="AO401" t="s">
        <v>1315</v>
      </c>
      <c r="AP401">
        <f t="shared" si="12"/>
        <v>0</v>
      </c>
      <c r="AQ401">
        <v>0</v>
      </c>
      <c r="AR401" t="s">
        <v>1993</v>
      </c>
      <c r="AS401" t="s">
        <v>1995</v>
      </c>
      <c r="AT401" t="s">
        <v>1995</v>
      </c>
      <c r="AU401" t="s">
        <v>1996</v>
      </c>
      <c r="AV401" t="s">
        <v>1996</v>
      </c>
      <c r="AW401" t="s">
        <v>1996</v>
      </c>
      <c r="AX401" t="s">
        <v>2006</v>
      </c>
      <c r="AY401" t="s">
        <v>1996</v>
      </c>
      <c r="AZ401">
        <v>6486</v>
      </c>
      <c r="BA401" t="s">
        <v>1194</v>
      </c>
      <c r="BB401" t="s">
        <v>1194</v>
      </c>
      <c r="BC401" s="3">
        <v>7339.8621000000003</v>
      </c>
      <c r="BD401" s="3">
        <v>2065.61</v>
      </c>
      <c r="BE401" s="3">
        <v>0</v>
      </c>
      <c r="BF401" s="3">
        <v>0</v>
      </c>
      <c r="BG401" s="3">
        <v>150</v>
      </c>
      <c r="BH401" s="3">
        <v>0</v>
      </c>
      <c r="BI401" s="3">
        <v>5401</v>
      </c>
      <c r="BJ401" s="3">
        <v>14956</v>
      </c>
      <c r="BK401" s="3">
        <v>0</v>
      </c>
      <c r="BL401" s="3">
        <v>14956</v>
      </c>
      <c r="BM401" s="2">
        <f t="shared" ca="1" si="13"/>
        <v>1</v>
      </c>
      <c r="BN401" s="3">
        <v>500000</v>
      </c>
      <c r="BO401" s="3">
        <v>500000</v>
      </c>
      <c r="BP401" s="3" t="s">
        <v>2922</v>
      </c>
      <c r="BQ401" s="3">
        <v>100000</v>
      </c>
      <c r="BR401" s="3">
        <v>50000</v>
      </c>
      <c r="BS401">
        <v>50000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 t="s">
        <v>2942</v>
      </c>
      <c r="CA401" t="s">
        <v>2006</v>
      </c>
      <c r="CB401" t="s">
        <v>2941</v>
      </c>
    </row>
    <row r="402" spans="1:80" x14ac:dyDescent="0.25">
      <c r="A402">
        <v>401</v>
      </c>
      <c r="B402" t="s">
        <v>2417</v>
      </c>
      <c r="C402" s="1">
        <v>44803</v>
      </c>
      <c r="D402" s="2">
        <v>24</v>
      </c>
      <c r="E402" t="s">
        <v>4</v>
      </c>
      <c r="F402" t="s">
        <v>1311</v>
      </c>
      <c r="G402">
        <v>1</v>
      </c>
      <c r="H402" s="3">
        <v>1552000</v>
      </c>
      <c r="I402" s="3">
        <v>0</v>
      </c>
      <c r="J402" s="3">
        <v>0</v>
      </c>
      <c r="K402" s="3">
        <v>0</v>
      </c>
      <c r="L402" s="3" t="s">
        <v>1191</v>
      </c>
      <c r="M402">
        <v>1971652</v>
      </c>
      <c r="N402" t="s">
        <v>747</v>
      </c>
      <c r="P402" t="s">
        <v>748</v>
      </c>
      <c r="Q402" t="s">
        <v>17</v>
      </c>
      <c r="R402">
        <v>29585</v>
      </c>
      <c r="S402" t="s">
        <v>94</v>
      </c>
      <c r="T402" t="s">
        <v>969</v>
      </c>
      <c r="U402">
        <v>1</v>
      </c>
      <c r="V402" t="s">
        <v>1119</v>
      </c>
      <c r="W402" t="s">
        <v>1194</v>
      </c>
      <c r="X402" t="s">
        <v>1309</v>
      </c>
      <c r="Y402">
        <v>10000</v>
      </c>
      <c r="Z402" s="2">
        <v>5</v>
      </c>
      <c r="AA402" s="2" t="s">
        <v>1238</v>
      </c>
      <c r="AB402" t="s">
        <v>1238</v>
      </c>
      <c r="AC402">
        <v>762</v>
      </c>
      <c r="AD402" t="s">
        <v>1279</v>
      </c>
      <c r="AE402">
        <v>2</v>
      </c>
      <c r="AF402" t="s">
        <v>1292</v>
      </c>
      <c r="AG402">
        <v>0</v>
      </c>
      <c r="AH402">
        <v>0</v>
      </c>
      <c r="AI402">
        <v>0</v>
      </c>
      <c r="AJ402">
        <v>2022</v>
      </c>
      <c r="AK402" t="s">
        <v>1194</v>
      </c>
      <c r="AL402" t="s">
        <v>1194</v>
      </c>
      <c r="AM402" s="4" t="s">
        <v>1238</v>
      </c>
      <c r="AN402">
        <v>0</v>
      </c>
      <c r="AO402" t="s">
        <v>1317</v>
      </c>
      <c r="AP402">
        <f t="shared" si="12"/>
        <v>0</v>
      </c>
      <c r="AQ402">
        <v>1</v>
      </c>
      <c r="AR402" t="s">
        <v>1992</v>
      </c>
      <c r="AS402" t="s">
        <v>1996</v>
      </c>
      <c r="AT402" t="s">
        <v>1996</v>
      </c>
      <c r="AU402" t="s">
        <v>1995</v>
      </c>
      <c r="AV402" t="s">
        <v>1996</v>
      </c>
      <c r="AW402" t="s">
        <v>1995</v>
      </c>
      <c r="AX402" t="s">
        <v>2007</v>
      </c>
      <c r="AY402" t="s">
        <v>1995</v>
      </c>
      <c r="AZ402">
        <v>3824</v>
      </c>
      <c r="BA402" t="s">
        <v>1194</v>
      </c>
      <c r="BB402" t="s">
        <v>1194</v>
      </c>
      <c r="BC402" s="3">
        <v>2853.4648000000002</v>
      </c>
      <c r="BD402" s="3">
        <v>6357.74</v>
      </c>
      <c r="BE402" s="3">
        <v>0</v>
      </c>
      <c r="BF402" s="3">
        <v>0</v>
      </c>
      <c r="BG402" s="3">
        <v>150</v>
      </c>
      <c r="BH402" s="3">
        <v>0</v>
      </c>
      <c r="BI402" s="3">
        <v>4957</v>
      </c>
      <c r="BJ402" s="3">
        <v>14318</v>
      </c>
      <c r="BK402" s="3">
        <v>200</v>
      </c>
      <c r="BL402" s="3">
        <v>14518</v>
      </c>
      <c r="BM402" s="2">
        <f t="shared" ca="1" si="13"/>
        <v>5</v>
      </c>
      <c r="BN402" s="3" t="s">
        <v>2916</v>
      </c>
      <c r="BO402" s="3">
        <v>25000</v>
      </c>
      <c r="BP402" s="3">
        <v>100000</v>
      </c>
      <c r="BQ402" s="3">
        <v>50000</v>
      </c>
      <c r="BR402" s="3">
        <v>50000</v>
      </c>
      <c r="BS402">
        <v>250000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 t="s">
        <v>2943</v>
      </c>
      <c r="CA402" t="s">
        <v>2944</v>
      </c>
      <c r="CB402" t="s">
        <v>2945</v>
      </c>
    </row>
    <row r="403" spans="1:80" x14ac:dyDescent="0.25">
      <c r="A403">
        <v>402</v>
      </c>
      <c r="B403" t="s">
        <v>2418</v>
      </c>
      <c r="C403" s="1">
        <v>44968</v>
      </c>
      <c r="D403" s="2">
        <v>6</v>
      </c>
      <c r="E403" t="s">
        <v>4</v>
      </c>
      <c r="F403" t="s">
        <v>1310</v>
      </c>
      <c r="G403">
        <v>0</v>
      </c>
      <c r="H403" s="3">
        <v>758209</v>
      </c>
      <c r="I403" s="3">
        <v>0</v>
      </c>
      <c r="J403" s="3">
        <v>0</v>
      </c>
      <c r="K403" s="3">
        <v>0</v>
      </c>
      <c r="L403" s="3" t="s">
        <v>1191</v>
      </c>
      <c r="M403">
        <v>1739891</v>
      </c>
      <c r="N403" t="s">
        <v>749</v>
      </c>
      <c r="P403" t="s">
        <v>178</v>
      </c>
      <c r="Q403" t="s">
        <v>18</v>
      </c>
      <c r="R403">
        <v>77005</v>
      </c>
      <c r="S403" t="s">
        <v>44</v>
      </c>
      <c r="T403" t="s">
        <v>968</v>
      </c>
      <c r="U403">
        <v>0</v>
      </c>
      <c r="V403" t="s">
        <v>1007</v>
      </c>
      <c r="W403" t="s">
        <v>1195</v>
      </c>
      <c r="X403" t="s">
        <v>973</v>
      </c>
      <c r="Y403">
        <v>10000</v>
      </c>
      <c r="Z403" s="2">
        <v>1.99997626</v>
      </c>
      <c r="AA403" s="2">
        <v>0</v>
      </c>
      <c r="AB403" t="s">
        <v>1238</v>
      </c>
      <c r="AC403">
        <v>812</v>
      </c>
      <c r="AD403" t="s">
        <v>1284</v>
      </c>
      <c r="AE403">
        <v>1</v>
      </c>
      <c r="AF403" t="s">
        <v>1290</v>
      </c>
      <c r="AG403">
        <v>0</v>
      </c>
      <c r="AH403">
        <v>0</v>
      </c>
      <c r="AI403">
        <v>0</v>
      </c>
      <c r="AJ403">
        <v>1952</v>
      </c>
      <c r="AK403">
        <v>2000</v>
      </c>
      <c r="AL403">
        <v>2000</v>
      </c>
      <c r="AM403" s="4" t="s">
        <v>1305</v>
      </c>
      <c r="AN403">
        <v>1</v>
      </c>
      <c r="AO403" t="s">
        <v>1317</v>
      </c>
      <c r="AP403">
        <f t="shared" si="12"/>
        <v>0</v>
      </c>
      <c r="AQ403">
        <v>0</v>
      </c>
      <c r="AR403" t="s">
        <v>1993</v>
      </c>
      <c r="AS403" t="s">
        <v>1995</v>
      </c>
      <c r="AT403" t="s">
        <v>1995</v>
      </c>
      <c r="AU403" t="s">
        <v>1995</v>
      </c>
      <c r="AV403" t="s">
        <v>1996</v>
      </c>
      <c r="AW403" t="s">
        <v>1996</v>
      </c>
      <c r="AX403" t="s">
        <v>2006</v>
      </c>
      <c r="AY403" t="s">
        <v>1996</v>
      </c>
      <c r="AZ403">
        <v>2237</v>
      </c>
      <c r="BA403" t="s">
        <v>1194</v>
      </c>
      <c r="BB403" t="s">
        <v>1194</v>
      </c>
      <c r="BC403" s="3">
        <v>1938.6833999999999</v>
      </c>
      <c r="BD403" s="3">
        <v>3473.01</v>
      </c>
      <c r="BE403" s="3">
        <v>0</v>
      </c>
      <c r="BF403" s="3">
        <v>0</v>
      </c>
      <c r="BG403" s="3">
        <v>0</v>
      </c>
      <c r="BH403" s="3">
        <v>0</v>
      </c>
      <c r="BI403" s="3">
        <v>2189</v>
      </c>
      <c r="BJ403" s="3">
        <v>7601</v>
      </c>
      <c r="BK403" s="3">
        <v>0</v>
      </c>
      <c r="BL403" s="3">
        <v>7601</v>
      </c>
      <c r="BM403" s="2">
        <f t="shared" ca="1" si="13"/>
        <v>4</v>
      </c>
      <c r="BN403" s="3">
        <v>2000000</v>
      </c>
      <c r="BO403" s="3">
        <v>25000</v>
      </c>
      <c r="BP403" s="3">
        <v>100000</v>
      </c>
      <c r="BQ403" s="3">
        <v>250000</v>
      </c>
      <c r="BR403" s="3">
        <v>1000000</v>
      </c>
      <c r="BS403">
        <v>1000000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 t="s">
        <v>2942</v>
      </c>
      <c r="CA403" t="s">
        <v>2006</v>
      </c>
      <c r="CB403" t="s">
        <v>2941</v>
      </c>
    </row>
    <row r="404" spans="1:80" x14ac:dyDescent="0.25">
      <c r="A404">
        <v>403</v>
      </c>
      <c r="B404" t="s">
        <v>2419</v>
      </c>
      <c r="C404" s="1">
        <v>44705</v>
      </c>
      <c r="D404" s="2">
        <v>15</v>
      </c>
      <c r="E404" t="s">
        <v>4</v>
      </c>
      <c r="F404" t="s">
        <v>1311</v>
      </c>
      <c r="G404">
        <v>0</v>
      </c>
      <c r="H404" s="3">
        <v>0</v>
      </c>
      <c r="I404" s="3">
        <v>0</v>
      </c>
      <c r="J404" s="3">
        <v>1350000</v>
      </c>
      <c r="K404" s="3">
        <v>0</v>
      </c>
      <c r="L404" s="3" t="s">
        <v>1192</v>
      </c>
      <c r="M404">
        <v>1920879</v>
      </c>
      <c r="N404" t="s">
        <v>750</v>
      </c>
      <c r="O404" t="s">
        <v>751</v>
      </c>
      <c r="P404" t="s">
        <v>29</v>
      </c>
      <c r="Q404" t="s">
        <v>14</v>
      </c>
      <c r="R404">
        <v>10028</v>
      </c>
      <c r="S404" t="s">
        <v>29</v>
      </c>
      <c r="T404" t="s">
        <v>968</v>
      </c>
      <c r="U404">
        <v>0</v>
      </c>
      <c r="V404" t="s">
        <v>1000</v>
      </c>
      <c r="W404" t="s">
        <v>1194</v>
      </c>
      <c r="X404" t="s">
        <v>973</v>
      </c>
      <c r="Y404">
        <v>10000</v>
      </c>
      <c r="Z404" s="2">
        <v>2</v>
      </c>
      <c r="AA404" s="2" t="s">
        <v>1238</v>
      </c>
      <c r="AB404" t="s">
        <v>1238</v>
      </c>
      <c r="AC404">
        <v>758</v>
      </c>
      <c r="AD404" t="s">
        <v>1281</v>
      </c>
      <c r="AE404">
        <v>1</v>
      </c>
      <c r="AF404" t="s">
        <v>1290</v>
      </c>
      <c r="AG404">
        <v>0</v>
      </c>
      <c r="AH404">
        <v>0</v>
      </c>
      <c r="AI404">
        <v>0</v>
      </c>
      <c r="AJ404">
        <v>1917</v>
      </c>
      <c r="AK404">
        <v>2022</v>
      </c>
      <c r="AL404" t="s">
        <v>1194</v>
      </c>
      <c r="AM404" s="4" t="s">
        <v>1238</v>
      </c>
      <c r="AN404">
        <v>1</v>
      </c>
      <c r="AO404" t="s">
        <v>1317</v>
      </c>
      <c r="AP404">
        <f t="shared" si="12"/>
        <v>0</v>
      </c>
      <c r="AQ404">
        <v>1</v>
      </c>
      <c r="AR404" t="s">
        <v>1992</v>
      </c>
      <c r="AS404" t="s">
        <v>1996</v>
      </c>
      <c r="AT404" t="s">
        <v>1995</v>
      </c>
      <c r="AU404" t="s">
        <v>1995</v>
      </c>
      <c r="AV404" t="s">
        <v>1995</v>
      </c>
      <c r="AW404" t="s">
        <v>1996</v>
      </c>
      <c r="AX404" t="s">
        <v>2006</v>
      </c>
      <c r="AY404" t="s">
        <v>1996</v>
      </c>
      <c r="AZ404">
        <v>1350</v>
      </c>
      <c r="BA404" t="s">
        <v>1194</v>
      </c>
      <c r="BB404" t="s">
        <v>1194</v>
      </c>
      <c r="BC404" s="3">
        <v>5613.1938</v>
      </c>
      <c r="BD404" s="3">
        <v>1222.8599999999999</v>
      </c>
      <c r="BE404" s="3">
        <v>0</v>
      </c>
      <c r="BF404" s="3">
        <v>0</v>
      </c>
      <c r="BG404" s="3">
        <v>150</v>
      </c>
      <c r="BH404" s="3">
        <v>0</v>
      </c>
      <c r="BI404" s="3">
        <v>1790</v>
      </c>
      <c r="BJ404" s="3">
        <v>8776</v>
      </c>
      <c r="BK404" s="3">
        <v>150</v>
      </c>
      <c r="BL404" s="3">
        <v>8926</v>
      </c>
      <c r="BM404" s="2">
        <f t="shared" ca="1" si="13"/>
        <v>6</v>
      </c>
      <c r="BN404" s="3">
        <v>2000000</v>
      </c>
      <c r="BO404" s="3">
        <v>250000</v>
      </c>
      <c r="BP404" s="3">
        <v>100000</v>
      </c>
      <c r="BQ404" s="3">
        <v>500000</v>
      </c>
      <c r="BR404" s="3">
        <v>1000000</v>
      </c>
      <c r="BS404">
        <v>100000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 t="s">
        <v>2942</v>
      </c>
      <c r="CA404" t="s">
        <v>2006</v>
      </c>
      <c r="CB404" t="s">
        <v>2946</v>
      </c>
    </row>
    <row r="405" spans="1:80" x14ac:dyDescent="0.25">
      <c r="A405">
        <v>404</v>
      </c>
      <c r="B405" t="s">
        <v>2420</v>
      </c>
      <c r="C405" s="1">
        <v>44895</v>
      </c>
      <c r="D405" s="2">
        <v>33</v>
      </c>
      <c r="E405" t="s">
        <v>4</v>
      </c>
      <c r="F405" t="s">
        <v>1311</v>
      </c>
      <c r="G405">
        <v>1</v>
      </c>
      <c r="H405" s="3">
        <v>0</v>
      </c>
      <c r="I405" s="3">
        <v>0</v>
      </c>
      <c r="J405" s="3">
        <v>1200000</v>
      </c>
      <c r="K405" s="3">
        <v>0</v>
      </c>
      <c r="L405" s="3" t="s">
        <v>1192</v>
      </c>
      <c r="M405">
        <v>2013977</v>
      </c>
      <c r="N405" t="s">
        <v>752</v>
      </c>
      <c r="O405" t="s">
        <v>753</v>
      </c>
      <c r="P405" t="s">
        <v>29</v>
      </c>
      <c r="Q405" t="s">
        <v>14</v>
      </c>
      <c r="R405">
        <v>10022</v>
      </c>
      <c r="S405" t="s">
        <v>29</v>
      </c>
      <c r="T405" t="s">
        <v>962</v>
      </c>
      <c r="U405">
        <v>0</v>
      </c>
      <c r="V405" t="s">
        <v>1090</v>
      </c>
      <c r="W405" t="s">
        <v>1194</v>
      </c>
      <c r="X405" t="s">
        <v>973</v>
      </c>
      <c r="Y405">
        <v>10000</v>
      </c>
      <c r="Z405" s="2">
        <v>2</v>
      </c>
      <c r="AA405" s="2" t="s">
        <v>1238</v>
      </c>
      <c r="AB405" t="s">
        <v>1238</v>
      </c>
      <c r="AC405">
        <v>847</v>
      </c>
      <c r="AD405" t="s">
        <v>1281</v>
      </c>
      <c r="AE405">
        <v>1</v>
      </c>
      <c r="AF405" t="s">
        <v>1290</v>
      </c>
      <c r="AG405">
        <v>0</v>
      </c>
      <c r="AH405">
        <v>0</v>
      </c>
      <c r="AI405">
        <v>0</v>
      </c>
      <c r="AJ405">
        <v>1960</v>
      </c>
      <c r="AK405" t="s">
        <v>1194</v>
      </c>
      <c r="AL405" t="s">
        <v>1194</v>
      </c>
      <c r="AM405" s="4" t="s">
        <v>1238</v>
      </c>
      <c r="AN405">
        <v>1</v>
      </c>
      <c r="AO405" t="s">
        <v>1316</v>
      </c>
      <c r="AP405">
        <f t="shared" si="12"/>
        <v>0</v>
      </c>
      <c r="AQ405">
        <v>1</v>
      </c>
      <c r="AR405" t="s">
        <v>1992</v>
      </c>
      <c r="AS405" t="s">
        <v>1995</v>
      </c>
      <c r="AT405" t="s">
        <v>1996</v>
      </c>
      <c r="AU405" t="s">
        <v>1996</v>
      </c>
      <c r="AV405" t="s">
        <v>1995</v>
      </c>
      <c r="AW405" t="s">
        <v>1995</v>
      </c>
      <c r="AX405" t="s">
        <v>2006</v>
      </c>
      <c r="AY405" t="s">
        <v>1996</v>
      </c>
      <c r="AZ405">
        <v>2000</v>
      </c>
      <c r="BA405" t="s">
        <v>1194</v>
      </c>
      <c r="BB405" t="s">
        <v>1194</v>
      </c>
      <c r="BC405" s="3">
        <v>4382.6669000000002</v>
      </c>
      <c r="BD405" s="3">
        <v>851.56</v>
      </c>
      <c r="BE405" s="3">
        <v>0</v>
      </c>
      <c r="BF405" s="3">
        <v>0</v>
      </c>
      <c r="BG405" s="3">
        <v>150</v>
      </c>
      <c r="BH405" s="3">
        <v>0</v>
      </c>
      <c r="BI405" s="3">
        <v>2336</v>
      </c>
      <c r="BJ405" s="3">
        <v>7720</v>
      </c>
      <c r="BK405" s="3">
        <v>0</v>
      </c>
      <c r="BL405" s="3">
        <v>7720</v>
      </c>
      <c r="BM405" s="2">
        <f t="shared" ca="1" si="13"/>
        <v>2</v>
      </c>
      <c r="BN405" s="3">
        <v>50000</v>
      </c>
      <c r="BO405" s="3">
        <v>2000000</v>
      </c>
      <c r="BP405" s="3">
        <v>50000</v>
      </c>
      <c r="BQ405" s="3">
        <v>100000</v>
      </c>
      <c r="BR405" s="3">
        <v>500000</v>
      </c>
      <c r="BS405">
        <v>500000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 t="s">
        <v>2006</v>
      </c>
      <c r="CA405" t="s">
        <v>2006</v>
      </c>
      <c r="CB405" t="s">
        <v>2006</v>
      </c>
    </row>
    <row r="406" spans="1:80" x14ac:dyDescent="0.25">
      <c r="A406">
        <v>405</v>
      </c>
      <c r="B406" t="s">
        <v>2420</v>
      </c>
      <c r="C406" s="1">
        <v>44895</v>
      </c>
      <c r="D406" s="2">
        <v>33</v>
      </c>
      <c r="E406" t="s">
        <v>4</v>
      </c>
      <c r="F406" t="s">
        <v>1311</v>
      </c>
      <c r="G406">
        <v>0</v>
      </c>
      <c r="H406" s="3">
        <v>0</v>
      </c>
      <c r="I406" s="3">
        <v>0</v>
      </c>
      <c r="J406" s="3">
        <v>50000</v>
      </c>
      <c r="K406" s="3">
        <v>0</v>
      </c>
      <c r="L406" s="3" t="s">
        <v>1192</v>
      </c>
      <c r="M406">
        <v>2031945</v>
      </c>
      <c r="N406" t="s">
        <v>752</v>
      </c>
      <c r="O406" t="s">
        <v>754</v>
      </c>
      <c r="P406" t="s">
        <v>29</v>
      </c>
      <c r="Q406" t="s">
        <v>14</v>
      </c>
      <c r="R406">
        <v>10022</v>
      </c>
      <c r="S406" t="s">
        <v>29</v>
      </c>
      <c r="T406" t="s">
        <v>962</v>
      </c>
      <c r="U406">
        <v>0</v>
      </c>
      <c r="V406" t="s">
        <v>1090</v>
      </c>
      <c r="W406" t="s">
        <v>1194</v>
      </c>
      <c r="X406" t="s">
        <v>973</v>
      </c>
      <c r="Y406">
        <v>5000</v>
      </c>
      <c r="Z406" s="2">
        <v>10</v>
      </c>
      <c r="AA406" s="2" t="s">
        <v>1238</v>
      </c>
      <c r="AB406" t="s">
        <v>1238</v>
      </c>
      <c r="AC406">
        <v>847</v>
      </c>
      <c r="AD406" t="s">
        <v>1281</v>
      </c>
      <c r="AE406">
        <v>1</v>
      </c>
      <c r="AF406" t="s">
        <v>1290</v>
      </c>
      <c r="AG406">
        <v>0</v>
      </c>
      <c r="AH406">
        <v>0</v>
      </c>
      <c r="AI406">
        <v>0</v>
      </c>
      <c r="AJ406">
        <v>1960</v>
      </c>
      <c r="AK406" t="s">
        <v>1194</v>
      </c>
      <c r="AL406" t="s">
        <v>1194</v>
      </c>
      <c r="AM406" s="4" t="s">
        <v>1238</v>
      </c>
      <c r="AN406">
        <v>0</v>
      </c>
      <c r="AO406" t="s">
        <v>1315</v>
      </c>
      <c r="AP406">
        <f t="shared" si="12"/>
        <v>0</v>
      </c>
      <c r="AQ406">
        <v>1</v>
      </c>
      <c r="AR406" t="s">
        <v>1992</v>
      </c>
      <c r="AS406" t="s">
        <v>1995</v>
      </c>
      <c r="AT406" t="s">
        <v>1995</v>
      </c>
      <c r="AU406" t="s">
        <v>1996</v>
      </c>
      <c r="AV406" t="s">
        <v>1996</v>
      </c>
      <c r="AW406" t="s">
        <v>1996</v>
      </c>
      <c r="AX406" t="s">
        <v>2006</v>
      </c>
      <c r="AY406" t="s">
        <v>1996</v>
      </c>
      <c r="AZ406">
        <v>150</v>
      </c>
      <c r="BA406" t="s">
        <v>1194</v>
      </c>
      <c r="BB406" t="s">
        <v>1194</v>
      </c>
      <c r="BC406" s="3">
        <v>354.63200000000001</v>
      </c>
      <c r="BD406" s="3">
        <v>47.84</v>
      </c>
      <c r="BE406" s="3">
        <v>0</v>
      </c>
      <c r="BF406" s="3">
        <v>0</v>
      </c>
      <c r="BG406" s="3">
        <v>150</v>
      </c>
      <c r="BH406" s="3">
        <v>0</v>
      </c>
      <c r="BI406" s="3">
        <v>-247</v>
      </c>
      <c r="BJ406" s="3">
        <v>305</v>
      </c>
      <c r="BK406" s="3">
        <v>0</v>
      </c>
      <c r="BL406" s="3">
        <v>305</v>
      </c>
      <c r="BM406" s="2">
        <f t="shared" ca="1" si="13"/>
        <v>1</v>
      </c>
      <c r="BN406" s="3">
        <v>500000</v>
      </c>
      <c r="BO406" s="3">
        <v>50000</v>
      </c>
      <c r="BP406" s="3">
        <v>50000</v>
      </c>
      <c r="BQ406" s="3">
        <v>2000000</v>
      </c>
      <c r="BR406" s="3">
        <v>50000</v>
      </c>
      <c r="BS406">
        <v>50000</v>
      </c>
      <c r="BT406">
        <v>0</v>
      </c>
      <c r="BU406">
        <v>0</v>
      </c>
      <c r="BV406">
        <v>0</v>
      </c>
      <c r="BW406">
        <v>0</v>
      </c>
      <c r="BX406">
        <v>1</v>
      </c>
      <c r="BY406">
        <v>0</v>
      </c>
      <c r="BZ406" t="s">
        <v>2006</v>
      </c>
      <c r="CA406" t="s">
        <v>2006</v>
      </c>
      <c r="CB406" t="s">
        <v>2006</v>
      </c>
    </row>
    <row r="407" spans="1:80" x14ac:dyDescent="0.25">
      <c r="A407">
        <v>406</v>
      </c>
      <c r="B407" t="s">
        <v>2421</v>
      </c>
      <c r="C407" s="1">
        <v>44687</v>
      </c>
      <c r="D407" s="2">
        <v>15</v>
      </c>
      <c r="E407" t="s">
        <v>4</v>
      </c>
      <c r="F407" t="s">
        <v>1311</v>
      </c>
      <c r="G407">
        <v>1</v>
      </c>
      <c r="H407" s="3">
        <v>0</v>
      </c>
      <c r="I407" s="3">
        <v>0</v>
      </c>
      <c r="J407" s="3">
        <v>1800000</v>
      </c>
      <c r="K407" s="3">
        <v>0</v>
      </c>
      <c r="L407" s="3" t="s">
        <v>1192</v>
      </c>
      <c r="M407">
        <v>1906617</v>
      </c>
      <c r="N407" t="s">
        <v>755</v>
      </c>
      <c r="O407" t="s">
        <v>756</v>
      </c>
      <c r="P407" t="s">
        <v>29</v>
      </c>
      <c r="Q407" t="s">
        <v>14</v>
      </c>
      <c r="R407">
        <v>10025</v>
      </c>
      <c r="S407" t="s">
        <v>29</v>
      </c>
      <c r="T407" t="s">
        <v>968</v>
      </c>
      <c r="U407">
        <v>0</v>
      </c>
      <c r="V407" t="s">
        <v>1148</v>
      </c>
      <c r="W407" t="s">
        <v>1194</v>
      </c>
      <c r="X407" t="s">
        <v>973</v>
      </c>
      <c r="Y407">
        <v>10000</v>
      </c>
      <c r="Z407" s="2">
        <v>2</v>
      </c>
      <c r="AA407" s="2" t="s">
        <v>1238</v>
      </c>
      <c r="AB407" t="s">
        <v>1238</v>
      </c>
      <c r="AC407">
        <v>1</v>
      </c>
      <c r="AD407" t="s">
        <v>1280</v>
      </c>
      <c r="AE407">
        <v>1</v>
      </c>
      <c r="AF407" t="s">
        <v>1290</v>
      </c>
      <c r="AG407">
        <v>0</v>
      </c>
      <c r="AH407">
        <v>0</v>
      </c>
      <c r="AI407">
        <v>0</v>
      </c>
      <c r="AJ407">
        <v>1909</v>
      </c>
      <c r="AK407">
        <v>2007</v>
      </c>
      <c r="AL407" t="s">
        <v>1194</v>
      </c>
      <c r="AM407" s="4" t="s">
        <v>1238</v>
      </c>
      <c r="AN407">
        <v>0</v>
      </c>
      <c r="AO407" t="s">
        <v>1317</v>
      </c>
      <c r="AP407">
        <f t="shared" si="12"/>
        <v>0</v>
      </c>
      <c r="AQ407">
        <v>0</v>
      </c>
      <c r="AR407" t="s">
        <v>1993</v>
      </c>
      <c r="AS407" t="s">
        <v>1995</v>
      </c>
      <c r="AT407" t="s">
        <v>1996</v>
      </c>
      <c r="AU407" t="s">
        <v>1996</v>
      </c>
      <c r="AV407" t="s">
        <v>1995</v>
      </c>
      <c r="AW407" t="s">
        <v>1995</v>
      </c>
      <c r="AX407" t="s">
        <v>2006</v>
      </c>
      <c r="AY407" t="s">
        <v>1996</v>
      </c>
      <c r="AZ407">
        <v>2224</v>
      </c>
      <c r="BA407" t="s">
        <v>1194</v>
      </c>
      <c r="BB407" t="s">
        <v>1194</v>
      </c>
      <c r="BC407" s="3">
        <v>8494.7338</v>
      </c>
      <c r="BD407" s="3">
        <v>1625.97</v>
      </c>
      <c r="BE407" s="3">
        <v>0</v>
      </c>
      <c r="BF407" s="3">
        <v>0</v>
      </c>
      <c r="BG407" s="3">
        <v>150</v>
      </c>
      <c r="BH407" s="3">
        <v>0</v>
      </c>
      <c r="BI407" s="3">
        <v>529</v>
      </c>
      <c r="BJ407" s="3">
        <v>10800</v>
      </c>
      <c r="BK407" s="3">
        <v>150</v>
      </c>
      <c r="BL407" s="3">
        <v>10950</v>
      </c>
      <c r="BM407" s="2">
        <f t="shared" ca="1" si="13"/>
        <v>2</v>
      </c>
      <c r="BN407" s="3">
        <v>500000</v>
      </c>
      <c r="BO407" s="3">
        <v>25000</v>
      </c>
      <c r="BP407" s="3">
        <v>200000</v>
      </c>
      <c r="BQ407" s="3">
        <v>25000</v>
      </c>
      <c r="BR407" s="3">
        <v>100000</v>
      </c>
      <c r="BS407">
        <v>100000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 t="s">
        <v>2942</v>
      </c>
      <c r="CA407" t="s">
        <v>2006</v>
      </c>
      <c r="CB407" t="s">
        <v>2946</v>
      </c>
    </row>
    <row r="408" spans="1:80" x14ac:dyDescent="0.25">
      <c r="A408">
        <v>407</v>
      </c>
      <c r="B408" t="s">
        <v>2422</v>
      </c>
      <c r="C408" s="1">
        <v>44753</v>
      </c>
      <c r="D408" s="2">
        <v>21</v>
      </c>
      <c r="E408" t="s">
        <v>4</v>
      </c>
      <c r="F408" t="s">
        <v>1311</v>
      </c>
      <c r="G408">
        <v>1</v>
      </c>
      <c r="H408" s="3">
        <v>0</v>
      </c>
      <c r="I408" s="3">
        <v>0</v>
      </c>
      <c r="J408" s="3">
        <v>1500000</v>
      </c>
      <c r="K408" s="3">
        <v>0</v>
      </c>
      <c r="L408" s="3" t="s">
        <v>1192</v>
      </c>
      <c r="M408">
        <v>1902088</v>
      </c>
      <c r="N408" t="s">
        <v>757</v>
      </c>
      <c r="O408" t="s">
        <v>758</v>
      </c>
      <c r="P408" t="s">
        <v>310</v>
      </c>
      <c r="Q408" t="s">
        <v>15</v>
      </c>
      <c r="R408">
        <v>33139</v>
      </c>
      <c r="S408" t="s">
        <v>33</v>
      </c>
      <c r="T408" t="s">
        <v>967</v>
      </c>
      <c r="U408">
        <v>1</v>
      </c>
      <c r="V408" t="s">
        <v>1056</v>
      </c>
      <c r="W408" t="s">
        <v>1194</v>
      </c>
      <c r="X408" t="s">
        <v>1309</v>
      </c>
      <c r="Y408">
        <v>10000</v>
      </c>
      <c r="Z408" s="2">
        <v>5</v>
      </c>
      <c r="AA408" s="2" t="s">
        <v>1238</v>
      </c>
      <c r="AB408" t="s">
        <v>1238</v>
      </c>
      <c r="AC408">
        <v>703</v>
      </c>
      <c r="AD408" t="s">
        <v>1281</v>
      </c>
      <c r="AE408">
        <v>1</v>
      </c>
      <c r="AF408" t="s">
        <v>1291</v>
      </c>
      <c r="AG408">
        <v>0</v>
      </c>
      <c r="AH408">
        <v>0</v>
      </c>
      <c r="AI408">
        <v>0</v>
      </c>
      <c r="AJ408">
        <v>2008</v>
      </c>
      <c r="AK408" t="s">
        <v>1194</v>
      </c>
      <c r="AL408" t="s">
        <v>1194</v>
      </c>
      <c r="AM408" s="4" t="s">
        <v>1238</v>
      </c>
      <c r="AN408">
        <v>1</v>
      </c>
      <c r="AO408" t="s">
        <v>1315</v>
      </c>
      <c r="AP408">
        <f t="shared" si="12"/>
        <v>0</v>
      </c>
      <c r="AQ408">
        <v>0</v>
      </c>
      <c r="AR408" t="s">
        <v>1993</v>
      </c>
      <c r="AS408" t="s">
        <v>1996</v>
      </c>
      <c r="AT408" t="s">
        <v>1995</v>
      </c>
      <c r="AU408" t="s">
        <v>1996</v>
      </c>
      <c r="AV408" t="s">
        <v>1995</v>
      </c>
      <c r="AW408" t="s">
        <v>1995</v>
      </c>
      <c r="AX408" t="s">
        <v>2007</v>
      </c>
      <c r="AY408" t="s">
        <v>1995</v>
      </c>
      <c r="AZ408">
        <v>3184</v>
      </c>
      <c r="BA408" t="s">
        <v>1194</v>
      </c>
      <c r="BB408" t="s">
        <v>1194</v>
      </c>
      <c r="BC408" s="3">
        <v>4143.9300999999996</v>
      </c>
      <c r="BD408" s="3">
        <v>17103.8</v>
      </c>
      <c r="BE408" s="3">
        <v>0</v>
      </c>
      <c r="BF408" s="3">
        <v>0</v>
      </c>
      <c r="BG408" s="3">
        <v>300</v>
      </c>
      <c r="BH408" s="3">
        <v>0</v>
      </c>
      <c r="BI408" s="3">
        <v>5602</v>
      </c>
      <c r="BJ408" s="3">
        <v>27150</v>
      </c>
      <c r="BK408" s="3">
        <v>400</v>
      </c>
      <c r="BL408" s="3">
        <v>27550</v>
      </c>
      <c r="BM408" s="2">
        <f t="shared" ca="1" si="13"/>
        <v>2</v>
      </c>
      <c r="BN408" s="3">
        <v>1000000</v>
      </c>
      <c r="BO408" s="3">
        <v>500000</v>
      </c>
      <c r="BP408" s="3">
        <v>200000</v>
      </c>
      <c r="BQ408" s="3">
        <v>500000</v>
      </c>
      <c r="BR408" s="3">
        <v>500000</v>
      </c>
      <c r="BS408">
        <v>50000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 t="s">
        <v>2943</v>
      </c>
      <c r="CA408" t="s">
        <v>2939</v>
      </c>
      <c r="CB408" t="s">
        <v>2941</v>
      </c>
    </row>
    <row r="409" spans="1:80" x14ac:dyDescent="0.25">
      <c r="A409">
        <v>408</v>
      </c>
      <c r="B409" t="s">
        <v>2423</v>
      </c>
      <c r="C409" s="1">
        <v>44851</v>
      </c>
      <c r="D409" s="2">
        <v>30</v>
      </c>
      <c r="E409" t="s">
        <v>4</v>
      </c>
      <c r="F409" t="s">
        <v>1311</v>
      </c>
      <c r="G409">
        <v>0</v>
      </c>
      <c r="H409" s="3">
        <v>10000000</v>
      </c>
      <c r="I409" s="3">
        <v>0</v>
      </c>
      <c r="J409" s="3">
        <v>0</v>
      </c>
      <c r="K409" s="3">
        <v>0</v>
      </c>
      <c r="L409" s="3" t="s">
        <v>1191</v>
      </c>
      <c r="M409">
        <v>1093761</v>
      </c>
      <c r="N409" t="s">
        <v>759</v>
      </c>
      <c r="P409" t="s">
        <v>115</v>
      </c>
      <c r="Q409" t="s">
        <v>15</v>
      </c>
      <c r="R409">
        <v>33483</v>
      </c>
      <c r="S409" t="s">
        <v>27</v>
      </c>
      <c r="T409" t="s">
        <v>967</v>
      </c>
      <c r="U409">
        <v>1</v>
      </c>
      <c r="V409" t="s">
        <v>989</v>
      </c>
      <c r="W409" t="s">
        <v>1194</v>
      </c>
      <c r="X409" t="s">
        <v>1309</v>
      </c>
      <c r="Y409">
        <v>25000</v>
      </c>
      <c r="Z409" s="2">
        <v>5</v>
      </c>
      <c r="AA409" s="2" t="s">
        <v>1238</v>
      </c>
      <c r="AB409" t="s">
        <v>1238</v>
      </c>
      <c r="AC409">
        <v>851</v>
      </c>
      <c r="AD409" t="s">
        <v>1280</v>
      </c>
      <c r="AE409">
        <v>1</v>
      </c>
      <c r="AF409" t="s">
        <v>1292</v>
      </c>
      <c r="AG409">
        <v>0</v>
      </c>
      <c r="AH409">
        <v>0</v>
      </c>
      <c r="AI409">
        <v>0</v>
      </c>
      <c r="AJ409">
        <v>2022</v>
      </c>
      <c r="AK409" t="s">
        <v>1194</v>
      </c>
      <c r="AL409" t="s">
        <v>1194</v>
      </c>
      <c r="AM409" s="4" t="s">
        <v>1238</v>
      </c>
      <c r="AN409">
        <v>1</v>
      </c>
      <c r="AO409" t="s">
        <v>1315</v>
      </c>
      <c r="AP409">
        <f t="shared" si="12"/>
        <v>0</v>
      </c>
      <c r="AQ409">
        <v>1</v>
      </c>
      <c r="AR409" t="s">
        <v>1992</v>
      </c>
      <c r="AS409" t="s">
        <v>1996</v>
      </c>
      <c r="AT409" t="s">
        <v>1995</v>
      </c>
      <c r="AU409" t="s">
        <v>1995</v>
      </c>
      <c r="AV409" t="s">
        <v>1996</v>
      </c>
      <c r="AW409" t="s">
        <v>1996</v>
      </c>
      <c r="AX409" t="s">
        <v>2007</v>
      </c>
      <c r="AY409" t="s">
        <v>1995</v>
      </c>
      <c r="AZ409">
        <v>17000</v>
      </c>
      <c r="BA409" t="s">
        <v>1194</v>
      </c>
      <c r="BB409" t="s">
        <v>1194</v>
      </c>
      <c r="BC409" s="3">
        <v>16821.883699999998</v>
      </c>
      <c r="BD409" s="3">
        <v>33546.959999999999</v>
      </c>
      <c r="BE409" s="3">
        <v>0</v>
      </c>
      <c r="BF409" s="3">
        <v>0</v>
      </c>
      <c r="BG409" s="3">
        <v>0</v>
      </c>
      <c r="BH409" s="3">
        <v>0</v>
      </c>
      <c r="BI409" s="3">
        <v>149631</v>
      </c>
      <c r="BJ409" s="3">
        <v>200000</v>
      </c>
      <c r="BK409" s="3">
        <v>1000</v>
      </c>
      <c r="BL409" s="3">
        <v>201000</v>
      </c>
      <c r="BM409" s="2">
        <f t="shared" ca="1" si="13"/>
        <v>1</v>
      </c>
      <c r="BN409" s="3">
        <v>250000</v>
      </c>
      <c r="BO409" s="3">
        <v>250000</v>
      </c>
      <c r="BP409" s="3">
        <v>50000</v>
      </c>
      <c r="BQ409" s="3">
        <v>100000</v>
      </c>
      <c r="BR409" s="3" t="s">
        <v>2916</v>
      </c>
      <c r="BS409" t="s">
        <v>2916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 t="s">
        <v>2940</v>
      </c>
      <c r="CA409" t="s">
        <v>2939</v>
      </c>
      <c r="CB409" t="s">
        <v>2946</v>
      </c>
    </row>
    <row r="410" spans="1:80" x14ac:dyDescent="0.25">
      <c r="A410">
        <v>409</v>
      </c>
      <c r="B410" t="s">
        <v>2424</v>
      </c>
      <c r="C410" s="1">
        <v>44985</v>
      </c>
      <c r="D410" s="2">
        <v>6</v>
      </c>
      <c r="E410" t="s">
        <v>4</v>
      </c>
      <c r="F410" t="s">
        <v>1310</v>
      </c>
      <c r="G410">
        <v>0</v>
      </c>
      <c r="H410" s="3">
        <v>4000000</v>
      </c>
      <c r="I410" s="3">
        <v>1200000</v>
      </c>
      <c r="J410" s="3">
        <v>0</v>
      </c>
      <c r="K410" s="3">
        <v>0</v>
      </c>
      <c r="L410" s="3" t="s">
        <v>1191</v>
      </c>
      <c r="M410">
        <v>1746022</v>
      </c>
      <c r="N410" t="s">
        <v>760</v>
      </c>
      <c r="P410" t="s">
        <v>87</v>
      </c>
      <c r="Q410" t="s">
        <v>19</v>
      </c>
      <c r="R410">
        <v>95060</v>
      </c>
      <c r="S410" t="s">
        <v>87</v>
      </c>
      <c r="T410" t="s">
        <v>976</v>
      </c>
      <c r="U410">
        <v>1</v>
      </c>
      <c r="V410">
        <v>20</v>
      </c>
      <c r="W410" t="s">
        <v>1212</v>
      </c>
      <c r="X410" t="s">
        <v>1309</v>
      </c>
      <c r="Y410">
        <v>10000</v>
      </c>
      <c r="Z410" s="2" t="s">
        <v>1194</v>
      </c>
      <c r="AA410" s="2" t="s">
        <v>1238</v>
      </c>
      <c r="AB410" t="s">
        <v>1238</v>
      </c>
      <c r="AC410" t="s">
        <v>1194</v>
      </c>
      <c r="AD410" t="s">
        <v>1279</v>
      </c>
      <c r="AE410">
        <v>2</v>
      </c>
      <c r="AF410" t="s">
        <v>1290</v>
      </c>
      <c r="AG410">
        <v>0</v>
      </c>
      <c r="AH410">
        <v>0</v>
      </c>
      <c r="AI410">
        <v>0</v>
      </c>
      <c r="AJ410">
        <v>1931</v>
      </c>
      <c r="AK410">
        <v>2022</v>
      </c>
      <c r="AL410">
        <v>2022</v>
      </c>
      <c r="AM410" s="4" t="s">
        <v>1304</v>
      </c>
      <c r="AN410">
        <v>1</v>
      </c>
      <c r="AO410" t="s">
        <v>1317</v>
      </c>
      <c r="AP410">
        <f t="shared" si="12"/>
        <v>0</v>
      </c>
      <c r="AQ410">
        <v>1</v>
      </c>
      <c r="AR410" t="s">
        <v>1992</v>
      </c>
      <c r="AS410" t="s">
        <v>1995</v>
      </c>
      <c r="AT410" t="s">
        <v>1995</v>
      </c>
      <c r="AU410" t="s">
        <v>1996</v>
      </c>
      <c r="AV410" t="s">
        <v>1995</v>
      </c>
      <c r="AW410" t="s">
        <v>1996</v>
      </c>
      <c r="AX410" t="s">
        <v>1194</v>
      </c>
      <c r="AY410" t="s">
        <v>1996</v>
      </c>
      <c r="AZ410">
        <v>1800</v>
      </c>
      <c r="BA410" t="s">
        <v>1194</v>
      </c>
      <c r="BB410" t="s">
        <v>2014</v>
      </c>
      <c r="BC410" s="3">
        <v>0</v>
      </c>
      <c r="BD410" s="3">
        <v>0</v>
      </c>
      <c r="BE410" s="3">
        <v>23551.65</v>
      </c>
      <c r="BF410" s="3">
        <v>5466.24</v>
      </c>
      <c r="BG410" s="3">
        <v>150</v>
      </c>
      <c r="BH410" s="3">
        <v>0</v>
      </c>
      <c r="BI410" s="3">
        <v>3904</v>
      </c>
      <c r="BJ410" s="3">
        <v>33071.89</v>
      </c>
      <c r="BK410" s="3">
        <v>0</v>
      </c>
      <c r="BL410" s="3">
        <v>33071.89</v>
      </c>
      <c r="BM410" s="2">
        <f t="shared" ca="1" si="13"/>
        <v>1</v>
      </c>
      <c r="BN410" s="3">
        <v>2000000</v>
      </c>
      <c r="BO410" s="3">
        <v>25000</v>
      </c>
      <c r="BP410" s="3">
        <v>50000</v>
      </c>
      <c r="BQ410" s="3">
        <v>50000</v>
      </c>
      <c r="BR410" s="3">
        <v>1000000</v>
      </c>
      <c r="BS410">
        <v>250000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 t="s">
        <v>2948</v>
      </c>
      <c r="CA410" t="s">
        <v>1194</v>
      </c>
      <c r="CB410" t="s">
        <v>2941</v>
      </c>
    </row>
    <row r="411" spans="1:80" x14ac:dyDescent="0.25">
      <c r="A411">
        <v>410</v>
      </c>
      <c r="B411" t="s">
        <v>2425</v>
      </c>
      <c r="C411" s="1">
        <v>44903</v>
      </c>
      <c r="D411" s="2">
        <v>36</v>
      </c>
      <c r="E411" t="s">
        <v>4</v>
      </c>
      <c r="F411" t="s">
        <v>1311</v>
      </c>
      <c r="G411">
        <v>1</v>
      </c>
      <c r="H411" s="3">
        <v>2500000</v>
      </c>
      <c r="I411" s="3">
        <v>50000</v>
      </c>
      <c r="J411" s="3">
        <v>0</v>
      </c>
      <c r="K411" s="3">
        <v>0</v>
      </c>
      <c r="L411" s="3" t="s">
        <v>1191</v>
      </c>
      <c r="M411">
        <v>1749834</v>
      </c>
      <c r="N411" t="s">
        <v>761</v>
      </c>
      <c r="P411" t="s">
        <v>172</v>
      </c>
      <c r="Q411" t="s">
        <v>17</v>
      </c>
      <c r="R411">
        <v>29928</v>
      </c>
      <c r="S411" t="s">
        <v>42</v>
      </c>
      <c r="T411" t="s">
        <v>962</v>
      </c>
      <c r="U411">
        <v>0</v>
      </c>
      <c r="V411" t="s">
        <v>1006</v>
      </c>
      <c r="W411" t="s">
        <v>1194</v>
      </c>
      <c r="X411" t="s">
        <v>973</v>
      </c>
      <c r="Y411">
        <v>5000</v>
      </c>
      <c r="Z411" s="2">
        <v>5</v>
      </c>
      <c r="AA411" s="2" t="s">
        <v>1238</v>
      </c>
      <c r="AB411" t="s">
        <v>1238</v>
      </c>
      <c r="AC411">
        <v>768</v>
      </c>
      <c r="AD411" t="s">
        <v>1279</v>
      </c>
      <c r="AE411">
        <v>2</v>
      </c>
      <c r="AF411" t="s">
        <v>1290</v>
      </c>
      <c r="AG411">
        <v>0</v>
      </c>
      <c r="AH411">
        <v>0</v>
      </c>
      <c r="AI411">
        <v>0</v>
      </c>
      <c r="AJ411">
        <v>2021</v>
      </c>
      <c r="AK411" t="s">
        <v>1194</v>
      </c>
      <c r="AL411" t="s">
        <v>1194</v>
      </c>
      <c r="AM411" s="4" t="s">
        <v>1238</v>
      </c>
      <c r="AN411">
        <v>0</v>
      </c>
      <c r="AO411" t="s">
        <v>1315</v>
      </c>
      <c r="AP411">
        <f t="shared" si="12"/>
        <v>0</v>
      </c>
      <c r="AQ411">
        <v>1</v>
      </c>
      <c r="AR411" t="s">
        <v>1992</v>
      </c>
      <c r="AS411" t="s">
        <v>1996</v>
      </c>
      <c r="AT411" t="s">
        <v>1995</v>
      </c>
      <c r="AU411" t="s">
        <v>1995</v>
      </c>
      <c r="AV411" t="s">
        <v>1995</v>
      </c>
      <c r="AW411" t="s">
        <v>1995</v>
      </c>
      <c r="AX411" t="s">
        <v>2008</v>
      </c>
      <c r="AY411" t="s">
        <v>1995</v>
      </c>
      <c r="AZ411">
        <v>7000</v>
      </c>
      <c r="BA411" t="s">
        <v>1194</v>
      </c>
      <c r="BB411" t="s">
        <v>1194</v>
      </c>
      <c r="BC411" s="3">
        <v>4406.4660000000003</v>
      </c>
      <c r="BD411" s="3">
        <v>5227.71</v>
      </c>
      <c r="BE411" s="3">
        <v>0</v>
      </c>
      <c r="BF411" s="3">
        <v>0</v>
      </c>
      <c r="BG411" s="3">
        <v>150</v>
      </c>
      <c r="BH411" s="3">
        <v>0</v>
      </c>
      <c r="BI411" s="3">
        <v>6129</v>
      </c>
      <c r="BJ411" s="3">
        <v>15913</v>
      </c>
      <c r="BK411" s="3">
        <v>300</v>
      </c>
      <c r="BL411" s="3">
        <v>16213</v>
      </c>
      <c r="BM411" s="2">
        <f t="shared" ca="1" si="13"/>
        <v>2</v>
      </c>
      <c r="BN411" s="3">
        <v>50000</v>
      </c>
      <c r="BO411" s="3">
        <v>500000</v>
      </c>
      <c r="BP411" s="3">
        <v>50000</v>
      </c>
      <c r="BQ411" s="3">
        <v>100000</v>
      </c>
      <c r="BR411" s="3">
        <v>500000</v>
      </c>
      <c r="BS411">
        <v>250000</v>
      </c>
      <c r="BT411">
        <v>0</v>
      </c>
      <c r="BU411">
        <v>0</v>
      </c>
      <c r="BV411">
        <v>1</v>
      </c>
      <c r="BW411">
        <v>0</v>
      </c>
      <c r="BX411">
        <v>0</v>
      </c>
      <c r="BY411">
        <v>0</v>
      </c>
      <c r="BZ411" t="s">
        <v>2938</v>
      </c>
      <c r="CA411" t="s">
        <v>2944</v>
      </c>
      <c r="CB411" t="s">
        <v>2941</v>
      </c>
    </row>
    <row r="412" spans="1:80" x14ac:dyDescent="0.25">
      <c r="A412">
        <v>411</v>
      </c>
      <c r="B412" t="s">
        <v>2426</v>
      </c>
      <c r="C412" s="1">
        <v>44821</v>
      </c>
      <c r="D412" s="2">
        <v>27</v>
      </c>
      <c r="E412" t="s">
        <v>4</v>
      </c>
      <c r="F412" t="s">
        <v>1311</v>
      </c>
      <c r="G412">
        <v>1</v>
      </c>
      <c r="H412" s="3">
        <v>2500000</v>
      </c>
      <c r="I412" s="3">
        <v>100000</v>
      </c>
      <c r="J412" s="3">
        <v>0</v>
      </c>
      <c r="K412" s="3">
        <v>0</v>
      </c>
      <c r="L412" s="3" t="s">
        <v>1191</v>
      </c>
      <c r="M412">
        <v>1751494</v>
      </c>
      <c r="N412" t="s">
        <v>762</v>
      </c>
      <c r="O412" t="s">
        <v>763</v>
      </c>
      <c r="P412" t="s">
        <v>764</v>
      </c>
      <c r="Q412" t="s">
        <v>13</v>
      </c>
      <c r="R412">
        <v>1247</v>
      </c>
      <c r="S412" t="s">
        <v>80</v>
      </c>
      <c r="T412" t="s">
        <v>973</v>
      </c>
      <c r="U412">
        <v>0</v>
      </c>
      <c r="V412" t="s">
        <v>1067</v>
      </c>
      <c r="W412" t="s">
        <v>1194</v>
      </c>
      <c r="X412" t="s">
        <v>973</v>
      </c>
      <c r="Y412">
        <v>10000</v>
      </c>
      <c r="Z412" s="2" t="s">
        <v>1194</v>
      </c>
      <c r="AA412" s="2" t="s">
        <v>1238</v>
      </c>
      <c r="AB412" t="s">
        <v>1238</v>
      </c>
      <c r="AC412">
        <v>731</v>
      </c>
      <c r="AD412" t="s">
        <v>1279</v>
      </c>
      <c r="AE412">
        <v>5</v>
      </c>
      <c r="AF412" t="s">
        <v>1290</v>
      </c>
      <c r="AG412">
        <v>0</v>
      </c>
      <c r="AH412">
        <v>0</v>
      </c>
      <c r="AI412">
        <v>0</v>
      </c>
      <c r="AJ412">
        <v>2021</v>
      </c>
      <c r="AK412" t="s">
        <v>1194</v>
      </c>
      <c r="AL412" t="s">
        <v>1194</v>
      </c>
      <c r="AM412" s="4" t="s">
        <v>1238</v>
      </c>
      <c r="AN412">
        <v>1</v>
      </c>
      <c r="AO412" t="s">
        <v>1316</v>
      </c>
      <c r="AP412">
        <f t="shared" si="12"/>
        <v>0</v>
      </c>
      <c r="AQ412">
        <v>0</v>
      </c>
      <c r="AR412" t="s">
        <v>1993</v>
      </c>
      <c r="AS412" t="s">
        <v>1996</v>
      </c>
      <c r="AT412" t="s">
        <v>1996</v>
      </c>
      <c r="AU412" t="s">
        <v>1996</v>
      </c>
      <c r="AV412" t="s">
        <v>1996</v>
      </c>
      <c r="AW412" t="s">
        <v>1995</v>
      </c>
      <c r="AX412" t="s">
        <v>2003</v>
      </c>
      <c r="AY412" t="s">
        <v>1996</v>
      </c>
      <c r="AZ412">
        <v>5000</v>
      </c>
      <c r="BA412" t="s">
        <v>1194</v>
      </c>
      <c r="BB412" t="s">
        <v>1194</v>
      </c>
      <c r="BC412" s="3">
        <v>4029.8904000000002</v>
      </c>
      <c r="BD412" s="3">
        <v>413.76</v>
      </c>
      <c r="BE412" s="3">
        <v>0</v>
      </c>
      <c r="BF412" s="3">
        <v>0</v>
      </c>
      <c r="BG412" s="3">
        <v>150</v>
      </c>
      <c r="BH412" s="3">
        <v>0</v>
      </c>
      <c r="BI412" s="3">
        <v>4856</v>
      </c>
      <c r="BJ412" s="3">
        <v>9450</v>
      </c>
      <c r="BK412" s="3">
        <v>0</v>
      </c>
      <c r="BL412" s="3">
        <v>9450</v>
      </c>
      <c r="BM412" s="2">
        <f t="shared" ca="1" si="13"/>
        <v>4</v>
      </c>
      <c r="BN412" s="3">
        <v>1000000</v>
      </c>
      <c r="BO412" s="3">
        <v>20000</v>
      </c>
      <c r="BP412" s="3">
        <v>100000</v>
      </c>
      <c r="BQ412" s="3">
        <v>100000</v>
      </c>
      <c r="BR412" s="3">
        <v>1000000</v>
      </c>
      <c r="BS412">
        <v>50000</v>
      </c>
      <c r="BT412">
        <v>0</v>
      </c>
      <c r="BU412">
        <v>0</v>
      </c>
      <c r="BV412">
        <v>1</v>
      </c>
      <c r="BW412">
        <v>0</v>
      </c>
      <c r="BX412">
        <v>0</v>
      </c>
      <c r="BY412">
        <v>0</v>
      </c>
      <c r="BZ412" t="s">
        <v>2942</v>
      </c>
      <c r="CA412" t="s">
        <v>2006</v>
      </c>
      <c r="CB412" t="s">
        <v>2945</v>
      </c>
    </row>
    <row r="413" spans="1:80" x14ac:dyDescent="0.25">
      <c r="A413">
        <v>412</v>
      </c>
      <c r="B413" t="s">
        <v>2427</v>
      </c>
      <c r="C413" s="1">
        <v>44928</v>
      </c>
      <c r="D413" s="2">
        <v>3</v>
      </c>
      <c r="E413" t="s">
        <v>4</v>
      </c>
      <c r="F413" t="s">
        <v>1310</v>
      </c>
      <c r="G413">
        <v>0</v>
      </c>
      <c r="H413" s="3">
        <v>0</v>
      </c>
      <c r="I413" s="3">
        <v>0</v>
      </c>
      <c r="J413" s="3">
        <v>2200000</v>
      </c>
      <c r="K413" s="3">
        <v>0</v>
      </c>
      <c r="L413" s="3" t="s">
        <v>1192</v>
      </c>
      <c r="M413">
        <v>1790673</v>
      </c>
      <c r="N413" t="s">
        <v>765</v>
      </c>
      <c r="O413" t="s">
        <v>766</v>
      </c>
      <c r="P413" t="s">
        <v>233</v>
      </c>
      <c r="Q413" t="s">
        <v>13</v>
      </c>
      <c r="R413">
        <v>2116</v>
      </c>
      <c r="S413" t="s">
        <v>26</v>
      </c>
      <c r="T413" t="s">
        <v>968</v>
      </c>
      <c r="U413">
        <v>0</v>
      </c>
      <c r="V413" t="s">
        <v>1083</v>
      </c>
      <c r="W413" t="s">
        <v>1194</v>
      </c>
      <c r="X413" t="s">
        <v>973</v>
      </c>
      <c r="Y413">
        <v>10000</v>
      </c>
      <c r="Z413" s="2">
        <v>1</v>
      </c>
      <c r="AA413" s="2" t="s">
        <v>1238</v>
      </c>
      <c r="AB413" t="s">
        <v>1238</v>
      </c>
      <c r="AC413">
        <v>735</v>
      </c>
      <c r="AD413" t="s">
        <v>1281</v>
      </c>
      <c r="AE413">
        <v>1</v>
      </c>
      <c r="AF413" t="s">
        <v>1290</v>
      </c>
      <c r="AG413">
        <v>0</v>
      </c>
      <c r="AH413">
        <v>0</v>
      </c>
      <c r="AI413">
        <v>0</v>
      </c>
      <c r="AJ413">
        <v>2009</v>
      </c>
      <c r="AK413" t="s">
        <v>1194</v>
      </c>
      <c r="AL413" t="s">
        <v>1194</v>
      </c>
      <c r="AM413" s="4" t="s">
        <v>1305</v>
      </c>
      <c r="AN413">
        <v>0</v>
      </c>
      <c r="AO413" t="s">
        <v>1317</v>
      </c>
      <c r="AP413">
        <f t="shared" si="12"/>
        <v>0</v>
      </c>
      <c r="AQ413">
        <v>1</v>
      </c>
      <c r="AR413" t="s">
        <v>1992</v>
      </c>
      <c r="AS413" t="s">
        <v>1996</v>
      </c>
      <c r="AT413" t="s">
        <v>1995</v>
      </c>
      <c r="AU413" t="s">
        <v>1996</v>
      </c>
      <c r="AV413" t="s">
        <v>1995</v>
      </c>
      <c r="AW413" t="s">
        <v>1996</v>
      </c>
      <c r="AX413" t="s">
        <v>2006</v>
      </c>
      <c r="AY413" t="s">
        <v>1996</v>
      </c>
      <c r="AZ413">
        <v>3545</v>
      </c>
      <c r="BA413" t="s">
        <v>1194</v>
      </c>
      <c r="BB413" t="s">
        <v>1194</v>
      </c>
      <c r="BC413" s="3">
        <v>7106.0592999999999</v>
      </c>
      <c r="BD413" s="3">
        <v>807.87</v>
      </c>
      <c r="BE413" s="3">
        <v>0</v>
      </c>
      <c r="BF413" s="3">
        <v>0</v>
      </c>
      <c r="BG413" s="3">
        <v>0</v>
      </c>
      <c r="BH413" s="3">
        <v>0</v>
      </c>
      <c r="BI413" s="3">
        <v>3966</v>
      </c>
      <c r="BJ413" s="3">
        <v>11880</v>
      </c>
      <c r="BK413" s="3">
        <v>200</v>
      </c>
      <c r="BL413" s="3">
        <v>12080</v>
      </c>
      <c r="BM413" s="2">
        <f t="shared" ca="1" si="13"/>
        <v>0</v>
      </c>
      <c r="BN413" s="3" t="s">
        <v>2916</v>
      </c>
      <c r="BO413" s="3">
        <v>500000</v>
      </c>
      <c r="BP413" s="3">
        <v>50000</v>
      </c>
      <c r="BQ413" s="3">
        <v>100000</v>
      </c>
      <c r="BR413" s="3">
        <v>2000000</v>
      </c>
      <c r="BS413">
        <v>250000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 t="s">
        <v>2942</v>
      </c>
      <c r="CA413" t="s">
        <v>2006</v>
      </c>
      <c r="CB413" t="s">
        <v>2946</v>
      </c>
    </row>
    <row r="414" spans="1:80" x14ac:dyDescent="0.25">
      <c r="A414">
        <v>413</v>
      </c>
      <c r="B414" t="s">
        <v>2428</v>
      </c>
      <c r="C414" s="1">
        <v>44666</v>
      </c>
      <c r="D414" s="2">
        <v>12</v>
      </c>
      <c r="E414" t="s">
        <v>4</v>
      </c>
      <c r="F414" t="s">
        <v>1311</v>
      </c>
      <c r="G414">
        <v>1</v>
      </c>
      <c r="H414" s="3">
        <v>9000000</v>
      </c>
      <c r="I414" s="3">
        <v>0</v>
      </c>
      <c r="J414" s="3">
        <v>0</v>
      </c>
      <c r="K414" s="3">
        <v>0</v>
      </c>
      <c r="L414" s="3" t="s">
        <v>1191</v>
      </c>
      <c r="M414">
        <v>1895303</v>
      </c>
      <c r="N414" t="s">
        <v>767</v>
      </c>
      <c r="P414" t="s">
        <v>134</v>
      </c>
      <c r="Q414" t="s">
        <v>17</v>
      </c>
      <c r="R414">
        <v>29455</v>
      </c>
      <c r="S414" t="s">
        <v>31</v>
      </c>
      <c r="T414" t="s">
        <v>969</v>
      </c>
      <c r="U414">
        <v>1</v>
      </c>
      <c r="V414" t="s">
        <v>1040</v>
      </c>
      <c r="W414" t="s">
        <v>1194</v>
      </c>
      <c r="X414" t="s">
        <v>1309</v>
      </c>
      <c r="Y414">
        <v>25000</v>
      </c>
      <c r="Z414" s="2">
        <v>5</v>
      </c>
      <c r="AA414" s="2" t="s">
        <v>1238</v>
      </c>
      <c r="AB414" t="s">
        <v>1238</v>
      </c>
      <c r="AC414">
        <v>804</v>
      </c>
      <c r="AD414" t="s">
        <v>1279</v>
      </c>
      <c r="AE414">
        <v>2</v>
      </c>
      <c r="AF414" t="s">
        <v>1291</v>
      </c>
      <c r="AG414">
        <v>0</v>
      </c>
      <c r="AH414">
        <v>0</v>
      </c>
      <c r="AI414">
        <v>0</v>
      </c>
      <c r="AJ414">
        <v>2021</v>
      </c>
      <c r="AK414" t="s">
        <v>1194</v>
      </c>
      <c r="AL414" t="s">
        <v>1194</v>
      </c>
      <c r="AM414" s="4" t="s">
        <v>1238</v>
      </c>
      <c r="AN414">
        <v>0</v>
      </c>
      <c r="AO414" t="s">
        <v>1316</v>
      </c>
      <c r="AP414">
        <f t="shared" si="12"/>
        <v>0</v>
      </c>
      <c r="AQ414">
        <v>0</v>
      </c>
      <c r="AR414" t="s">
        <v>1993</v>
      </c>
      <c r="AS414" t="s">
        <v>1996</v>
      </c>
      <c r="AT414" t="s">
        <v>1996</v>
      </c>
      <c r="AU414" t="s">
        <v>1996</v>
      </c>
      <c r="AV414" t="s">
        <v>1995</v>
      </c>
      <c r="AW414" t="s">
        <v>1996</v>
      </c>
      <c r="AX414" t="s">
        <v>2007</v>
      </c>
      <c r="AY414" t="s">
        <v>1995</v>
      </c>
      <c r="AZ414">
        <v>12500</v>
      </c>
      <c r="BA414" t="s">
        <v>1194</v>
      </c>
      <c r="BB414" t="s">
        <v>1194</v>
      </c>
      <c r="BC414" s="3">
        <v>9811.5800999999992</v>
      </c>
      <c r="BD414" s="3">
        <v>14675.13</v>
      </c>
      <c r="BE414" s="3">
        <v>0</v>
      </c>
      <c r="BF414" s="3">
        <v>0</v>
      </c>
      <c r="BG414" s="3">
        <v>150</v>
      </c>
      <c r="BH414" s="3">
        <v>0</v>
      </c>
      <c r="BI414" s="3">
        <v>31942</v>
      </c>
      <c r="BJ414" s="3">
        <v>56579</v>
      </c>
      <c r="BK414" s="3">
        <v>8195.66</v>
      </c>
      <c r="BL414" s="3">
        <v>64774.66</v>
      </c>
      <c r="BM414" s="2">
        <f t="shared" ca="1" si="13"/>
        <v>0</v>
      </c>
      <c r="BN414" s="3" t="s">
        <v>2916</v>
      </c>
      <c r="BO414" s="3">
        <v>20000</v>
      </c>
      <c r="BP414" s="3">
        <v>50000</v>
      </c>
      <c r="BQ414" s="3">
        <v>50000</v>
      </c>
      <c r="BR414" s="3">
        <v>1000000</v>
      </c>
      <c r="BS414">
        <v>500000</v>
      </c>
      <c r="BT414">
        <v>0</v>
      </c>
      <c r="BU414">
        <v>1</v>
      </c>
      <c r="BV414">
        <v>0</v>
      </c>
      <c r="BW414">
        <v>0</v>
      </c>
      <c r="BX414">
        <v>0</v>
      </c>
      <c r="BY414">
        <v>0</v>
      </c>
      <c r="BZ414" t="s">
        <v>2938</v>
      </c>
      <c r="CA414" t="s">
        <v>2939</v>
      </c>
      <c r="CB414" t="s">
        <v>2941</v>
      </c>
    </row>
    <row r="415" spans="1:80" x14ac:dyDescent="0.25">
      <c r="A415">
        <v>414</v>
      </c>
      <c r="B415" t="s">
        <v>2429</v>
      </c>
      <c r="C415" s="1">
        <v>44824</v>
      </c>
      <c r="D415" s="2">
        <v>27</v>
      </c>
      <c r="E415" t="s">
        <v>4</v>
      </c>
      <c r="F415" t="s">
        <v>1311</v>
      </c>
      <c r="G415">
        <v>0</v>
      </c>
      <c r="H415" s="3">
        <v>7800000</v>
      </c>
      <c r="I415" s="3">
        <v>800000</v>
      </c>
      <c r="J415" s="3">
        <v>0</v>
      </c>
      <c r="K415" s="3">
        <v>0</v>
      </c>
      <c r="L415" s="3" t="s">
        <v>1191</v>
      </c>
      <c r="M415">
        <v>1739422</v>
      </c>
      <c r="N415" t="s">
        <v>768</v>
      </c>
      <c r="P415" t="s">
        <v>592</v>
      </c>
      <c r="Q415" t="s">
        <v>21</v>
      </c>
      <c r="R415">
        <v>27613</v>
      </c>
      <c r="S415" t="s">
        <v>93</v>
      </c>
      <c r="T415" t="s">
        <v>973</v>
      </c>
      <c r="U415">
        <v>0</v>
      </c>
      <c r="V415" t="s">
        <v>1118</v>
      </c>
      <c r="W415" t="s">
        <v>1194</v>
      </c>
      <c r="X415" t="s">
        <v>973</v>
      </c>
      <c r="Y415">
        <v>10000</v>
      </c>
      <c r="Z415" s="2" t="s">
        <v>1194</v>
      </c>
      <c r="AA415" s="2" t="s">
        <v>1238</v>
      </c>
      <c r="AB415" t="s">
        <v>1238</v>
      </c>
      <c r="AC415">
        <v>790</v>
      </c>
      <c r="AD415" t="s">
        <v>1279</v>
      </c>
      <c r="AE415">
        <v>3</v>
      </c>
      <c r="AF415" t="s">
        <v>1290</v>
      </c>
      <c r="AG415">
        <v>0</v>
      </c>
      <c r="AH415">
        <v>0</v>
      </c>
      <c r="AI415">
        <v>0</v>
      </c>
      <c r="AJ415">
        <v>2021</v>
      </c>
      <c r="AK415" t="s">
        <v>1194</v>
      </c>
      <c r="AL415" t="s">
        <v>1194</v>
      </c>
      <c r="AM415" s="4" t="s">
        <v>1238</v>
      </c>
      <c r="AN415">
        <v>1</v>
      </c>
      <c r="AO415" t="s">
        <v>1315</v>
      </c>
      <c r="AP415">
        <f t="shared" si="12"/>
        <v>0</v>
      </c>
      <c r="AQ415">
        <v>1</v>
      </c>
      <c r="AR415" t="s">
        <v>1992</v>
      </c>
      <c r="AS415" t="s">
        <v>1996</v>
      </c>
      <c r="AT415" t="s">
        <v>1995</v>
      </c>
      <c r="AU415" t="s">
        <v>1995</v>
      </c>
      <c r="AV415" t="s">
        <v>1995</v>
      </c>
      <c r="AW415" t="s">
        <v>1996</v>
      </c>
      <c r="AX415" t="s">
        <v>2006</v>
      </c>
      <c r="AY415" t="s">
        <v>1996</v>
      </c>
      <c r="AZ415">
        <v>10037</v>
      </c>
      <c r="BA415" t="s">
        <v>1194</v>
      </c>
      <c r="BB415" t="s">
        <v>1194</v>
      </c>
      <c r="BC415" s="3">
        <v>11862.2186</v>
      </c>
      <c r="BD415" s="3">
        <v>2974.98</v>
      </c>
      <c r="BE415" s="3">
        <v>0</v>
      </c>
      <c r="BF415" s="3">
        <v>0</v>
      </c>
      <c r="BG415" s="3">
        <v>150</v>
      </c>
      <c r="BH415" s="3">
        <v>0</v>
      </c>
      <c r="BI415" s="3">
        <v>13743</v>
      </c>
      <c r="BJ415" s="3">
        <v>28730</v>
      </c>
      <c r="BK415" s="3">
        <v>0</v>
      </c>
      <c r="BL415" s="3">
        <v>28730</v>
      </c>
      <c r="BM415" s="2">
        <f t="shared" ca="1" si="13"/>
        <v>1</v>
      </c>
      <c r="BN415" s="3">
        <v>500000</v>
      </c>
      <c r="BO415" s="3">
        <v>1000000</v>
      </c>
      <c r="BP415" s="3">
        <v>50000</v>
      </c>
      <c r="BQ415" s="3">
        <v>50000</v>
      </c>
      <c r="BR415" s="3">
        <v>50000</v>
      </c>
      <c r="BS415">
        <v>50000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 t="s">
        <v>2942</v>
      </c>
      <c r="CA415" t="s">
        <v>2006</v>
      </c>
      <c r="CB415" t="s">
        <v>2945</v>
      </c>
    </row>
    <row r="416" spans="1:80" x14ac:dyDescent="0.25">
      <c r="A416">
        <v>415</v>
      </c>
      <c r="B416" t="s">
        <v>2430</v>
      </c>
      <c r="C416" s="1">
        <v>44873</v>
      </c>
      <c r="D416" s="2">
        <v>33</v>
      </c>
      <c r="E416" t="s">
        <v>4</v>
      </c>
      <c r="F416" t="s">
        <v>1311</v>
      </c>
      <c r="G416">
        <v>1</v>
      </c>
      <c r="H416" s="3">
        <v>3000200</v>
      </c>
      <c r="I416" s="3">
        <v>200000</v>
      </c>
      <c r="J416" s="3">
        <v>0</v>
      </c>
      <c r="K416" s="3">
        <v>0</v>
      </c>
      <c r="L416" s="3" t="s">
        <v>1191</v>
      </c>
      <c r="M416">
        <v>1796548</v>
      </c>
      <c r="N416" t="s">
        <v>769</v>
      </c>
      <c r="P416" t="s">
        <v>770</v>
      </c>
      <c r="Q416" t="s">
        <v>19</v>
      </c>
      <c r="R416">
        <v>94530</v>
      </c>
      <c r="S416" t="s">
        <v>99</v>
      </c>
      <c r="T416" t="s">
        <v>975</v>
      </c>
      <c r="U416">
        <v>0</v>
      </c>
      <c r="V416">
        <v>30</v>
      </c>
      <c r="W416" t="s">
        <v>1222</v>
      </c>
      <c r="X416" t="s">
        <v>973</v>
      </c>
      <c r="Y416">
        <v>25000</v>
      </c>
      <c r="Z416" s="2" t="s">
        <v>1194</v>
      </c>
      <c r="AA416" s="2" t="s">
        <v>1238</v>
      </c>
      <c r="AB416" t="s">
        <v>1238</v>
      </c>
      <c r="AC416" t="s">
        <v>1194</v>
      </c>
      <c r="AD416" t="s">
        <v>1279</v>
      </c>
      <c r="AE416">
        <v>2</v>
      </c>
      <c r="AF416" t="s">
        <v>1290</v>
      </c>
      <c r="AG416">
        <v>0</v>
      </c>
      <c r="AH416">
        <v>0</v>
      </c>
      <c r="AI416">
        <v>0</v>
      </c>
      <c r="AJ416">
        <v>1941</v>
      </c>
      <c r="AK416">
        <v>2021</v>
      </c>
      <c r="AL416" t="s">
        <v>1194</v>
      </c>
      <c r="AM416" s="4" t="s">
        <v>1238</v>
      </c>
      <c r="AN416">
        <v>0</v>
      </c>
      <c r="AO416" t="s">
        <v>1315</v>
      </c>
      <c r="AP416">
        <f t="shared" si="12"/>
        <v>0</v>
      </c>
      <c r="AQ416">
        <v>1</v>
      </c>
      <c r="AR416" t="s">
        <v>1992</v>
      </c>
      <c r="AS416" t="s">
        <v>1995</v>
      </c>
      <c r="AT416" t="s">
        <v>1996</v>
      </c>
      <c r="AU416" t="s">
        <v>1995</v>
      </c>
      <c r="AV416" t="s">
        <v>1996</v>
      </c>
      <c r="AW416" t="s">
        <v>1995</v>
      </c>
      <c r="AX416" t="s">
        <v>1194</v>
      </c>
      <c r="AY416" t="s">
        <v>1996</v>
      </c>
      <c r="AZ416">
        <v>3441</v>
      </c>
      <c r="BA416">
        <v>4</v>
      </c>
      <c r="BB416" t="s">
        <v>2016</v>
      </c>
      <c r="BC416" s="3">
        <v>0</v>
      </c>
      <c r="BD416" s="3">
        <v>0</v>
      </c>
      <c r="BE416" s="3">
        <v>11086.71</v>
      </c>
      <c r="BF416" s="3">
        <v>7214.85</v>
      </c>
      <c r="BG416" s="3">
        <v>120</v>
      </c>
      <c r="BH416" s="3">
        <v>0</v>
      </c>
      <c r="BI416" s="3">
        <v>-820.46</v>
      </c>
      <c r="BJ416" s="3">
        <v>17601.099999999999</v>
      </c>
      <c r="BK416" s="3">
        <v>0</v>
      </c>
      <c r="BL416" s="3">
        <v>17601.099999999999</v>
      </c>
      <c r="BM416" s="2">
        <f t="shared" ca="1" si="13"/>
        <v>4</v>
      </c>
      <c r="BN416" s="3">
        <v>250000</v>
      </c>
      <c r="BO416" s="3">
        <v>25000</v>
      </c>
      <c r="BP416" s="3">
        <v>50000</v>
      </c>
      <c r="BQ416" s="3">
        <v>500000</v>
      </c>
      <c r="BR416" s="3">
        <v>100000</v>
      </c>
      <c r="BS416">
        <v>1000000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 t="s">
        <v>2950</v>
      </c>
      <c r="CA416" t="s">
        <v>1194</v>
      </c>
      <c r="CB416" t="s">
        <v>2949</v>
      </c>
    </row>
    <row r="417" spans="1:80" x14ac:dyDescent="0.25">
      <c r="A417">
        <v>416</v>
      </c>
      <c r="B417" t="s">
        <v>2431</v>
      </c>
      <c r="C417" s="1">
        <v>44834</v>
      </c>
      <c r="D417" s="2">
        <v>27</v>
      </c>
      <c r="E417" t="s">
        <v>4</v>
      </c>
      <c r="F417" t="s">
        <v>1311</v>
      </c>
      <c r="G417">
        <v>1</v>
      </c>
      <c r="H417" s="3">
        <v>4000000</v>
      </c>
      <c r="I417" s="3">
        <v>200000</v>
      </c>
      <c r="J417" s="3">
        <v>0</v>
      </c>
      <c r="K417" s="3">
        <v>0</v>
      </c>
      <c r="L417" s="3" t="s">
        <v>1191</v>
      </c>
      <c r="M417">
        <v>1767406</v>
      </c>
      <c r="N417" t="s">
        <v>771</v>
      </c>
      <c r="P417" t="s">
        <v>97</v>
      </c>
      <c r="Q417" t="s">
        <v>15</v>
      </c>
      <c r="R417">
        <v>34236</v>
      </c>
      <c r="S417" t="s">
        <v>97</v>
      </c>
      <c r="T417" t="s">
        <v>967</v>
      </c>
      <c r="U417">
        <v>1</v>
      </c>
      <c r="V417" t="s">
        <v>1149</v>
      </c>
      <c r="W417" t="s">
        <v>1194</v>
      </c>
      <c r="X417" t="s">
        <v>1309</v>
      </c>
      <c r="Y417">
        <v>10000</v>
      </c>
      <c r="Z417" s="2">
        <v>10</v>
      </c>
      <c r="AA417" s="2" t="s">
        <v>1238</v>
      </c>
      <c r="AB417" t="s">
        <v>1238</v>
      </c>
      <c r="AC417">
        <v>722</v>
      </c>
      <c r="AD417" t="s">
        <v>1280</v>
      </c>
      <c r="AE417">
        <v>2</v>
      </c>
      <c r="AF417" t="s">
        <v>1291</v>
      </c>
      <c r="AG417">
        <v>0</v>
      </c>
      <c r="AH417">
        <v>0</v>
      </c>
      <c r="AI417">
        <v>0</v>
      </c>
      <c r="AJ417">
        <v>2021</v>
      </c>
      <c r="AK417" t="s">
        <v>1194</v>
      </c>
      <c r="AL417" t="s">
        <v>1194</v>
      </c>
      <c r="AM417" s="4" t="s">
        <v>1238</v>
      </c>
      <c r="AN417">
        <v>1</v>
      </c>
      <c r="AO417" t="s">
        <v>1317</v>
      </c>
      <c r="AP417">
        <f t="shared" si="12"/>
        <v>0</v>
      </c>
      <c r="AQ417">
        <v>0</v>
      </c>
      <c r="AR417" t="s">
        <v>1993</v>
      </c>
      <c r="AS417" t="s">
        <v>1996</v>
      </c>
      <c r="AT417" t="s">
        <v>1995</v>
      </c>
      <c r="AU417" t="s">
        <v>1995</v>
      </c>
      <c r="AV417" t="s">
        <v>1996</v>
      </c>
      <c r="AW417" t="s">
        <v>1996</v>
      </c>
      <c r="AX417" t="s">
        <v>2007</v>
      </c>
      <c r="AY417" t="s">
        <v>1995</v>
      </c>
      <c r="AZ417">
        <v>5000</v>
      </c>
      <c r="BA417" t="s">
        <v>1194</v>
      </c>
      <c r="BB417" t="s">
        <v>1194</v>
      </c>
      <c r="BC417" s="3">
        <v>8339.8865999999998</v>
      </c>
      <c r="BD417" s="3">
        <v>10907.32</v>
      </c>
      <c r="BE417" s="3">
        <v>0</v>
      </c>
      <c r="BF417" s="3">
        <v>0</v>
      </c>
      <c r="BG417" s="3">
        <v>0</v>
      </c>
      <c r="BH417" s="3">
        <v>0</v>
      </c>
      <c r="BI417" s="3">
        <v>14353</v>
      </c>
      <c r="BJ417" s="3">
        <v>33600</v>
      </c>
      <c r="BK417" s="3">
        <v>0</v>
      </c>
      <c r="BL417" s="3">
        <v>33600</v>
      </c>
      <c r="BM417" s="2">
        <f t="shared" ca="1" si="13"/>
        <v>0</v>
      </c>
      <c r="BN417" s="3">
        <v>100000</v>
      </c>
      <c r="BO417" s="3">
        <v>1000000</v>
      </c>
      <c r="BP417" s="3">
        <v>50000</v>
      </c>
      <c r="BQ417" s="3">
        <v>50000</v>
      </c>
      <c r="BR417" s="3">
        <v>50000</v>
      </c>
      <c r="BS417">
        <v>500000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 t="s">
        <v>2940</v>
      </c>
      <c r="CA417" t="s">
        <v>2939</v>
      </c>
      <c r="CB417" t="s">
        <v>2941</v>
      </c>
    </row>
    <row r="418" spans="1:80" x14ac:dyDescent="0.25">
      <c r="A418">
        <v>417</v>
      </c>
      <c r="B418" t="s">
        <v>2432</v>
      </c>
      <c r="C418" s="1">
        <v>44834</v>
      </c>
      <c r="D418" s="2">
        <v>27</v>
      </c>
      <c r="E418" t="s">
        <v>4</v>
      </c>
      <c r="F418" t="s">
        <v>1311</v>
      </c>
      <c r="G418">
        <v>0</v>
      </c>
      <c r="H418" s="3">
        <v>2600000</v>
      </c>
      <c r="I418" s="3">
        <v>520000</v>
      </c>
      <c r="J418" s="3">
        <v>0</v>
      </c>
      <c r="K418" s="3">
        <v>0</v>
      </c>
      <c r="L418" s="3" t="s">
        <v>1191</v>
      </c>
      <c r="M418">
        <v>1767079</v>
      </c>
      <c r="N418" t="s">
        <v>772</v>
      </c>
      <c r="P418" t="s">
        <v>46</v>
      </c>
      <c r="Q418" t="s">
        <v>19</v>
      </c>
      <c r="R418">
        <v>90049</v>
      </c>
      <c r="S418" t="s">
        <v>46</v>
      </c>
      <c r="T418" t="s">
        <v>965</v>
      </c>
      <c r="U418">
        <v>0</v>
      </c>
      <c r="V418">
        <v>51</v>
      </c>
      <c r="W418" t="s">
        <v>1200</v>
      </c>
      <c r="X418" t="s">
        <v>973</v>
      </c>
      <c r="Y418">
        <v>10000</v>
      </c>
      <c r="Z418" s="2" t="s">
        <v>1194</v>
      </c>
      <c r="AA418" s="2" t="s">
        <v>1238</v>
      </c>
      <c r="AB418" t="s">
        <v>1238</v>
      </c>
      <c r="AC418" t="s">
        <v>1194</v>
      </c>
      <c r="AD418" t="s">
        <v>1279</v>
      </c>
      <c r="AE418">
        <v>1</v>
      </c>
      <c r="AF418" t="s">
        <v>1290</v>
      </c>
      <c r="AG418">
        <v>0</v>
      </c>
      <c r="AH418">
        <v>0</v>
      </c>
      <c r="AI418">
        <v>0</v>
      </c>
      <c r="AJ418">
        <v>1929</v>
      </c>
      <c r="AK418">
        <v>2021</v>
      </c>
      <c r="AL418">
        <v>2021</v>
      </c>
      <c r="AM418" s="4" t="s">
        <v>1238</v>
      </c>
      <c r="AN418">
        <v>1</v>
      </c>
      <c r="AO418" t="s">
        <v>1315</v>
      </c>
      <c r="AP418">
        <f t="shared" si="12"/>
        <v>0</v>
      </c>
      <c r="AQ418">
        <v>0</v>
      </c>
      <c r="AR418" t="s">
        <v>1993</v>
      </c>
      <c r="AS418" t="s">
        <v>1995</v>
      </c>
      <c r="AT418" t="s">
        <v>1996</v>
      </c>
      <c r="AU418" t="s">
        <v>1995</v>
      </c>
      <c r="AV418" t="s">
        <v>1996</v>
      </c>
      <c r="AW418" t="s">
        <v>1995</v>
      </c>
      <c r="AX418" t="s">
        <v>1194</v>
      </c>
      <c r="AY418" t="s">
        <v>1996</v>
      </c>
      <c r="AZ418">
        <v>1907</v>
      </c>
      <c r="BA418" t="s">
        <v>1194</v>
      </c>
      <c r="BB418" t="s">
        <v>2014</v>
      </c>
      <c r="BC418" s="3">
        <v>0</v>
      </c>
      <c r="BD418" s="3">
        <v>0</v>
      </c>
      <c r="BE418" s="3">
        <v>11431.65</v>
      </c>
      <c r="BF418" s="3">
        <v>3649.15</v>
      </c>
      <c r="BG418" s="3">
        <v>150</v>
      </c>
      <c r="BH418" s="3">
        <v>0</v>
      </c>
      <c r="BI418" s="3">
        <v>3489</v>
      </c>
      <c r="BJ418" s="3">
        <v>18719.8</v>
      </c>
      <c r="BK418" s="3">
        <v>0</v>
      </c>
      <c r="BL418" s="3">
        <v>18719.8</v>
      </c>
      <c r="BM418" s="2">
        <f t="shared" ca="1" si="13"/>
        <v>1</v>
      </c>
      <c r="BN418" s="3">
        <v>100000</v>
      </c>
      <c r="BO418" s="3">
        <v>100000</v>
      </c>
      <c r="BP418" s="3">
        <v>100000</v>
      </c>
      <c r="BQ418" s="3">
        <v>100000</v>
      </c>
      <c r="BR418" s="3">
        <v>500000</v>
      </c>
      <c r="BS418">
        <v>250000</v>
      </c>
      <c r="BT418">
        <v>0</v>
      </c>
      <c r="BU418">
        <v>0</v>
      </c>
      <c r="BV418">
        <v>0</v>
      </c>
      <c r="BW418">
        <v>1</v>
      </c>
      <c r="BX418">
        <v>0</v>
      </c>
      <c r="BY418">
        <v>0</v>
      </c>
      <c r="BZ418" t="s">
        <v>2950</v>
      </c>
      <c r="CA418" t="s">
        <v>1194</v>
      </c>
      <c r="CB418" t="s">
        <v>2941</v>
      </c>
    </row>
    <row r="419" spans="1:80" x14ac:dyDescent="0.25">
      <c r="A419">
        <v>418</v>
      </c>
      <c r="B419" t="s">
        <v>2433</v>
      </c>
      <c r="C419" s="1">
        <v>44896</v>
      </c>
      <c r="D419" s="2">
        <v>36</v>
      </c>
      <c r="E419" t="s">
        <v>4</v>
      </c>
      <c r="F419" t="s">
        <v>1311</v>
      </c>
      <c r="G419">
        <v>1</v>
      </c>
      <c r="H419" s="3">
        <v>5000000</v>
      </c>
      <c r="I419" s="3">
        <v>0</v>
      </c>
      <c r="J419" s="3">
        <v>0</v>
      </c>
      <c r="K419" s="3">
        <v>0</v>
      </c>
      <c r="L419" s="3" t="s">
        <v>1191</v>
      </c>
      <c r="M419">
        <v>1768476</v>
      </c>
      <c r="N419" t="s">
        <v>773</v>
      </c>
      <c r="P419" t="s">
        <v>134</v>
      </c>
      <c r="Q419" t="s">
        <v>17</v>
      </c>
      <c r="R419">
        <v>29455</v>
      </c>
      <c r="S419" t="s">
        <v>31</v>
      </c>
      <c r="T419" t="s">
        <v>969</v>
      </c>
      <c r="U419">
        <v>0</v>
      </c>
      <c r="V419" t="s">
        <v>1040</v>
      </c>
      <c r="W419" t="s">
        <v>1194</v>
      </c>
      <c r="X419" t="s">
        <v>973</v>
      </c>
      <c r="Y419">
        <v>10000</v>
      </c>
      <c r="Z419" s="2">
        <v>5</v>
      </c>
      <c r="AA419" s="2" t="s">
        <v>1238</v>
      </c>
      <c r="AB419" t="s">
        <v>1238</v>
      </c>
      <c r="AC419">
        <v>874</v>
      </c>
      <c r="AD419" t="s">
        <v>1279</v>
      </c>
      <c r="AE419">
        <v>2</v>
      </c>
      <c r="AF419" t="s">
        <v>1291</v>
      </c>
      <c r="AG419">
        <v>0</v>
      </c>
      <c r="AH419">
        <v>0</v>
      </c>
      <c r="AI419">
        <v>0</v>
      </c>
      <c r="AJ419">
        <v>2021</v>
      </c>
      <c r="AK419" t="s">
        <v>1194</v>
      </c>
      <c r="AL419" t="s">
        <v>1194</v>
      </c>
      <c r="AM419" s="4" t="s">
        <v>1238</v>
      </c>
      <c r="AN419">
        <v>0</v>
      </c>
      <c r="AO419" t="s">
        <v>1315</v>
      </c>
      <c r="AP419">
        <f t="shared" si="12"/>
        <v>0</v>
      </c>
      <c r="AQ419">
        <v>0</v>
      </c>
      <c r="AR419" t="s">
        <v>1993</v>
      </c>
      <c r="AS419" t="s">
        <v>1995</v>
      </c>
      <c r="AT419" t="s">
        <v>1995</v>
      </c>
      <c r="AU419" t="s">
        <v>1995</v>
      </c>
      <c r="AV419" t="s">
        <v>1995</v>
      </c>
      <c r="AW419" t="s">
        <v>1995</v>
      </c>
      <c r="AX419" t="s">
        <v>2007</v>
      </c>
      <c r="AY419" t="s">
        <v>1995</v>
      </c>
      <c r="AZ419">
        <v>7000</v>
      </c>
      <c r="BA419" t="s">
        <v>1194</v>
      </c>
      <c r="BB419" t="s">
        <v>1194</v>
      </c>
      <c r="BC419" s="3">
        <v>6084.0428000000002</v>
      </c>
      <c r="BD419" s="3">
        <v>11184.05</v>
      </c>
      <c r="BE419" s="3">
        <v>0</v>
      </c>
      <c r="BF419" s="3">
        <v>0</v>
      </c>
      <c r="BG419" s="3">
        <v>150</v>
      </c>
      <c r="BH419" s="3">
        <v>0</v>
      </c>
      <c r="BI419" s="3">
        <v>15521</v>
      </c>
      <c r="BJ419" s="3">
        <v>32939</v>
      </c>
      <c r="BK419" s="3">
        <v>4686.4799999999996</v>
      </c>
      <c r="BL419" s="3">
        <v>37625.480000000003</v>
      </c>
      <c r="BM419" s="2">
        <f t="shared" ca="1" si="13"/>
        <v>5</v>
      </c>
      <c r="BN419" s="3">
        <v>1000000</v>
      </c>
      <c r="BO419" s="3">
        <v>25000</v>
      </c>
      <c r="BP419" s="3">
        <v>100000</v>
      </c>
      <c r="BQ419" s="3">
        <v>500000</v>
      </c>
      <c r="BR419" s="3">
        <v>2000000</v>
      </c>
      <c r="BS419">
        <v>50000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 t="s">
        <v>2940</v>
      </c>
      <c r="CA419" t="s">
        <v>2939</v>
      </c>
      <c r="CB419" t="s">
        <v>2945</v>
      </c>
    </row>
    <row r="420" spans="1:80" x14ac:dyDescent="0.25">
      <c r="A420">
        <v>419</v>
      </c>
      <c r="B420" t="s">
        <v>2434</v>
      </c>
      <c r="C420" s="1">
        <v>44827</v>
      </c>
      <c r="D420" s="2">
        <v>27</v>
      </c>
      <c r="E420" t="s">
        <v>4</v>
      </c>
      <c r="F420" t="s">
        <v>1311</v>
      </c>
      <c r="G420">
        <v>0</v>
      </c>
      <c r="H420" s="3">
        <v>2895145</v>
      </c>
      <c r="I420" s="3">
        <v>260000</v>
      </c>
      <c r="J420" s="3">
        <v>0</v>
      </c>
      <c r="K420" s="3">
        <v>0</v>
      </c>
      <c r="L420" s="3" t="s">
        <v>1191</v>
      </c>
      <c r="M420">
        <v>1769741</v>
      </c>
      <c r="N420" t="s">
        <v>774</v>
      </c>
      <c r="P420" t="s">
        <v>193</v>
      </c>
      <c r="Q420" t="s">
        <v>14</v>
      </c>
      <c r="R420">
        <v>11968</v>
      </c>
      <c r="S420" t="s">
        <v>26</v>
      </c>
      <c r="T420" t="s">
        <v>963</v>
      </c>
      <c r="U420">
        <v>0</v>
      </c>
      <c r="V420" t="s">
        <v>1015</v>
      </c>
      <c r="W420" t="s">
        <v>1194</v>
      </c>
      <c r="X420" t="s">
        <v>973</v>
      </c>
      <c r="Y420">
        <v>10000</v>
      </c>
      <c r="Z420" s="2">
        <v>2.0000034539999998</v>
      </c>
      <c r="AA420" s="2" t="s">
        <v>1238</v>
      </c>
      <c r="AB420" t="s">
        <v>1238</v>
      </c>
      <c r="AC420">
        <v>726</v>
      </c>
      <c r="AD420" t="s">
        <v>1279</v>
      </c>
      <c r="AE420">
        <v>3</v>
      </c>
      <c r="AF420" t="s">
        <v>1290</v>
      </c>
      <c r="AG420">
        <v>0</v>
      </c>
      <c r="AH420">
        <v>0</v>
      </c>
      <c r="AI420">
        <v>0</v>
      </c>
      <c r="AJ420">
        <v>2021</v>
      </c>
      <c r="AK420" t="s">
        <v>1194</v>
      </c>
      <c r="AL420" t="s">
        <v>1194</v>
      </c>
      <c r="AM420" s="4" t="s">
        <v>1238</v>
      </c>
      <c r="AN420">
        <v>1</v>
      </c>
      <c r="AO420" t="s">
        <v>1317</v>
      </c>
      <c r="AP420">
        <f t="shared" si="12"/>
        <v>0</v>
      </c>
      <c r="AQ420">
        <v>1</v>
      </c>
      <c r="AR420" t="s">
        <v>1992</v>
      </c>
      <c r="AS420" t="s">
        <v>1995</v>
      </c>
      <c r="AT420" t="s">
        <v>1995</v>
      </c>
      <c r="AU420" t="s">
        <v>1996</v>
      </c>
      <c r="AV420" t="s">
        <v>1996</v>
      </c>
      <c r="AW420" t="s">
        <v>1995</v>
      </c>
      <c r="AX420" t="s">
        <v>2006</v>
      </c>
      <c r="AY420" t="s">
        <v>1996</v>
      </c>
      <c r="AZ420">
        <v>5000</v>
      </c>
      <c r="BA420" t="s">
        <v>1194</v>
      </c>
      <c r="BB420" t="s">
        <v>1194</v>
      </c>
      <c r="BC420" s="3">
        <v>8786.1411000000007</v>
      </c>
      <c r="BD420" s="3">
        <v>8964.1</v>
      </c>
      <c r="BE420" s="3">
        <v>0</v>
      </c>
      <c r="BF420" s="3">
        <v>0</v>
      </c>
      <c r="BG420" s="3">
        <v>150</v>
      </c>
      <c r="BH420" s="3">
        <v>0</v>
      </c>
      <c r="BI420" s="3">
        <v>5132.32</v>
      </c>
      <c r="BJ420" s="3">
        <v>23033</v>
      </c>
      <c r="BK420" s="3">
        <v>0</v>
      </c>
      <c r="BL420" s="3">
        <v>23033</v>
      </c>
      <c r="BM420" s="2">
        <f t="shared" ca="1" si="13"/>
        <v>2</v>
      </c>
      <c r="BN420" s="3">
        <v>1000000</v>
      </c>
      <c r="BO420" s="3">
        <v>50000</v>
      </c>
      <c r="BP420" s="3">
        <v>100000</v>
      </c>
      <c r="BQ420" s="3">
        <v>25000</v>
      </c>
      <c r="BR420" s="3">
        <v>50000</v>
      </c>
      <c r="BS420">
        <v>50000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 t="s">
        <v>2942</v>
      </c>
      <c r="CA420" t="s">
        <v>2006</v>
      </c>
      <c r="CB420" t="s">
        <v>2006</v>
      </c>
    </row>
    <row r="421" spans="1:80" x14ac:dyDescent="0.25">
      <c r="A421">
        <v>420</v>
      </c>
      <c r="B421" t="s">
        <v>2435</v>
      </c>
      <c r="C421" s="1">
        <v>44944</v>
      </c>
      <c r="D421" s="2">
        <v>3</v>
      </c>
      <c r="E421" t="s">
        <v>4</v>
      </c>
      <c r="F421" t="s">
        <v>1310</v>
      </c>
      <c r="G421">
        <v>0</v>
      </c>
      <c r="H421" s="3">
        <v>4000000</v>
      </c>
      <c r="I421" s="3">
        <v>0</v>
      </c>
      <c r="J421" s="3">
        <v>0</v>
      </c>
      <c r="K421" s="3">
        <v>0</v>
      </c>
      <c r="L421" s="3" t="s">
        <v>1191</v>
      </c>
      <c r="M421">
        <v>631469</v>
      </c>
      <c r="N421" t="s">
        <v>775</v>
      </c>
      <c r="P421" t="s">
        <v>776</v>
      </c>
      <c r="Q421" t="s">
        <v>19</v>
      </c>
      <c r="R421">
        <v>90266</v>
      </c>
      <c r="S421" t="s">
        <v>46</v>
      </c>
      <c r="T421" t="s">
        <v>974</v>
      </c>
      <c r="U421">
        <v>0</v>
      </c>
      <c r="V421">
        <v>49</v>
      </c>
      <c r="W421" t="s">
        <v>1223</v>
      </c>
      <c r="X421" t="s">
        <v>973</v>
      </c>
      <c r="Y421">
        <v>25000</v>
      </c>
      <c r="Z421" s="2" t="s">
        <v>1194</v>
      </c>
      <c r="AA421" s="2" t="s">
        <v>1238</v>
      </c>
      <c r="AB421" t="s">
        <v>1238</v>
      </c>
      <c r="AC421" t="s">
        <v>1194</v>
      </c>
      <c r="AD421" t="s">
        <v>1279</v>
      </c>
      <c r="AE421">
        <v>2</v>
      </c>
      <c r="AF421" t="s">
        <v>1290</v>
      </c>
      <c r="AG421">
        <v>0</v>
      </c>
      <c r="AH421">
        <v>0</v>
      </c>
      <c r="AI421">
        <v>0</v>
      </c>
      <c r="AJ421">
        <v>2022</v>
      </c>
      <c r="AK421" t="s">
        <v>1194</v>
      </c>
      <c r="AL421" t="s">
        <v>1194</v>
      </c>
      <c r="AM421" s="4" t="s">
        <v>1304</v>
      </c>
      <c r="AN421">
        <v>0</v>
      </c>
      <c r="AO421" t="s">
        <v>1315</v>
      </c>
      <c r="AP421">
        <f t="shared" si="12"/>
        <v>0</v>
      </c>
      <c r="AQ421">
        <v>1</v>
      </c>
      <c r="AR421" t="s">
        <v>1992</v>
      </c>
      <c r="AS421" t="s">
        <v>1995</v>
      </c>
      <c r="AT421" t="s">
        <v>1995</v>
      </c>
      <c r="AU421" t="s">
        <v>1995</v>
      </c>
      <c r="AV421" t="s">
        <v>1996</v>
      </c>
      <c r="AW421" t="s">
        <v>1996</v>
      </c>
      <c r="AX421" t="s">
        <v>1194</v>
      </c>
      <c r="AY421" t="s">
        <v>1996</v>
      </c>
      <c r="AZ421">
        <v>10000</v>
      </c>
      <c r="BA421" t="s">
        <v>1194</v>
      </c>
      <c r="BB421" t="s">
        <v>2014</v>
      </c>
      <c r="BC421" s="3">
        <v>0</v>
      </c>
      <c r="BD421" s="3">
        <v>0</v>
      </c>
      <c r="BE421" s="3">
        <v>4397.4399999999996</v>
      </c>
      <c r="BF421" s="3">
        <v>5466.24</v>
      </c>
      <c r="BG421" s="3">
        <v>150</v>
      </c>
      <c r="BH421" s="3">
        <v>0</v>
      </c>
      <c r="BI421" s="3">
        <v>13980</v>
      </c>
      <c r="BJ421" s="3">
        <v>23993.68</v>
      </c>
      <c r="BK421" s="3">
        <v>0</v>
      </c>
      <c r="BL421" s="3">
        <v>23993.68</v>
      </c>
      <c r="BM421" s="2">
        <f t="shared" ca="1" si="13"/>
        <v>6</v>
      </c>
      <c r="BN421" s="3">
        <v>500000</v>
      </c>
      <c r="BO421" s="3">
        <v>20000</v>
      </c>
      <c r="BP421" s="3" t="s">
        <v>2922</v>
      </c>
      <c r="BQ421" s="3">
        <v>1000000</v>
      </c>
      <c r="BR421" s="3">
        <v>500000</v>
      </c>
      <c r="BS421">
        <v>500000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 t="s">
        <v>2948</v>
      </c>
      <c r="CA421" t="s">
        <v>1194</v>
      </c>
      <c r="CB421" t="s">
        <v>2949</v>
      </c>
    </row>
    <row r="422" spans="1:80" x14ac:dyDescent="0.25">
      <c r="A422">
        <v>421</v>
      </c>
      <c r="B422" t="s">
        <v>2436</v>
      </c>
      <c r="C422" s="1">
        <v>44726</v>
      </c>
      <c r="D422" s="2">
        <v>18</v>
      </c>
      <c r="E422" t="s">
        <v>4</v>
      </c>
      <c r="F422" t="s">
        <v>1311</v>
      </c>
      <c r="G422">
        <v>0</v>
      </c>
      <c r="H422" s="3">
        <v>8000000</v>
      </c>
      <c r="I422" s="3">
        <v>500000</v>
      </c>
      <c r="J422" s="3">
        <v>0</v>
      </c>
      <c r="K422" s="3">
        <v>0</v>
      </c>
      <c r="L422" s="3" t="s">
        <v>1191</v>
      </c>
      <c r="M422">
        <v>1769281</v>
      </c>
      <c r="N422" t="s">
        <v>777</v>
      </c>
      <c r="P422" t="s">
        <v>25</v>
      </c>
      <c r="Q422" t="s">
        <v>13</v>
      </c>
      <c r="R422">
        <v>2554</v>
      </c>
      <c r="S422" t="s">
        <v>25</v>
      </c>
      <c r="T422" t="s">
        <v>962</v>
      </c>
      <c r="U422">
        <v>0</v>
      </c>
      <c r="V422" t="s">
        <v>983</v>
      </c>
      <c r="W422" t="s">
        <v>1194</v>
      </c>
      <c r="X422" t="s">
        <v>973</v>
      </c>
      <c r="Y422">
        <v>50000</v>
      </c>
      <c r="Z422" s="2">
        <v>5</v>
      </c>
      <c r="AA422" s="2" t="s">
        <v>1238</v>
      </c>
      <c r="AB422" t="s">
        <v>1238</v>
      </c>
      <c r="AC422">
        <v>686</v>
      </c>
      <c r="AD422" t="s">
        <v>1279</v>
      </c>
      <c r="AE422">
        <v>8</v>
      </c>
      <c r="AF422" t="s">
        <v>1290</v>
      </c>
      <c r="AG422">
        <v>0</v>
      </c>
      <c r="AH422">
        <v>0</v>
      </c>
      <c r="AI422">
        <v>0</v>
      </c>
      <c r="AJ422">
        <v>2021</v>
      </c>
      <c r="AK422" t="s">
        <v>1194</v>
      </c>
      <c r="AL422" t="s">
        <v>1194</v>
      </c>
      <c r="AM422" s="4" t="s">
        <v>1238</v>
      </c>
      <c r="AN422">
        <v>0</v>
      </c>
      <c r="AO422" t="s">
        <v>1316</v>
      </c>
      <c r="AP422">
        <f t="shared" si="12"/>
        <v>0</v>
      </c>
      <c r="AQ422">
        <v>1</v>
      </c>
      <c r="AR422" t="s">
        <v>1992</v>
      </c>
      <c r="AS422" t="s">
        <v>1996</v>
      </c>
      <c r="AT422" t="s">
        <v>1996</v>
      </c>
      <c r="AU422" t="s">
        <v>1995</v>
      </c>
      <c r="AV422" t="s">
        <v>1995</v>
      </c>
      <c r="AW422" t="s">
        <v>1995</v>
      </c>
      <c r="AX422" t="s">
        <v>2006</v>
      </c>
      <c r="AY422" t="s">
        <v>1996</v>
      </c>
      <c r="AZ422">
        <v>6000</v>
      </c>
      <c r="BA422" t="s">
        <v>1194</v>
      </c>
      <c r="BB422" t="s">
        <v>1194</v>
      </c>
      <c r="BC422" s="3">
        <v>14128.186900000001</v>
      </c>
      <c r="BD422" s="3">
        <v>9509.23</v>
      </c>
      <c r="BE422" s="3">
        <v>0</v>
      </c>
      <c r="BF422" s="3">
        <v>0</v>
      </c>
      <c r="BG422" s="3">
        <v>150</v>
      </c>
      <c r="BH422" s="3">
        <v>0</v>
      </c>
      <c r="BI422" s="3">
        <v>22463</v>
      </c>
      <c r="BJ422" s="3">
        <v>46250</v>
      </c>
      <c r="BK422" s="3">
        <v>625</v>
      </c>
      <c r="BL422" s="3">
        <v>46875</v>
      </c>
      <c r="BM422" s="2">
        <f t="shared" ca="1" si="13"/>
        <v>4</v>
      </c>
      <c r="BN422" s="3">
        <v>100000</v>
      </c>
      <c r="BO422" s="3">
        <v>25000</v>
      </c>
      <c r="BP422" s="3">
        <v>200000</v>
      </c>
      <c r="BQ422" s="3">
        <v>1000000</v>
      </c>
      <c r="BR422" s="3">
        <v>100000</v>
      </c>
      <c r="BS422">
        <v>100000</v>
      </c>
      <c r="BT422">
        <v>0</v>
      </c>
      <c r="BU422">
        <v>0</v>
      </c>
      <c r="BV422">
        <v>0</v>
      </c>
      <c r="BW422">
        <v>1</v>
      </c>
      <c r="BX422">
        <v>1</v>
      </c>
      <c r="BY422">
        <v>0</v>
      </c>
      <c r="BZ422" t="s">
        <v>2006</v>
      </c>
      <c r="CA422" t="s">
        <v>2006</v>
      </c>
      <c r="CB422" t="s">
        <v>2006</v>
      </c>
    </row>
    <row r="423" spans="1:80" x14ac:dyDescent="0.25">
      <c r="A423">
        <v>422</v>
      </c>
      <c r="B423" t="s">
        <v>2437</v>
      </c>
      <c r="C423" s="1">
        <v>44853</v>
      </c>
      <c r="D423" s="2">
        <v>30</v>
      </c>
      <c r="E423" t="s">
        <v>4</v>
      </c>
      <c r="F423" t="s">
        <v>1311</v>
      </c>
      <c r="G423">
        <v>1</v>
      </c>
      <c r="H423" s="3">
        <v>3500000</v>
      </c>
      <c r="I423" s="3">
        <v>100000</v>
      </c>
      <c r="J423" s="3">
        <v>0</v>
      </c>
      <c r="K423" s="3">
        <v>0</v>
      </c>
      <c r="L423" s="3" t="s">
        <v>1191</v>
      </c>
      <c r="M423">
        <v>1771099</v>
      </c>
      <c r="N423" t="s">
        <v>778</v>
      </c>
      <c r="P423" t="s">
        <v>779</v>
      </c>
      <c r="Q423" t="s">
        <v>14</v>
      </c>
      <c r="R423">
        <v>11724</v>
      </c>
      <c r="S423" t="s">
        <v>26</v>
      </c>
      <c r="T423" t="s">
        <v>963</v>
      </c>
      <c r="U423">
        <v>0</v>
      </c>
      <c r="V423" t="s">
        <v>1150</v>
      </c>
      <c r="W423" t="s">
        <v>1194</v>
      </c>
      <c r="X423" t="s">
        <v>973</v>
      </c>
      <c r="Y423">
        <v>10000</v>
      </c>
      <c r="Z423" s="2">
        <v>1</v>
      </c>
      <c r="AA423" s="2" t="s">
        <v>1238</v>
      </c>
      <c r="AB423" t="s">
        <v>1238</v>
      </c>
      <c r="AC423">
        <v>759</v>
      </c>
      <c r="AD423" t="s">
        <v>1279</v>
      </c>
      <c r="AE423">
        <v>3</v>
      </c>
      <c r="AF423" t="s">
        <v>1290</v>
      </c>
      <c r="AG423">
        <v>0</v>
      </c>
      <c r="AH423">
        <v>0</v>
      </c>
      <c r="AI423">
        <v>0</v>
      </c>
      <c r="AJ423">
        <v>2021</v>
      </c>
      <c r="AK423" t="s">
        <v>1194</v>
      </c>
      <c r="AL423" t="s">
        <v>1194</v>
      </c>
      <c r="AM423" s="4" t="s">
        <v>1238</v>
      </c>
      <c r="AN423">
        <v>0</v>
      </c>
      <c r="AO423" t="s">
        <v>1316</v>
      </c>
      <c r="AP423">
        <f t="shared" si="12"/>
        <v>0</v>
      </c>
      <c r="AQ423">
        <v>0</v>
      </c>
      <c r="AR423" t="s">
        <v>1993</v>
      </c>
      <c r="AS423" t="s">
        <v>1996</v>
      </c>
      <c r="AT423" t="s">
        <v>1995</v>
      </c>
      <c r="AU423" t="s">
        <v>1996</v>
      </c>
      <c r="AV423" t="s">
        <v>1996</v>
      </c>
      <c r="AW423" t="s">
        <v>1995</v>
      </c>
      <c r="AX423" t="s">
        <v>2006</v>
      </c>
      <c r="AY423" t="s">
        <v>1996</v>
      </c>
      <c r="AZ423">
        <v>6000</v>
      </c>
      <c r="BA423" t="s">
        <v>1194</v>
      </c>
      <c r="BB423" t="s">
        <v>1194</v>
      </c>
      <c r="BC423" s="3">
        <v>12856.3081</v>
      </c>
      <c r="BD423" s="3">
        <v>3112.91</v>
      </c>
      <c r="BE423" s="3">
        <v>0</v>
      </c>
      <c r="BF423" s="3">
        <v>0</v>
      </c>
      <c r="BG423" s="3">
        <v>150</v>
      </c>
      <c r="BH423" s="3">
        <v>0</v>
      </c>
      <c r="BI423" s="3">
        <v>2731</v>
      </c>
      <c r="BJ423" s="3">
        <v>18850</v>
      </c>
      <c r="BK423" s="3">
        <v>0</v>
      </c>
      <c r="BL423" s="3">
        <v>18850</v>
      </c>
      <c r="BM423" s="2">
        <f t="shared" ca="1" si="13"/>
        <v>3</v>
      </c>
      <c r="BN423" s="3" t="s">
        <v>2916</v>
      </c>
      <c r="BO423" s="3">
        <v>50000</v>
      </c>
      <c r="BP423" s="3">
        <v>100000</v>
      </c>
      <c r="BQ423" s="3">
        <v>25000</v>
      </c>
      <c r="BR423" s="3">
        <v>1000000</v>
      </c>
      <c r="BS423">
        <v>50000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2942</v>
      </c>
      <c r="CA423" t="s">
        <v>2006</v>
      </c>
      <c r="CB423" t="s">
        <v>2006</v>
      </c>
    </row>
    <row r="424" spans="1:80" x14ac:dyDescent="0.25">
      <c r="A424">
        <v>423</v>
      </c>
      <c r="B424" t="s">
        <v>2438</v>
      </c>
      <c r="C424" s="1">
        <v>44941</v>
      </c>
      <c r="D424" s="2">
        <v>3</v>
      </c>
      <c r="E424" t="s">
        <v>4</v>
      </c>
      <c r="F424" t="s">
        <v>1310</v>
      </c>
      <c r="G424">
        <v>0</v>
      </c>
      <c r="H424" s="3">
        <v>0</v>
      </c>
      <c r="I424" s="3">
        <v>0</v>
      </c>
      <c r="J424" s="3">
        <v>1250000</v>
      </c>
      <c r="K424" s="3">
        <v>0</v>
      </c>
      <c r="L424" s="3" t="s">
        <v>1192</v>
      </c>
      <c r="M424">
        <v>2018760</v>
      </c>
      <c r="N424" t="s">
        <v>780</v>
      </c>
      <c r="O424" t="s">
        <v>781</v>
      </c>
      <c r="P424" t="s">
        <v>29</v>
      </c>
      <c r="Q424" t="s">
        <v>14</v>
      </c>
      <c r="R424">
        <v>10019</v>
      </c>
      <c r="S424" t="s">
        <v>29</v>
      </c>
      <c r="T424" t="s">
        <v>962</v>
      </c>
      <c r="U424">
        <v>0</v>
      </c>
      <c r="V424" t="s">
        <v>1138</v>
      </c>
      <c r="W424" t="s">
        <v>1194</v>
      </c>
      <c r="X424" t="s">
        <v>973</v>
      </c>
      <c r="Y424">
        <v>10000</v>
      </c>
      <c r="Z424" s="2">
        <v>1</v>
      </c>
      <c r="AA424" s="2" t="s">
        <v>1238</v>
      </c>
      <c r="AB424" t="s">
        <v>1238</v>
      </c>
      <c r="AC424">
        <v>1</v>
      </c>
      <c r="AD424" t="s">
        <v>1281</v>
      </c>
      <c r="AE424">
        <v>1</v>
      </c>
      <c r="AF424" t="s">
        <v>1290</v>
      </c>
      <c r="AG424">
        <v>0</v>
      </c>
      <c r="AH424">
        <v>0</v>
      </c>
      <c r="AI424">
        <v>0</v>
      </c>
      <c r="AJ424">
        <v>2007</v>
      </c>
      <c r="AK424" t="s">
        <v>1194</v>
      </c>
      <c r="AL424" t="s">
        <v>1194</v>
      </c>
      <c r="AM424" s="4" t="s">
        <v>1305</v>
      </c>
      <c r="AN424">
        <v>0</v>
      </c>
      <c r="AO424" t="s">
        <v>1317</v>
      </c>
      <c r="AP424">
        <f t="shared" si="12"/>
        <v>0</v>
      </c>
      <c r="AQ424">
        <v>0</v>
      </c>
      <c r="AR424" t="s">
        <v>1993</v>
      </c>
      <c r="AS424" t="s">
        <v>1996</v>
      </c>
      <c r="AT424" t="s">
        <v>1995</v>
      </c>
      <c r="AU424" t="s">
        <v>1995</v>
      </c>
      <c r="AV424" t="s">
        <v>1996</v>
      </c>
      <c r="AW424" t="s">
        <v>1996</v>
      </c>
      <c r="AX424" t="s">
        <v>2006</v>
      </c>
      <c r="AY424" t="s">
        <v>1996</v>
      </c>
      <c r="AZ424">
        <v>1695</v>
      </c>
      <c r="BA424" t="s">
        <v>1194</v>
      </c>
      <c r="BB424" t="s">
        <v>1194</v>
      </c>
      <c r="BC424" s="3">
        <v>4991.2269999999999</v>
      </c>
      <c r="BD424" s="3">
        <v>831.04</v>
      </c>
      <c r="BE424" s="3">
        <v>0</v>
      </c>
      <c r="BF424" s="3">
        <v>0</v>
      </c>
      <c r="BG424" s="3">
        <v>150</v>
      </c>
      <c r="BH424" s="3">
        <v>0</v>
      </c>
      <c r="BI424" s="3">
        <v>6536</v>
      </c>
      <c r="BJ424" s="3">
        <v>12508</v>
      </c>
      <c r="BK424" s="3">
        <v>0</v>
      </c>
      <c r="BL424" s="3">
        <v>12508</v>
      </c>
      <c r="BM424" s="2">
        <f t="shared" ca="1" si="13"/>
        <v>4</v>
      </c>
      <c r="BN424" s="3">
        <v>50000</v>
      </c>
      <c r="BO424" s="3">
        <v>50000</v>
      </c>
      <c r="BP424" s="3">
        <v>50000</v>
      </c>
      <c r="BQ424" s="3">
        <v>50000</v>
      </c>
      <c r="BR424" s="3">
        <v>2000000</v>
      </c>
      <c r="BS424">
        <v>50000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 t="s">
        <v>2942</v>
      </c>
      <c r="CA424" t="s">
        <v>2939</v>
      </c>
      <c r="CB424" t="s">
        <v>2946</v>
      </c>
    </row>
    <row r="425" spans="1:80" x14ac:dyDescent="0.25">
      <c r="A425">
        <v>424</v>
      </c>
      <c r="B425" t="s">
        <v>2439</v>
      </c>
      <c r="C425" s="1">
        <v>44873</v>
      </c>
      <c r="D425" s="2">
        <v>33</v>
      </c>
      <c r="E425" t="s">
        <v>4</v>
      </c>
      <c r="F425" t="s">
        <v>1311</v>
      </c>
      <c r="G425">
        <v>0</v>
      </c>
      <c r="H425" s="3">
        <v>2750000</v>
      </c>
      <c r="I425" s="3">
        <v>450000</v>
      </c>
      <c r="J425" s="3">
        <v>0</v>
      </c>
      <c r="K425" s="3">
        <v>0</v>
      </c>
      <c r="L425" s="3" t="s">
        <v>1191</v>
      </c>
      <c r="M425">
        <v>1774212</v>
      </c>
      <c r="N425" t="s">
        <v>782</v>
      </c>
      <c r="P425" t="s">
        <v>518</v>
      </c>
      <c r="Q425" t="s">
        <v>13</v>
      </c>
      <c r="R425">
        <v>2539</v>
      </c>
      <c r="S425" t="s">
        <v>55</v>
      </c>
      <c r="T425" t="s">
        <v>963</v>
      </c>
      <c r="U425">
        <v>0</v>
      </c>
      <c r="V425" t="s">
        <v>1027</v>
      </c>
      <c r="W425" t="s">
        <v>1194</v>
      </c>
      <c r="X425" t="s">
        <v>973</v>
      </c>
      <c r="Y425">
        <v>10000</v>
      </c>
      <c r="Z425" s="2">
        <v>5</v>
      </c>
      <c r="AA425" s="2" t="s">
        <v>1238</v>
      </c>
      <c r="AB425" t="s">
        <v>1238</v>
      </c>
      <c r="AC425">
        <v>764</v>
      </c>
      <c r="AD425" t="s">
        <v>1279</v>
      </c>
      <c r="AE425">
        <v>9</v>
      </c>
      <c r="AF425" t="s">
        <v>1290</v>
      </c>
      <c r="AG425">
        <v>0</v>
      </c>
      <c r="AH425">
        <v>0</v>
      </c>
      <c r="AI425">
        <v>0</v>
      </c>
      <c r="AJ425">
        <v>1930</v>
      </c>
      <c r="AK425">
        <v>2021</v>
      </c>
      <c r="AL425">
        <v>2021</v>
      </c>
      <c r="AM425" s="4" t="s">
        <v>1238</v>
      </c>
      <c r="AN425">
        <v>0</v>
      </c>
      <c r="AO425" t="s">
        <v>1316</v>
      </c>
      <c r="AP425">
        <f t="shared" si="12"/>
        <v>0</v>
      </c>
      <c r="AQ425">
        <v>1</v>
      </c>
      <c r="AR425" t="s">
        <v>1992</v>
      </c>
      <c r="AS425" t="s">
        <v>1996</v>
      </c>
      <c r="AT425" t="s">
        <v>1995</v>
      </c>
      <c r="AU425" t="s">
        <v>1996</v>
      </c>
      <c r="AV425" t="s">
        <v>1995</v>
      </c>
      <c r="AW425" t="s">
        <v>1995</v>
      </c>
      <c r="AX425" t="s">
        <v>2006</v>
      </c>
      <c r="AY425" t="s">
        <v>1996</v>
      </c>
      <c r="AZ425">
        <v>3585</v>
      </c>
      <c r="BA425" t="s">
        <v>1194</v>
      </c>
      <c r="BB425" t="s">
        <v>1194</v>
      </c>
      <c r="BC425" s="3">
        <v>10348.696</v>
      </c>
      <c r="BD425" s="3">
        <v>9180.32</v>
      </c>
      <c r="BE425" s="3">
        <v>0</v>
      </c>
      <c r="BF425" s="3">
        <v>0</v>
      </c>
      <c r="BG425" s="3">
        <v>150</v>
      </c>
      <c r="BH425" s="3">
        <v>0</v>
      </c>
      <c r="BI425" s="3">
        <v>4640.9799999999996</v>
      </c>
      <c r="BJ425" s="3">
        <v>24320</v>
      </c>
      <c r="BK425" s="3">
        <v>0</v>
      </c>
      <c r="BL425" s="3">
        <v>24320</v>
      </c>
      <c r="BM425" s="2">
        <f t="shared" ca="1" si="13"/>
        <v>1</v>
      </c>
      <c r="BN425" s="3">
        <v>500000</v>
      </c>
      <c r="BO425" s="3">
        <v>1000000</v>
      </c>
      <c r="BP425" s="3">
        <v>50000</v>
      </c>
      <c r="BQ425" s="3">
        <v>100000</v>
      </c>
      <c r="BR425" s="3">
        <v>1000000</v>
      </c>
      <c r="BS425">
        <v>100000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 t="s">
        <v>2942</v>
      </c>
      <c r="CA425" t="s">
        <v>2006</v>
      </c>
      <c r="CB425" t="s">
        <v>2006</v>
      </c>
    </row>
    <row r="426" spans="1:80" x14ac:dyDescent="0.25">
      <c r="A426">
        <v>425</v>
      </c>
      <c r="B426" t="s">
        <v>2440</v>
      </c>
      <c r="C426" s="1">
        <v>44862</v>
      </c>
      <c r="D426" s="2">
        <v>30</v>
      </c>
      <c r="E426" t="s">
        <v>4</v>
      </c>
      <c r="F426" t="s">
        <v>1311</v>
      </c>
      <c r="G426">
        <v>0</v>
      </c>
      <c r="H426" s="3">
        <v>2500000</v>
      </c>
      <c r="I426" s="3">
        <v>0</v>
      </c>
      <c r="J426" s="3">
        <v>0</v>
      </c>
      <c r="K426" s="3">
        <v>0</v>
      </c>
      <c r="L426" s="3" t="s">
        <v>1191</v>
      </c>
      <c r="M426">
        <v>1773834</v>
      </c>
      <c r="N426" t="s">
        <v>783</v>
      </c>
      <c r="P426" t="s">
        <v>271</v>
      </c>
      <c r="Q426" t="s">
        <v>14</v>
      </c>
      <c r="R426">
        <v>11201</v>
      </c>
      <c r="S426" t="s">
        <v>67</v>
      </c>
      <c r="T426" t="s">
        <v>970</v>
      </c>
      <c r="U426">
        <v>0</v>
      </c>
      <c r="V426" t="s">
        <v>1151</v>
      </c>
      <c r="W426" t="s">
        <v>1194</v>
      </c>
      <c r="X426" t="s">
        <v>973</v>
      </c>
      <c r="Y426">
        <v>10000</v>
      </c>
      <c r="Z426" s="2">
        <v>2</v>
      </c>
      <c r="AA426" s="2" t="s">
        <v>1238</v>
      </c>
      <c r="AB426" t="s">
        <v>1238</v>
      </c>
      <c r="AC426">
        <v>819</v>
      </c>
      <c r="AD426" t="s">
        <v>1280</v>
      </c>
      <c r="AE426">
        <v>1</v>
      </c>
      <c r="AF426" t="s">
        <v>1290</v>
      </c>
      <c r="AG426">
        <v>0</v>
      </c>
      <c r="AH426">
        <v>0</v>
      </c>
      <c r="AI426">
        <v>0</v>
      </c>
      <c r="AJ426">
        <v>1930</v>
      </c>
      <c r="AK426">
        <v>2010</v>
      </c>
      <c r="AL426">
        <v>2017</v>
      </c>
      <c r="AM426" s="4" t="s">
        <v>1238</v>
      </c>
      <c r="AN426">
        <v>0</v>
      </c>
      <c r="AO426" t="s">
        <v>1316</v>
      </c>
      <c r="AP426">
        <f t="shared" si="12"/>
        <v>0</v>
      </c>
      <c r="AQ426">
        <v>0</v>
      </c>
      <c r="AR426" t="s">
        <v>1993</v>
      </c>
      <c r="AS426" t="s">
        <v>1995</v>
      </c>
      <c r="AT426" t="s">
        <v>1996</v>
      </c>
      <c r="AU426" t="s">
        <v>1996</v>
      </c>
      <c r="AV426" t="s">
        <v>1995</v>
      </c>
      <c r="AW426" t="s">
        <v>1996</v>
      </c>
      <c r="AX426" t="s">
        <v>2006</v>
      </c>
      <c r="AY426" t="s">
        <v>1996</v>
      </c>
      <c r="AZ426">
        <v>3420</v>
      </c>
      <c r="BA426" t="s">
        <v>1194</v>
      </c>
      <c r="BB426" t="s">
        <v>1194</v>
      </c>
      <c r="BC426" s="3">
        <v>11459.955099999999</v>
      </c>
      <c r="BD426" s="3">
        <v>2239.2399999999998</v>
      </c>
      <c r="BE426" s="3">
        <v>0</v>
      </c>
      <c r="BF426" s="3">
        <v>0</v>
      </c>
      <c r="BG426" s="3">
        <v>150</v>
      </c>
      <c r="BH426" s="3">
        <v>0</v>
      </c>
      <c r="BI426" s="3">
        <v>5151</v>
      </c>
      <c r="BJ426" s="3">
        <v>19000</v>
      </c>
      <c r="BK426" s="3">
        <v>0</v>
      </c>
      <c r="BL426" s="3">
        <v>19000</v>
      </c>
      <c r="BM426" s="2">
        <f t="shared" ca="1" si="13"/>
        <v>1</v>
      </c>
      <c r="BN426" s="3">
        <v>50000</v>
      </c>
      <c r="BO426" s="3">
        <v>25000</v>
      </c>
      <c r="BP426" s="3" t="s">
        <v>2922</v>
      </c>
      <c r="BQ426" s="3">
        <v>2000000</v>
      </c>
      <c r="BR426" s="3">
        <v>500000</v>
      </c>
      <c r="BS426">
        <v>50000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 t="s">
        <v>2942</v>
      </c>
      <c r="CA426" t="s">
        <v>2006</v>
      </c>
      <c r="CB426" t="s">
        <v>2946</v>
      </c>
    </row>
    <row r="427" spans="1:80" x14ac:dyDescent="0.25">
      <c r="A427">
        <v>426</v>
      </c>
      <c r="B427" t="s">
        <v>2441</v>
      </c>
      <c r="C427" s="1">
        <v>44835</v>
      </c>
      <c r="D427" s="2">
        <v>30</v>
      </c>
      <c r="E427" t="s">
        <v>4</v>
      </c>
      <c r="F427" t="s">
        <v>1311</v>
      </c>
      <c r="G427">
        <v>1</v>
      </c>
      <c r="H427" s="3">
        <v>0</v>
      </c>
      <c r="I427" s="3">
        <v>0</v>
      </c>
      <c r="J427" s="3">
        <v>1600000</v>
      </c>
      <c r="K427" s="3">
        <v>0</v>
      </c>
      <c r="L427" s="3" t="s">
        <v>1192</v>
      </c>
      <c r="M427">
        <v>1987033</v>
      </c>
      <c r="N427" t="s">
        <v>784</v>
      </c>
      <c r="O427" t="s">
        <v>785</v>
      </c>
      <c r="P427" t="s">
        <v>29</v>
      </c>
      <c r="Q427" t="s">
        <v>14</v>
      </c>
      <c r="R427">
        <v>10021</v>
      </c>
      <c r="S427" t="s">
        <v>29</v>
      </c>
      <c r="T427" t="s">
        <v>962</v>
      </c>
      <c r="U427">
        <v>0</v>
      </c>
      <c r="V427" t="s">
        <v>1009</v>
      </c>
      <c r="W427" t="s">
        <v>1194</v>
      </c>
      <c r="X427" t="s">
        <v>973</v>
      </c>
      <c r="Y427">
        <v>10000</v>
      </c>
      <c r="Z427" s="2">
        <v>1</v>
      </c>
      <c r="AA427" s="2" t="s">
        <v>1238</v>
      </c>
      <c r="AB427" t="s">
        <v>1238</v>
      </c>
      <c r="AC427">
        <v>709</v>
      </c>
      <c r="AD427" t="s">
        <v>1280</v>
      </c>
      <c r="AE427">
        <v>1</v>
      </c>
      <c r="AF427" t="s">
        <v>1290</v>
      </c>
      <c r="AG427">
        <v>0</v>
      </c>
      <c r="AH427">
        <v>0</v>
      </c>
      <c r="AI427">
        <v>0</v>
      </c>
      <c r="AJ427">
        <v>1920</v>
      </c>
      <c r="AK427">
        <v>2022</v>
      </c>
      <c r="AL427" t="s">
        <v>1194</v>
      </c>
      <c r="AM427" s="4" t="s">
        <v>1238</v>
      </c>
      <c r="AN427">
        <v>0</v>
      </c>
      <c r="AO427" t="s">
        <v>1315</v>
      </c>
      <c r="AP427">
        <f t="shared" si="12"/>
        <v>0</v>
      </c>
      <c r="AQ427">
        <v>1</v>
      </c>
      <c r="AR427" t="s">
        <v>1992</v>
      </c>
      <c r="AS427" t="s">
        <v>1996</v>
      </c>
      <c r="AT427" t="s">
        <v>1995</v>
      </c>
      <c r="AU427" t="s">
        <v>1996</v>
      </c>
      <c r="AV427" t="s">
        <v>1996</v>
      </c>
      <c r="AW427" t="s">
        <v>1995</v>
      </c>
      <c r="AX427" t="s">
        <v>2006</v>
      </c>
      <c r="AY427" t="s">
        <v>1996</v>
      </c>
      <c r="AZ427">
        <v>1998</v>
      </c>
      <c r="BA427" t="s">
        <v>1194</v>
      </c>
      <c r="BB427" t="s">
        <v>1194</v>
      </c>
      <c r="BC427" s="3">
        <v>7798.4251000000004</v>
      </c>
      <c r="BD427" s="3">
        <v>1701.26</v>
      </c>
      <c r="BE427" s="3">
        <v>0</v>
      </c>
      <c r="BF427" s="3">
        <v>0</v>
      </c>
      <c r="BG427" s="3">
        <v>150</v>
      </c>
      <c r="BH427" s="3">
        <v>0</v>
      </c>
      <c r="BI427" s="3">
        <v>600</v>
      </c>
      <c r="BJ427" s="3">
        <v>10250</v>
      </c>
      <c r="BK427" s="3">
        <v>0</v>
      </c>
      <c r="BL427" s="3">
        <v>10250</v>
      </c>
      <c r="BM427" s="2">
        <f t="shared" ca="1" si="13"/>
        <v>5</v>
      </c>
      <c r="BN427" s="3">
        <v>50000</v>
      </c>
      <c r="BO427" s="3">
        <v>25000</v>
      </c>
      <c r="BP427" s="3">
        <v>100000</v>
      </c>
      <c r="BQ427" s="3">
        <v>25000</v>
      </c>
      <c r="BR427" s="3">
        <v>50000</v>
      </c>
      <c r="BS427">
        <v>2000000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 t="s">
        <v>2942</v>
      </c>
      <c r="CA427" t="s">
        <v>2006</v>
      </c>
      <c r="CB427" t="s">
        <v>2946</v>
      </c>
    </row>
    <row r="428" spans="1:80" x14ac:dyDescent="0.25">
      <c r="A428">
        <v>427</v>
      </c>
      <c r="B428" t="s">
        <v>2442</v>
      </c>
      <c r="C428" s="1">
        <v>44869</v>
      </c>
      <c r="D428" s="2">
        <v>33</v>
      </c>
      <c r="E428" t="s">
        <v>4</v>
      </c>
      <c r="F428" t="s">
        <v>1311</v>
      </c>
      <c r="G428">
        <v>1</v>
      </c>
      <c r="H428" s="3">
        <v>4000000</v>
      </c>
      <c r="I428" s="3">
        <v>343000</v>
      </c>
      <c r="J428" s="3">
        <v>0</v>
      </c>
      <c r="K428" s="3">
        <v>0</v>
      </c>
      <c r="L428" s="3" t="s">
        <v>1191</v>
      </c>
      <c r="M428">
        <v>1780805</v>
      </c>
      <c r="N428" t="s">
        <v>786</v>
      </c>
      <c r="P428" t="s">
        <v>787</v>
      </c>
      <c r="Q428" t="s">
        <v>15</v>
      </c>
      <c r="R428">
        <v>33160</v>
      </c>
      <c r="S428" t="s">
        <v>33</v>
      </c>
      <c r="T428" t="s">
        <v>967</v>
      </c>
      <c r="U428">
        <v>1</v>
      </c>
      <c r="V428" t="s">
        <v>1056</v>
      </c>
      <c r="W428" t="s">
        <v>1194</v>
      </c>
      <c r="X428" t="s">
        <v>1309</v>
      </c>
      <c r="Y428">
        <v>250000</v>
      </c>
      <c r="Z428" s="2">
        <v>25</v>
      </c>
      <c r="AA428" s="2" t="s">
        <v>1238</v>
      </c>
      <c r="AB428" t="s">
        <v>1238</v>
      </c>
      <c r="AC428">
        <v>770</v>
      </c>
      <c r="AD428" t="s">
        <v>1280</v>
      </c>
      <c r="AE428">
        <v>2</v>
      </c>
      <c r="AF428" t="s">
        <v>1291</v>
      </c>
      <c r="AG428">
        <v>0</v>
      </c>
      <c r="AH428">
        <v>0</v>
      </c>
      <c r="AI428">
        <v>0</v>
      </c>
      <c r="AJ428">
        <v>2004</v>
      </c>
      <c r="AK428" t="s">
        <v>1194</v>
      </c>
      <c r="AL428" t="s">
        <v>1194</v>
      </c>
      <c r="AM428" s="4" t="s">
        <v>1238</v>
      </c>
      <c r="AN428">
        <v>0</v>
      </c>
      <c r="AO428" t="s">
        <v>1315</v>
      </c>
      <c r="AP428">
        <f t="shared" si="12"/>
        <v>0</v>
      </c>
      <c r="AQ428">
        <v>1</v>
      </c>
      <c r="AR428" t="s">
        <v>1992</v>
      </c>
      <c r="AS428" t="s">
        <v>1995</v>
      </c>
      <c r="AT428" t="s">
        <v>1996</v>
      </c>
      <c r="AU428" t="s">
        <v>1995</v>
      </c>
      <c r="AV428" t="s">
        <v>1995</v>
      </c>
      <c r="AW428" t="s">
        <v>1996</v>
      </c>
      <c r="AX428" t="s">
        <v>2007</v>
      </c>
      <c r="AY428" t="s">
        <v>1995</v>
      </c>
      <c r="AZ428">
        <v>6406</v>
      </c>
      <c r="BA428" t="s">
        <v>1194</v>
      </c>
      <c r="BB428" t="s">
        <v>1194</v>
      </c>
      <c r="BC428" s="3">
        <v>8512.5584999999992</v>
      </c>
      <c r="BD428" s="3">
        <v>20027.990000000002</v>
      </c>
      <c r="BE428" s="3">
        <v>0</v>
      </c>
      <c r="BF428" s="3">
        <v>0</v>
      </c>
      <c r="BG428" s="3">
        <v>300</v>
      </c>
      <c r="BH428" s="3">
        <v>0</v>
      </c>
      <c r="BI428" s="3">
        <v>15439</v>
      </c>
      <c r="BJ428" s="3">
        <v>44280</v>
      </c>
      <c r="BK428" s="3">
        <v>250</v>
      </c>
      <c r="BL428" s="3">
        <v>44530</v>
      </c>
      <c r="BM428" s="2">
        <f t="shared" ca="1" si="13"/>
        <v>4</v>
      </c>
      <c r="BN428" s="3">
        <v>500000</v>
      </c>
      <c r="BO428" s="3">
        <v>250000</v>
      </c>
      <c r="BP428" s="3" t="s">
        <v>2922</v>
      </c>
      <c r="BQ428" s="3">
        <v>500000</v>
      </c>
      <c r="BR428" s="3">
        <v>1000000</v>
      </c>
      <c r="BS428">
        <v>500000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 t="s">
        <v>2940</v>
      </c>
      <c r="CA428" t="s">
        <v>2939</v>
      </c>
      <c r="CB428" t="s">
        <v>2941</v>
      </c>
    </row>
    <row r="429" spans="1:80" x14ac:dyDescent="0.25">
      <c r="A429">
        <v>428</v>
      </c>
      <c r="B429" t="s">
        <v>2443</v>
      </c>
      <c r="C429" s="1">
        <v>44841</v>
      </c>
      <c r="D429" s="2">
        <v>30</v>
      </c>
      <c r="E429" t="s">
        <v>4</v>
      </c>
      <c r="F429" t="s">
        <v>1311</v>
      </c>
      <c r="G429">
        <v>1</v>
      </c>
      <c r="H429" s="3">
        <v>0</v>
      </c>
      <c r="I429" s="3">
        <v>0</v>
      </c>
      <c r="J429" s="3">
        <v>7425000</v>
      </c>
      <c r="K429" s="3">
        <v>0</v>
      </c>
      <c r="L429" s="3" t="s">
        <v>1192</v>
      </c>
      <c r="M429">
        <v>1781577</v>
      </c>
      <c r="N429" t="s">
        <v>788</v>
      </c>
      <c r="O429" t="s">
        <v>789</v>
      </c>
      <c r="P429" t="s">
        <v>29</v>
      </c>
      <c r="Q429" t="s">
        <v>14</v>
      </c>
      <c r="R429">
        <v>10022</v>
      </c>
      <c r="S429" t="s">
        <v>29</v>
      </c>
      <c r="T429" t="s">
        <v>962</v>
      </c>
      <c r="U429">
        <v>0</v>
      </c>
      <c r="V429" t="s">
        <v>1090</v>
      </c>
      <c r="W429" t="s">
        <v>1194</v>
      </c>
      <c r="X429" t="s">
        <v>973</v>
      </c>
      <c r="Y429">
        <v>100000</v>
      </c>
      <c r="Z429" s="2">
        <v>2</v>
      </c>
      <c r="AA429" s="2" t="s">
        <v>1238</v>
      </c>
      <c r="AB429" t="s">
        <v>1238</v>
      </c>
      <c r="AC429">
        <v>1</v>
      </c>
      <c r="AD429" t="s">
        <v>1281</v>
      </c>
      <c r="AE429">
        <v>1</v>
      </c>
      <c r="AF429" t="s">
        <v>1290</v>
      </c>
      <c r="AG429">
        <v>0</v>
      </c>
      <c r="AH429">
        <v>0</v>
      </c>
      <c r="AI429">
        <v>0</v>
      </c>
      <c r="AJ429">
        <v>2018</v>
      </c>
      <c r="AK429" t="s">
        <v>1194</v>
      </c>
      <c r="AL429" t="s">
        <v>1194</v>
      </c>
      <c r="AM429" s="4" t="s">
        <v>1238</v>
      </c>
      <c r="AN429">
        <v>0</v>
      </c>
      <c r="AO429" t="s">
        <v>1315</v>
      </c>
      <c r="AP429">
        <f t="shared" si="12"/>
        <v>0</v>
      </c>
      <c r="AQ429">
        <v>1</v>
      </c>
      <c r="AR429" t="s">
        <v>1992</v>
      </c>
      <c r="AS429" t="s">
        <v>1995</v>
      </c>
      <c r="AT429" t="s">
        <v>1995</v>
      </c>
      <c r="AU429" t="s">
        <v>1996</v>
      </c>
      <c r="AV429" t="s">
        <v>1995</v>
      </c>
      <c r="AW429" t="s">
        <v>1996</v>
      </c>
      <c r="AX429" t="s">
        <v>2006</v>
      </c>
      <c r="AY429" t="s">
        <v>1996</v>
      </c>
      <c r="AZ429">
        <v>2500</v>
      </c>
      <c r="BA429" t="s">
        <v>1194</v>
      </c>
      <c r="BB429" t="s">
        <v>1194</v>
      </c>
      <c r="BC429" s="3">
        <v>18673.264500000001</v>
      </c>
      <c r="BD429" s="3">
        <v>2864.33</v>
      </c>
      <c r="BE429" s="3">
        <v>0</v>
      </c>
      <c r="BF429" s="3">
        <v>0</v>
      </c>
      <c r="BG429" s="3">
        <v>150</v>
      </c>
      <c r="BH429" s="3">
        <v>0</v>
      </c>
      <c r="BI429" s="3">
        <v>14802</v>
      </c>
      <c r="BJ429" s="3">
        <v>36490</v>
      </c>
      <c r="BK429" s="3">
        <v>0</v>
      </c>
      <c r="BL429" s="3">
        <v>36490</v>
      </c>
      <c r="BM429" s="2">
        <f t="shared" ca="1" si="13"/>
        <v>4</v>
      </c>
      <c r="BN429" s="3">
        <v>500000</v>
      </c>
      <c r="BO429" s="3">
        <v>25000</v>
      </c>
      <c r="BP429" s="3">
        <v>100000</v>
      </c>
      <c r="BQ429" s="3">
        <v>1000000</v>
      </c>
      <c r="BR429" s="3">
        <v>2000000</v>
      </c>
      <c r="BS429">
        <v>50000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 t="s">
        <v>2942</v>
      </c>
      <c r="CA429" t="s">
        <v>2006</v>
      </c>
      <c r="CB429" t="s">
        <v>2946</v>
      </c>
    </row>
    <row r="430" spans="1:80" x14ac:dyDescent="0.25">
      <c r="A430">
        <v>429</v>
      </c>
      <c r="B430" t="s">
        <v>2444</v>
      </c>
      <c r="C430" s="1">
        <v>44877</v>
      </c>
      <c r="D430" s="2">
        <v>33</v>
      </c>
      <c r="E430" t="s">
        <v>4</v>
      </c>
      <c r="F430" t="s">
        <v>1311</v>
      </c>
      <c r="G430">
        <v>1</v>
      </c>
      <c r="H430" s="3">
        <v>13000000</v>
      </c>
      <c r="I430" s="3">
        <v>2000000</v>
      </c>
      <c r="J430" s="3">
        <v>0</v>
      </c>
      <c r="K430" s="3">
        <v>0</v>
      </c>
      <c r="L430" s="3" t="s">
        <v>1191</v>
      </c>
      <c r="M430">
        <v>1782585</v>
      </c>
      <c r="N430" t="s">
        <v>790</v>
      </c>
      <c r="P430" t="s">
        <v>416</v>
      </c>
      <c r="Q430" t="s">
        <v>19</v>
      </c>
      <c r="R430">
        <v>94062</v>
      </c>
      <c r="S430" t="s">
        <v>66</v>
      </c>
      <c r="T430" t="s">
        <v>965</v>
      </c>
      <c r="U430">
        <v>0</v>
      </c>
      <c r="V430">
        <v>48</v>
      </c>
      <c r="W430" t="s">
        <v>1224</v>
      </c>
      <c r="X430" t="s">
        <v>973</v>
      </c>
      <c r="Y430">
        <v>50000</v>
      </c>
      <c r="Z430" s="2" t="s">
        <v>1194</v>
      </c>
      <c r="AA430" s="2" t="s">
        <v>1238</v>
      </c>
      <c r="AB430" t="s">
        <v>1238</v>
      </c>
      <c r="AC430" t="s">
        <v>1194</v>
      </c>
      <c r="AD430" t="s">
        <v>1279</v>
      </c>
      <c r="AE430">
        <v>2</v>
      </c>
      <c r="AF430" t="s">
        <v>1290</v>
      </c>
      <c r="AG430">
        <v>0</v>
      </c>
      <c r="AH430">
        <v>0</v>
      </c>
      <c r="AI430">
        <v>0</v>
      </c>
      <c r="AJ430">
        <v>2021</v>
      </c>
      <c r="AK430" t="s">
        <v>1194</v>
      </c>
      <c r="AL430" t="s">
        <v>1194</v>
      </c>
      <c r="AM430" s="4" t="s">
        <v>1238</v>
      </c>
      <c r="AN430">
        <v>0</v>
      </c>
      <c r="AO430" t="s">
        <v>1316</v>
      </c>
      <c r="AP430">
        <f t="shared" si="12"/>
        <v>0</v>
      </c>
      <c r="AQ430">
        <v>0</v>
      </c>
      <c r="AR430" t="s">
        <v>1993</v>
      </c>
      <c r="AS430" t="s">
        <v>1996</v>
      </c>
      <c r="AT430" t="s">
        <v>1996</v>
      </c>
      <c r="AU430" t="s">
        <v>1995</v>
      </c>
      <c r="AV430" t="s">
        <v>1996</v>
      </c>
      <c r="AW430" t="s">
        <v>1996</v>
      </c>
      <c r="AX430" t="s">
        <v>1194</v>
      </c>
      <c r="AY430" t="s">
        <v>1996</v>
      </c>
      <c r="AZ430">
        <v>10770</v>
      </c>
      <c r="BA430">
        <v>2</v>
      </c>
      <c r="BB430" t="s">
        <v>2016</v>
      </c>
      <c r="BC430" s="3">
        <v>0</v>
      </c>
      <c r="BD430" s="3">
        <v>0</v>
      </c>
      <c r="BE430" s="3">
        <v>43965.59</v>
      </c>
      <c r="BF430" s="3">
        <v>22748.54</v>
      </c>
      <c r="BG430" s="3">
        <v>0</v>
      </c>
      <c r="BH430" s="3">
        <v>0</v>
      </c>
      <c r="BI430" s="3">
        <v>60786</v>
      </c>
      <c r="BJ430" s="3">
        <v>127500.13</v>
      </c>
      <c r="BK430" s="3">
        <v>0</v>
      </c>
      <c r="BL430" s="3">
        <v>127500.13</v>
      </c>
      <c r="BM430" s="2">
        <f t="shared" ca="1" si="13"/>
        <v>2</v>
      </c>
      <c r="BN430" s="3" t="s">
        <v>2916</v>
      </c>
      <c r="BO430" s="3">
        <v>1000000</v>
      </c>
      <c r="BP430" s="3">
        <v>100000</v>
      </c>
      <c r="BQ430" s="3">
        <v>500000</v>
      </c>
      <c r="BR430" s="3">
        <v>500000</v>
      </c>
      <c r="BS430">
        <v>2000000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 t="s">
        <v>2950</v>
      </c>
      <c r="CA430" t="s">
        <v>1194</v>
      </c>
      <c r="CB430" t="s">
        <v>2949</v>
      </c>
    </row>
    <row r="431" spans="1:80" x14ac:dyDescent="0.25">
      <c r="A431">
        <v>430</v>
      </c>
      <c r="B431" t="s">
        <v>2445</v>
      </c>
      <c r="C431" s="1">
        <v>44683</v>
      </c>
      <c r="D431" s="2">
        <v>15</v>
      </c>
      <c r="E431" t="s">
        <v>4</v>
      </c>
      <c r="F431" t="s">
        <v>1311</v>
      </c>
      <c r="G431">
        <v>0</v>
      </c>
      <c r="H431" s="3">
        <v>0</v>
      </c>
      <c r="I431" s="3">
        <v>0</v>
      </c>
      <c r="J431" s="3">
        <v>1500000</v>
      </c>
      <c r="K431" s="3">
        <v>0</v>
      </c>
      <c r="L431" s="3" t="s">
        <v>1192</v>
      </c>
      <c r="M431">
        <v>1792424</v>
      </c>
      <c r="N431" t="s">
        <v>791</v>
      </c>
      <c r="O431" t="s">
        <v>792</v>
      </c>
      <c r="P431" t="s">
        <v>27</v>
      </c>
      <c r="Q431" t="s">
        <v>15</v>
      </c>
      <c r="R431">
        <v>33480</v>
      </c>
      <c r="S431" t="s">
        <v>27</v>
      </c>
      <c r="T431" t="s">
        <v>967</v>
      </c>
      <c r="U431">
        <v>1</v>
      </c>
      <c r="V431" t="s">
        <v>989</v>
      </c>
      <c r="W431" t="s">
        <v>1194</v>
      </c>
      <c r="X431" t="s">
        <v>1309</v>
      </c>
      <c r="Y431">
        <v>50000</v>
      </c>
      <c r="Z431" s="2">
        <v>5</v>
      </c>
      <c r="AA431" s="2" t="s">
        <v>1238</v>
      </c>
      <c r="AB431" t="s">
        <v>1238</v>
      </c>
      <c r="AC431">
        <v>702</v>
      </c>
      <c r="AD431" t="s">
        <v>1282</v>
      </c>
      <c r="AE431">
        <v>1</v>
      </c>
      <c r="AF431" t="s">
        <v>1290</v>
      </c>
      <c r="AG431">
        <v>0</v>
      </c>
      <c r="AH431">
        <v>0</v>
      </c>
      <c r="AI431">
        <v>0</v>
      </c>
      <c r="AJ431">
        <v>1977</v>
      </c>
      <c r="AK431">
        <v>2022</v>
      </c>
      <c r="AL431" t="s">
        <v>1194</v>
      </c>
      <c r="AM431" s="4" t="s">
        <v>1238</v>
      </c>
      <c r="AN431">
        <v>0</v>
      </c>
      <c r="AO431" t="s">
        <v>1316</v>
      </c>
      <c r="AP431">
        <f t="shared" si="12"/>
        <v>0</v>
      </c>
      <c r="AQ431">
        <v>1</v>
      </c>
      <c r="AR431" t="s">
        <v>1992</v>
      </c>
      <c r="AS431" t="s">
        <v>1996</v>
      </c>
      <c r="AT431" t="s">
        <v>1995</v>
      </c>
      <c r="AU431" t="s">
        <v>1996</v>
      </c>
      <c r="AV431" t="s">
        <v>1995</v>
      </c>
      <c r="AW431" t="s">
        <v>1996</v>
      </c>
      <c r="AX431" t="s">
        <v>2003</v>
      </c>
      <c r="AY431" t="s">
        <v>1996</v>
      </c>
      <c r="AZ431">
        <v>1908</v>
      </c>
      <c r="BA431" t="s">
        <v>1194</v>
      </c>
      <c r="BB431" t="s">
        <v>1194</v>
      </c>
      <c r="BC431" s="3">
        <v>3031.96</v>
      </c>
      <c r="BD431" s="3">
        <v>18637.11</v>
      </c>
      <c r="BE431" s="3">
        <v>0</v>
      </c>
      <c r="BF431" s="3">
        <v>0</v>
      </c>
      <c r="BG431" s="3">
        <v>0</v>
      </c>
      <c r="BH431" s="3">
        <v>0</v>
      </c>
      <c r="BI431" s="3">
        <v>361</v>
      </c>
      <c r="BJ431" s="3">
        <v>22030</v>
      </c>
      <c r="BK431" s="3">
        <v>150</v>
      </c>
      <c r="BL431" s="3">
        <v>22180</v>
      </c>
      <c r="BM431" s="2">
        <f t="shared" ca="1" si="13"/>
        <v>3</v>
      </c>
      <c r="BN431" s="3" t="s">
        <v>2916</v>
      </c>
      <c r="BO431" s="3">
        <v>100000</v>
      </c>
      <c r="BP431" s="3">
        <v>50000</v>
      </c>
      <c r="BQ431" s="3">
        <v>100000</v>
      </c>
      <c r="BR431" s="3">
        <v>1000000</v>
      </c>
      <c r="BS431">
        <v>50000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 t="s">
        <v>2938</v>
      </c>
      <c r="CA431" t="s">
        <v>2939</v>
      </c>
      <c r="CB431" t="s">
        <v>2946</v>
      </c>
    </row>
    <row r="432" spans="1:80" x14ac:dyDescent="0.25">
      <c r="A432">
        <v>431</v>
      </c>
      <c r="B432" t="s">
        <v>2446</v>
      </c>
      <c r="C432" s="1">
        <v>44712</v>
      </c>
      <c r="D432" s="2">
        <v>15</v>
      </c>
      <c r="E432" t="s">
        <v>4</v>
      </c>
      <c r="F432" t="s">
        <v>1311</v>
      </c>
      <c r="G432">
        <v>0</v>
      </c>
      <c r="H432" s="3">
        <v>1700000</v>
      </c>
      <c r="I432" s="3">
        <v>150000</v>
      </c>
      <c r="J432" s="3">
        <v>0</v>
      </c>
      <c r="K432" s="3">
        <v>0</v>
      </c>
      <c r="L432" s="3" t="s">
        <v>1191</v>
      </c>
      <c r="M432">
        <v>1785635</v>
      </c>
      <c r="N432" t="s">
        <v>793</v>
      </c>
      <c r="P432" t="s">
        <v>119</v>
      </c>
      <c r="Q432" t="s">
        <v>15</v>
      </c>
      <c r="R432">
        <v>33496</v>
      </c>
      <c r="S432" t="s">
        <v>27</v>
      </c>
      <c r="T432" t="s">
        <v>965</v>
      </c>
      <c r="U432">
        <v>0</v>
      </c>
      <c r="V432" t="s">
        <v>987</v>
      </c>
      <c r="W432" t="s">
        <v>1194</v>
      </c>
      <c r="X432" t="s">
        <v>973</v>
      </c>
      <c r="Y432">
        <v>25000</v>
      </c>
      <c r="Z432" s="2">
        <v>10</v>
      </c>
      <c r="AA432" s="2" t="s">
        <v>1238</v>
      </c>
      <c r="AB432" t="s">
        <v>1238</v>
      </c>
      <c r="AC432">
        <v>703</v>
      </c>
      <c r="AD432" t="s">
        <v>1280</v>
      </c>
      <c r="AE432">
        <v>1</v>
      </c>
      <c r="AF432" t="s">
        <v>1290</v>
      </c>
      <c r="AG432">
        <v>0</v>
      </c>
      <c r="AH432">
        <v>0</v>
      </c>
      <c r="AI432">
        <v>0</v>
      </c>
      <c r="AJ432">
        <v>1994</v>
      </c>
      <c r="AK432" t="s">
        <v>1194</v>
      </c>
      <c r="AL432" t="s">
        <v>1194</v>
      </c>
      <c r="AM432" s="4" t="s">
        <v>1238</v>
      </c>
      <c r="AN432">
        <v>0</v>
      </c>
      <c r="AO432" t="s">
        <v>1315</v>
      </c>
      <c r="AP432">
        <f t="shared" si="12"/>
        <v>0</v>
      </c>
      <c r="AQ432">
        <v>0</v>
      </c>
      <c r="AR432" t="s">
        <v>1993</v>
      </c>
      <c r="AS432" t="s">
        <v>1995</v>
      </c>
      <c r="AT432" t="s">
        <v>1996</v>
      </c>
      <c r="AU432" t="s">
        <v>1996</v>
      </c>
      <c r="AV432" t="s">
        <v>1995</v>
      </c>
      <c r="AW432" t="s">
        <v>1995</v>
      </c>
      <c r="AX432" t="s">
        <v>2003</v>
      </c>
      <c r="AY432" t="s">
        <v>1996</v>
      </c>
      <c r="AZ432">
        <v>2609</v>
      </c>
      <c r="BA432" t="s">
        <v>1194</v>
      </c>
      <c r="BB432" t="s">
        <v>1194</v>
      </c>
      <c r="BC432" s="3">
        <v>4212.9615999999996</v>
      </c>
      <c r="BD432" s="3">
        <v>15645.79</v>
      </c>
      <c r="BE432" s="3">
        <v>0</v>
      </c>
      <c r="BF432" s="3">
        <v>0</v>
      </c>
      <c r="BG432" s="3">
        <v>300</v>
      </c>
      <c r="BH432" s="3">
        <v>0</v>
      </c>
      <c r="BI432" s="3">
        <v>18413.75</v>
      </c>
      <c r="BJ432" s="3">
        <v>38573</v>
      </c>
      <c r="BK432" s="3">
        <v>0</v>
      </c>
      <c r="BL432" s="3">
        <v>38573</v>
      </c>
      <c r="BM432" s="2">
        <f t="shared" ca="1" si="13"/>
        <v>4</v>
      </c>
      <c r="BN432" s="3">
        <v>1000000</v>
      </c>
      <c r="BO432" s="3">
        <v>50000</v>
      </c>
      <c r="BP432" s="3">
        <v>200000</v>
      </c>
      <c r="BQ432" s="3">
        <v>50000</v>
      </c>
      <c r="BR432" s="3">
        <v>50000</v>
      </c>
      <c r="BS432">
        <v>50000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0</v>
      </c>
      <c r="BZ432" t="s">
        <v>2940</v>
      </c>
      <c r="CA432" t="s">
        <v>2006</v>
      </c>
      <c r="CB432" t="s">
        <v>2941</v>
      </c>
    </row>
    <row r="433" spans="1:80" x14ac:dyDescent="0.25">
      <c r="A433">
        <v>432</v>
      </c>
      <c r="B433" t="s">
        <v>2447</v>
      </c>
      <c r="C433" s="1">
        <v>44856</v>
      </c>
      <c r="D433" s="2">
        <v>30</v>
      </c>
      <c r="E433" t="s">
        <v>4</v>
      </c>
      <c r="F433" t="s">
        <v>1311</v>
      </c>
      <c r="G433">
        <v>0</v>
      </c>
      <c r="H433" s="3">
        <v>16000000</v>
      </c>
      <c r="I433" s="3">
        <v>120000</v>
      </c>
      <c r="J433" s="3">
        <v>0</v>
      </c>
      <c r="K433" s="3">
        <v>0</v>
      </c>
      <c r="L433" s="3" t="s">
        <v>1191</v>
      </c>
      <c r="M433">
        <v>1786829</v>
      </c>
      <c r="N433" t="s">
        <v>794</v>
      </c>
      <c r="P433" t="s">
        <v>391</v>
      </c>
      <c r="Q433" t="s">
        <v>15</v>
      </c>
      <c r="R433">
        <v>33606</v>
      </c>
      <c r="S433" t="s">
        <v>82</v>
      </c>
      <c r="T433" t="s">
        <v>964</v>
      </c>
      <c r="U433">
        <v>1</v>
      </c>
      <c r="V433" t="s">
        <v>1074</v>
      </c>
      <c r="W433" t="s">
        <v>1194</v>
      </c>
      <c r="X433" t="s">
        <v>1309</v>
      </c>
      <c r="Y433">
        <v>25000</v>
      </c>
      <c r="Z433" s="2">
        <v>5</v>
      </c>
      <c r="AA433" s="2" t="s">
        <v>1238</v>
      </c>
      <c r="AB433" t="s">
        <v>1238</v>
      </c>
      <c r="AC433">
        <v>876</v>
      </c>
      <c r="AD433" t="s">
        <v>1280</v>
      </c>
      <c r="AE433">
        <v>2</v>
      </c>
      <c r="AF433" t="s">
        <v>1291</v>
      </c>
      <c r="AG433">
        <v>0</v>
      </c>
      <c r="AH433">
        <v>0</v>
      </c>
      <c r="AI433">
        <v>0</v>
      </c>
      <c r="AJ433">
        <v>2020</v>
      </c>
      <c r="AK433" t="s">
        <v>1194</v>
      </c>
      <c r="AL433" t="s">
        <v>1194</v>
      </c>
      <c r="AM433" s="4" t="s">
        <v>1238</v>
      </c>
      <c r="AN433">
        <v>1</v>
      </c>
      <c r="AO433" t="s">
        <v>1315</v>
      </c>
      <c r="AP433">
        <f t="shared" si="12"/>
        <v>0</v>
      </c>
      <c r="AQ433">
        <v>1</v>
      </c>
      <c r="AR433" t="s">
        <v>1992</v>
      </c>
      <c r="AS433" t="s">
        <v>1995</v>
      </c>
      <c r="AT433" t="s">
        <v>1995</v>
      </c>
      <c r="AU433" t="s">
        <v>1995</v>
      </c>
      <c r="AV433" t="s">
        <v>1996</v>
      </c>
      <c r="AW433" t="s">
        <v>1995</v>
      </c>
      <c r="AX433" t="s">
        <v>2007</v>
      </c>
      <c r="AY433" t="s">
        <v>1995</v>
      </c>
      <c r="AZ433">
        <v>17958</v>
      </c>
      <c r="BA433" t="s">
        <v>1194</v>
      </c>
      <c r="BB433" t="s">
        <v>1194</v>
      </c>
      <c r="BC433" s="3">
        <v>17543.548999999999</v>
      </c>
      <c r="BD433" s="3">
        <v>30363.72</v>
      </c>
      <c r="BE433" s="3">
        <v>0</v>
      </c>
      <c r="BF433" s="3">
        <v>0</v>
      </c>
      <c r="BG433" s="3">
        <v>0</v>
      </c>
      <c r="BH433" s="3">
        <v>0</v>
      </c>
      <c r="BI433" s="3">
        <v>89113</v>
      </c>
      <c r="BJ433" s="3">
        <v>137020</v>
      </c>
      <c r="BK433" s="3">
        <v>5457.6</v>
      </c>
      <c r="BL433" s="3">
        <v>142477.6</v>
      </c>
      <c r="BM433" s="2">
        <f t="shared" ca="1" si="13"/>
        <v>3</v>
      </c>
      <c r="BN433" s="3">
        <v>250000</v>
      </c>
      <c r="BO433" s="3">
        <v>100000</v>
      </c>
      <c r="BP433" s="3" t="s">
        <v>2922</v>
      </c>
      <c r="BQ433" s="3">
        <v>500000</v>
      </c>
      <c r="BR433" s="3">
        <v>100000</v>
      </c>
      <c r="BS433">
        <v>50000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 t="s">
        <v>2940</v>
      </c>
      <c r="CA433" t="s">
        <v>2939</v>
      </c>
      <c r="CB433" t="s">
        <v>2941</v>
      </c>
    </row>
    <row r="434" spans="1:80" x14ac:dyDescent="0.25">
      <c r="A434">
        <v>433</v>
      </c>
      <c r="B434" t="s">
        <v>2448</v>
      </c>
      <c r="C434" s="1">
        <v>44867</v>
      </c>
      <c r="D434" s="2">
        <v>33</v>
      </c>
      <c r="E434" t="s">
        <v>4</v>
      </c>
      <c r="F434" t="s">
        <v>1311</v>
      </c>
      <c r="G434">
        <v>0</v>
      </c>
      <c r="H434" s="3">
        <v>7251600</v>
      </c>
      <c r="I434" s="3">
        <v>100000</v>
      </c>
      <c r="J434" s="3">
        <v>0</v>
      </c>
      <c r="K434" s="3">
        <v>0</v>
      </c>
      <c r="L434" s="3" t="s">
        <v>1191</v>
      </c>
      <c r="M434">
        <v>1790671</v>
      </c>
      <c r="N434" t="s">
        <v>795</v>
      </c>
      <c r="P434" t="s">
        <v>62</v>
      </c>
      <c r="Q434" t="s">
        <v>19</v>
      </c>
      <c r="R434">
        <v>94123</v>
      </c>
      <c r="S434" t="s">
        <v>62</v>
      </c>
      <c r="T434" t="s">
        <v>977</v>
      </c>
      <c r="U434">
        <v>0</v>
      </c>
      <c r="V434">
        <v>33</v>
      </c>
      <c r="W434" t="s">
        <v>1225</v>
      </c>
      <c r="X434" t="s">
        <v>973</v>
      </c>
      <c r="Y434">
        <v>25000</v>
      </c>
      <c r="Z434" s="2" t="s">
        <v>1194</v>
      </c>
      <c r="AA434" s="2" t="s">
        <v>1238</v>
      </c>
      <c r="AB434" t="s">
        <v>1238</v>
      </c>
      <c r="AC434" t="s">
        <v>1194</v>
      </c>
      <c r="AD434" t="s">
        <v>1279</v>
      </c>
      <c r="AE434">
        <v>1</v>
      </c>
      <c r="AF434" t="s">
        <v>1290</v>
      </c>
      <c r="AG434">
        <v>0</v>
      </c>
      <c r="AH434">
        <v>0</v>
      </c>
      <c r="AI434">
        <v>0</v>
      </c>
      <c r="AJ434">
        <v>2021</v>
      </c>
      <c r="AK434" t="s">
        <v>1194</v>
      </c>
      <c r="AL434" t="s">
        <v>1194</v>
      </c>
      <c r="AM434" s="4" t="s">
        <v>1238</v>
      </c>
      <c r="AN434">
        <v>0</v>
      </c>
      <c r="AO434" t="s">
        <v>1317</v>
      </c>
      <c r="AP434">
        <f t="shared" si="12"/>
        <v>0</v>
      </c>
      <c r="AQ434">
        <v>1</v>
      </c>
      <c r="AR434" t="s">
        <v>1992</v>
      </c>
      <c r="AS434" t="s">
        <v>1996</v>
      </c>
      <c r="AT434" t="s">
        <v>1996</v>
      </c>
      <c r="AU434" t="s">
        <v>1995</v>
      </c>
      <c r="AV434" t="s">
        <v>1995</v>
      </c>
      <c r="AW434" t="s">
        <v>1995</v>
      </c>
      <c r="AX434" t="s">
        <v>1194</v>
      </c>
      <c r="AY434" t="s">
        <v>1996</v>
      </c>
      <c r="AZ434">
        <v>3630</v>
      </c>
      <c r="BA434" t="s">
        <v>1194</v>
      </c>
      <c r="BB434" t="s">
        <v>2014</v>
      </c>
      <c r="BC434" s="3">
        <v>0</v>
      </c>
      <c r="BD434" s="3">
        <v>0</v>
      </c>
      <c r="BE434" s="3">
        <v>7916.99</v>
      </c>
      <c r="BF434" s="3">
        <v>6092.91</v>
      </c>
      <c r="BG434" s="3">
        <v>0</v>
      </c>
      <c r="BH434" s="3">
        <v>0</v>
      </c>
      <c r="BI434" s="3">
        <v>37451.199999999997</v>
      </c>
      <c r="BJ434" s="3">
        <v>51461.1</v>
      </c>
      <c r="BK434" s="3">
        <v>0</v>
      </c>
      <c r="BL434" s="3">
        <v>51461.1</v>
      </c>
      <c r="BM434" s="2">
        <f t="shared" ca="1" si="13"/>
        <v>5</v>
      </c>
      <c r="BN434" s="3">
        <v>100000</v>
      </c>
      <c r="BO434" s="3">
        <v>1000000</v>
      </c>
      <c r="BP434" s="3">
        <v>100000</v>
      </c>
      <c r="BQ434" s="3">
        <v>2000000</v>
      </c>
      <c r="BR434" s="3">
        <v>100000</v>
      </c>
      <c r="BS434">
        <v>1000000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 t="s">
        <v>2950</v>
      </c>
      <c r="CA434" t="s">
        <v>1194</v>
      </c>
      <c r="CB434" t="s">
        <v>2949</v>
      </c>
    </row>
    <row r="435" spans="1:80" x14ac:dyDescent="0.25">
      <c r="A435">
        <v>434</v>
      </c>
      <c r="B435" t="s">
        <v>2449</v>
      </c>
      <c r="C435" s="1">
        <v>44902</v>
      </c>
      <c r="D435" s="2">
        <v>36</v>
      </c>
      <c r="E435" t="s">
        <v>4</v>
      </c>
      <c r="F435" t="s">
        <v>1311</v>
      </c>
      <c r="G435">
        <v>1</v>
      </c>
      <c r="H435" s="3">
        <v>2500000</v>
      </c>
      <c r="I435" s="3">
        <v>700000</v>
      </c>
      <c r="J435" s="3">
        <v>0</v>
      </c>
      <c r="K435" s="3">
        <v>0</v>
      </c>
      <c r="L435" s="3" t="s">
        <v>1191</v>
      </c>
      <c r="M435">
        <v>1788726</v>
      </c>
      <c r="N435" t="s">
        <v>796</v>
      </c>
      <c r="P435" t="s">
        <v>25</v>
      </c>
      <c r="Q435" t="s">
        <v>13</v>
      </c>
      <c r="R435">
        <v>2554</v>
      </c>
      <c r="S435" t="s">
        <v>25</v>
      </c>
      <c r="T435" t="s">
        <v>962</v>
      </c>
      <c r="U435">
        <v>0</v>
      </c>
      <c r="V435" t="s">
        <v>983</v>
      </c>
      <c r="W435" t="s">
        <v>1194</v>
      </c>
      <c r="X435" t="s">
        <v>973</v>
      </c>
      <c r="Y435">
        <v>10000</v>
      </c>
      <c r="Z435" s="2">
        <v>2</v>
      </c>
      <c r="AA435" s="2" t="s">
        <v>1238</v>
      </c>
      <c r="AB435" t="s">
        <v>1238</v>
      </c>
      <c r="AC435">
        <v>777</v>
      </c>
      <c r="AD435" t="s">
        <v>1279</v>
      </c>
      <c r="AE435">
        <v>3</v>
      </c>
      <c r="AF435" t="s">
        <v>1291</v>
      </c>
      <c r="AG435">
        <v>0</v>
      </c>
      <c r="AH435">
        <v>0</v>
      </c>
      <c r="AI435">
        <v>0</v>
      </c>
      <c r="AJ435">
        <v>1851</v>
      </c>
      <c r="AK435">
        <v>2021</v>
      </c>
      <c r="AL435">
        <v>2011</v>
      </c>
      <c r="AM435" s="4" t="s">
        <v>1238</v>
      </c>
      <c r="AN435">
        <v>1</v>
      </c>
      <c r="AO435" t="s">
        <v>1317</v>
      </c>
      <c r="AP435">
        <f t="shared" si="12"/>
        <v>0</v>
      </c>
      <c r="AQ435">
        <v>1</v>
      </c>
      <c r="AR435" t="s">
        <v>1992</v>
      </c>
      <c r="AS435" t="s">
        <v>1996</v>
      </c>
      <c r="AT435" t="s">
        <v>1995</v>
      </c>
      <c r="AU435" t="s">
        <v>1996</v>
      </c>
      <c r="AV435" t="s">
        <v>1995</v>
      </c>
      <c r="AW435" t="s">
        <v>1995</v>
      </c>
      <c r="AX435" t="s">
        <v>2006</v>
      </c>
      <c r="AY435" t="s">
        <v>1996</v>
      </c>
      <c r="AZ435">
        <v>3067</v>
      </c>
      <c r="BA435" t="s">
        <v>1194</v>
      </c>
      <c r="BB435" t="s">
        <v>1194</v>
      </c>
      <c r="BC435" s="3">
        <v>7879.0209000000004</v>
      </c>
      <c r="BD435" s="3">
        <v>12996.03</v>
      </c>
      <c r="BE435" s="3">
        <v>0</v>
      </c>
      <c r="BF435" s="3">
        <v>0</v>
      </c>
      <c r="BG435" s="3">
        <v>150</v>
      </c>
      <c r="BH435" s="3">
        <v>0</v>
      </c>
      <c r="BI435" s="3">
        <v>4115</v>
      </c>
      <c r="BJ435" s="3">
        <v>25140</v>
      </c>
      <c r="BK435" s="3">
        <v>0</v>
      </c>
      <c r="BL435" s="3">
        <v>25140</v>
      </c>
      <c r="BM435" s="2">
        <f t="shared" ca="1" si="13"/>
        <v>6</v>
      </c>
      <c r="BN435" s="3">
        <v>1000000</v>
      </c>
      <c r="BO435" s="3">
        <v>250000</v>
      </c>
      <c r="BP435" s="3">
        <v>50000</v>
      </c>
      <c r="BQ435" s="3">
        <v>100000</v>
      </c>
      <c r="BR435" s="3">
        <v>50000</v>
      </c>
      <c r="BS435">
        <v>500000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 t="s">
        <v>2942</v>
      </c>
      <c r="CA435" t="s">
        <v>2006</v>
      </c>
      <c r="CB435" t="s">
        <v>2941</v>
      </c>
    </row>
    <row r="436" spans="1:80" x14ac:dyDescent="0.25">
      <c r="A436">
        <v>435</v>
      </c>
      <c r="B436" t="s">
        <v>2450</v>
      </c>
      <c r="C436" s="1">
        <v>44641</v>
      </c>
      <c r="D436" s="2">
        <v>9</v>
      </c>
      <c r="E436" t="s">
        <v>4</v>
      </c>
      <c r="F436" t="s">
        <v>1310</v>
      </c>
      <c r="G436">
        <v>0</v>
      </c>
      <c r="H436" s="3">
        <v>3000000</v>
      </c>
      <c r="I436" s="3">
        <v>300000</v>
      </c>
      <c r="J436" s="3">
        <v>530000</v>
      </c>
      <c r="K436" s="3">
        <v>0</v>
      </c>
      <c r="L436" s="3" t="s">
        <v>1191</v>
      </c>
      <c r="M436">
        <v>1842681</v>
      </c>
      <c r="N436" t="s">
        <v>797</v>
      </c>
      <c r="P436" t="s">
        <v>327</v>
      </c>
      <c r="Q436" t="s">
        <v>19</v>
      </c>
      <c r="R436">
        <v>92651</v>
      </c>
      <c r="S436" t="s">
        <v>37</v>
      </c>
      <c r="T436" t="s">
        <v>976</v>
      </c>
      <c r="U436">
        <v>1</v>
      </c>
      <c r="V436">
        <v>7</v>
      </c>
      <c r="W436" t="s">
        <v>327</v>
      </c>
      <c r="X436" t="s">
        <v>1309</v>
      </c>
      <c r="Y436">
        <v>10000</v>
      </c>
      <c r="Z436" s="2" t="s">
        <v>1194</v>
      </c>
      <c r="AA436" s="2" t="s">
        <v>1238</v>
      </c>
      <c r="AB436" t="s">
        <v>1238</v>
      </c>
      <c r="AC436" t="s">
        <v>1194</v>
      </c>
      <c r="AD436" t="s">
        <v>1280</v>
      </c>
      <c r="AE436">
        <v>3</v>
      </c>
      <c r="AF436" t="s">
        <v>1290</v>
      </c>
      <c r="AG436">
        <v>0</v>
      </c>
      <c r="AH436">
        <v>0</v>
      </c>
      <c r="AI436">
        <v>0</v>
      </c>
      <c r="AJ436">
        <v>2003</v>
      </c>
      <c r="AK436">
        <v>2022</v>
      </c>
      <c r="AL436" t="s">
        <v>1194</v>
      </c>
      <c r="AM436" s="4" t="s">
        <v>1304</v>
      </c>
      <c r="AN436">
        <v>0</v>
      </c>
      <c r="AO436" t="s">
        <v>1316</v>
      </c>
      <c r="AP436">
        <f t="shared" si="12"/>
        <v>0</v>
      </c>
      <c r="AQ436">
        <v>1</v>
      </c>
      <c r="AR436" t="s">
        <v>1992</v>
      </c>
      <c r="AS436" t="s">
        <v>1996</v>
      </c>
      <c r="AT436" t="s">
        <v>1996</v>
      </c>
      <c r="AU436" t="s">
        <v>1995</v>
      </c>
      <c r="AV436" t="s">
        <v>1996</v>
      </c>
      <c r="AW436" t="s">
        <v>1996</v>
      </c>
      <c r="AX436" t="s">
        <v>1194</v>
      </c>
      <c r="AY436" t="s">
        <v>1996</v>
      </c>
      <c r="AZ436">
        <v>4344</v>
      </c>
      <c r="BA436" t="s">
        <v>1194</v>
      </c>
      <c r="BB436" t="s">
        <v>2016</v>
      </c>
      <c r="BC436" s="3">
        <v>0</v>
      </c>
      <c r="BD436" s="3">
        <v>0</v>
      </c>
      <c r="BE436" s="3">
        <v>11963.62</v>
      </c>
      <c r="BF436" s="3">
        <v>8902.6299999999992</v>
      </c>
      <c r="BG436" s="3">
        <v>150</v>
      </c>
      <c r="BH436" s="3">
        <v>0</v>
      </c>
      <c r="BI436" s="3">
        <v>50</v>
      </c>
      <c r="BJ436" s="3">
        <v>21066.25</v>
      </c>
      <c r="BK436" s="3">
        <v>0</v>
      </c>
      <c r="BL436" s="3">
        <v>21066.25</v>
      </c>
      <c r="BM436" s="2">
        <f t="shared" ca="1" si="13"/>
        <v>1</v>
      </c>
      <c r="BN436" s="3">
        <v>500000</v>
      </c>
      <c r="BO436" s="3">
        <v>1000000</v>
      </c>
      <c r="BP436" s="3">
        <v>100000</v>
      </c>
      <c r="BQ436" s="3">
        <v>100000</v>
      </c>
      <c r="BR436" s="3">
        <v>1000000</v>
      </c>
      <c r="BS436">
        <v>250000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 t="s">
        <v>2956</v>
      </c>
      <c r="CA436" t="s">
        <v>1194</v>
      </c>
      <c r="CB436" t="s">
        <v>2952</v>
      </c>
    </row>
    <row r="437" spans="1:80" x14ac:dyDescent="0.25">
      <c r="A437">
        <v>436</v>
      </c>
      <c r="B437" t="s">
        <v>2451</v>
      </c>
      <c r="C437" s="1">
        <v>44873</v>
      </c>
      <c r="D437" s="2">
        <v>33</v>
      </c>
      <c r="E437" t="s">
        <v>4</v>
      </c>
      <c r="F437" t="s">
        <v>1311</v>
      </c>
      <c r="G437">
        <v>1</v>
      </c>
      <c r="H437" s="3">
        <v>4500000</v>
      </c>
      <c r="I437" s="3">
        <v>464000</v>
      </c>
      <c r="J437" s="3">
        <v>0</v>
      </c>
      <c r="K437" s="3">
        <v>0</v>
      </c>
      <c r="L437" s="3" t="s">
        <v>1191</v>
      </c>
      <c r="M437">
        <v>1788747</v>
      </c>
      <c r="N437" t="s">
        <v>798</v>
      </c>
      <c r="P437" t="s">
        <v>465</v>
      </c>
      <c r="Q437" t="s">
        <v>14</v>
      </c>
      <c r="R437">
        <v>11930</v>
      </c>
      <c r="S437" t="s">
        <v>26</v>
      </c>
      <c r="T437" t="s">
        <v>963</v>
      </c>
      <c r="U437">
        <v>0</v>
      </c>
      <c r="V437" t="s">
        <v>1152</v>
      </c>
      <c r="W437" t="s">
        <v>1194</v>
      </c>
      <c r="X437" t="s">
        <v>973</v>
      </c>
      <c r="Y437">
        <v>10000</v>
      </c>
      <c r="Z437" s="2">
        <v>2</v>
      </c>
      <c r="AA437" s="2" t="s">
        <v>1238</v>
      </c>
      <c r="AB437" t="s">
        <v>1238</v>
      </c>
      <c r="AC437">
        <v>727</v>
      </c>
      <c r="AD437" t="s">
        <v>1279</v>
      </c>
      <c r="AE437">
        <v>4</v>
      </c>
      <c r="AF437" t="s">
        <v>1290</v>
      </c>
      <c r="AG437">
        <v>0</v>
      </c>
      <c r="AH437">
        <v>0</v>
      </c>
      <c r="AI437">
        <v>0</v>
      </c>
      <c r="AJ437">
        <v>2021</v>
      </c>
      <c r="AK437" t="s">
        <v>1194</v>
      </c>
      <c r="AL437" t="s">
        <v>1194</v>
      </c>
      <c r="AM437" s="4" t="s">
        <v>1238</v>
      </c>
      <c r="AN437">
        <v>1</v>
      </c>
      <c r="AO437" t="s">
        <v>1315</v>
      </c>
      <c r="AP437">
        <f t="shared" si="12"/>
        <v>0</v>
      </c>
      <c r="AQ437">
        <v>1</v>
      </c>
      <c r="AR437" t="s">
        <v>1992</v>
      </c>
      <c r="AS437" t="s">
        <v>1996</v>
      </c>
      <c r="AT437" t="s">
        <v>1995</v>
      </c>
      <c r="AU437" t="s">
        <v>1996</v>
      </c>
      <c r="AV437" t="s">
        <v>1995</v>
      </c>
      <c r="AW437" t="s">
        <v>1996</v>
      </c>
      <c r="AX437" t="s">
        <v>2006</v>
      </c>
      <c r="AY437" t="s">
        <v>1996</v>
      </c>
      <c r="AZ437">
        <v>5446</v>
      </c>
      <c r="BA437" t="s">
        <v>1194</v>
      </c>
      <c r="BB437" t="s">
        <v>1194</v>
      </c>
      <c r="BC437" s="3">
        <v>11664.459500000001</v>
      </c>
      <c r="BD437" s="3">
        <v>23803.9</v>
      </c>
      <c r="BE437" s="3">
        <v>0</v>
      </c>
      <c r="BF437" s="3">
        <v>0</v>
      </c>
      <c r="BG437" s="3">
        <v>150</v>
      </c>
      <c r="BH437" s="3">
        <v>0</v>
      </c>
      <c r="BI437" s="3">
        <v>-6473</v>
      </c>
      <c r="BJ437" s="3">
        <v>29145</v>
      </c>
      <c r="BK437" s="3">
        <v>0</v>
      </c>
      <c r="BL437" s="3">
        <v>29145</v>
      </c>
      <c r="BM437" s="2">
        <f t="shared" ca="1" si="13"/>
        <v>5</v>
      </c>
      <c r="BN437" s="3">
        <v>500000</v>
      </c>
      <c r="BO437" s="3">
        <v>50000</v>
      </c>
      <c r="BP437" s="3">
        <v>50000</v>
      </c>
      <c r="BQ437" s="3">
        <v>25000</v>
      </c>
      <c r="BR437" s="3">
        <v>50000</v>
      </c>
      <c r="BS437">
        <v>50000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 t="s">
        <v>2942</v>
      </c>
      <c r="CA437" t="s">
        <v>2006</v>
      </c>
      <c r="CB437" t="s">
        <v>2006</v>
      </c>
    </row>
    <row r="438" spans="1:80" x14ac:dyDescent="0.25">
      <c r="A438">
        <v>437</v>
      </c>
      <c r="B438" t="s">
        <v>2452</v>
      </c>
      <c r="C438" s="1">
        <v>44881</v>
      </c>
      <c r="D438" s="2">
        <v>33</v>
      </c>
      <c r="E438" t="s">
        <v>4</v>
      </c>
      <c r="F438" t="s">
        <v>1311</v>
      </c>
      <c r="G438">
        <v>1</v>
      </c>
      <c r="H438" s="3">
        <v>4900000</v>
      </c>
      <c r="I438" s="3">
        <v>0</v>
      </c>
      <c r="J438" s="3">
        <v>0</v>
      </c>
      <c r="K438" s="3">
        <v>0</v>
      </c>
      <c r="L438" s="3" t="s">
        <v>1191</v>
      </c>
      <c r="M438">
        <v>1799762</v>
      </c>
      <c r="N438" t="s">
        <v>799</v>
      </c>
      <c r="P438" t="s">
        <v>800</v>
      </c>
      <c r="Q438" t="s">
        <v>19</v>
      </c>
      <c r="R438">
        <v>92253</v>
      </c>
      <c r="S438" t="s">
        <v>76</v>
      </c>
      <c r="T438" t="s">
        <v>965</v>
      </c>
      <c r="U438">
        <v>0</v>
      </c>
      <c r="V438">
        <v>23</v>
      </c>
      <c r="W438" t="s">
        <v>1202</v>
      </c>
      <c r="X438" t="s">
        <v>973</v>
      </c>
      <c r="Y438">
        <v>10000</v>
      </c>
      <c r="Z438" s="2" t="s">
        <v>1194</v>
      </c>
      <c r="AA438" s="2" t="s">
        <v>1238</v>
      </c>
      <c r="AB438" t="s">
        <v>1238</v>
      </c>
      <c r="AC438" t="s">
        <v>1194</v>
      </c>
      <c r="AD438" t="s">
        <v>1279</v>
      </c>
      <c r="AE438">
        <v>3</v>
      </c>
      <c r="AF438" t="s">
        <v>1290</v>
      </c>
      <c r="AG438">
        <v>0</v>
      </c>
      <c r="AH438">
        <v>0</v>
      </c>
      <c r="AI438">
        <v>0</v>
      </c>
      <c r="AJ438">
        <v>2021</v>
      </c>
      <c r="AK438" t="s">
        <v>1194</v>
      </c>
      <c r="AL438" t="s">
        <v>1194</v>
      </c>
      <c r="AM438" s="4" t="s">
        <v>1238</v>
      </c>
      <c r="AN438">
        <v>0</v>
      </c>
      <c r="AO438" t="s">
        <v>1317</v>
      </c>
      <c r="AP438">
        <f t="shared" si="12"/>
        <v>0</v>
      </c>
      <c r="AQ438">
        <v>0</v>
      </c>
      <c r="AR438" t="s">
        <v>1993</v>
      </c>
      <c r="AS438" t="s">
        <v>1996</v>
      </c>
      <c r="AT438" t="s">
        <v>1995</v>
      </c>
      <c r="AU438" t="s">
        <v>1996</v>
      </c>
      <c r="AV438" t="s">
        <v>1995</v>
      </c>
      <c r="AW438" t="s">
        <v>1996</v>
      </c>
      <c r="AX438" t="s">
        <v>1194</v>
      </c>
      <c r="AY438" t="s">
        <v>1996</v>
      </c>
      <c r="AZ438">
        <v>7053</v>
      </c>
      <c r="BA438" t="s">
        <v>1194</v>
      </c>
      <c r="BB438" t="s">
        <v>2016</v>
      </c>
      <c r="BC438" s="3">
        <v>0</v>
      </c>
      <c r="BD438" s="3">
        <v>0</v>
      </c>
      <c r="BE438" s="3">
        <v>12852.15</v>
      </c>
      <c r="BF438" s="3">
        <v>8558.2099999999991</v>
      </c>
      <c r="BG438" s="3">
        <v>150</v>
      </c>
      <c r="BH438" s="3">
        <v>0</v>
      </c>
      <c r="BI438" s="3">
        <v>0</v>
      </c>
      <c r="BJ438" s="3">
        <v>21560.36</v>
      </c>
      <c r="BK438" s="3">
        <v>0</v>
      </c>
      <c r="BL438" s="3">
        <v>21560.36</v>
      </c>
      <c r="BM438" s="2">
        <f t="shared" ca="1" si="13"/>
        <v>2</v>
      </c>
      <c r="BN438" s="3" t="s">
        <v>2916</v>
      </c>
      <c r="BO438" s="3">
        <v>500000</v>
      </c>
      <c r="BP438" s="3" t="s">
        <v>2922</v>
      </c>
      <c r="BQ438" s="3">
        <v>50000</v>
      </c>
      <c r="BR438" s="3">
        <v>50000</v>
      </c>
      <c r="BS438">
        <v>500000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 t="s">
        <v>2948</v>
      </c>
      <c r="CA438" t="s">
        <v>1194</v>
      </c>
      <c r="CB438" t="s">
        <v>2949</v>
      </c>
    </row>
    <row r="439" spans="1:80" x14ac:dyDescent="0.25">
      <c r="A439">
        <v>438</v>
      </c>
      <c r="B439" t="s">
        <v>2453</v>
      </c>
      <c r="C439" s="1">
        <v>44762</v>
      </c>
      <c r="D439" s="2">
        <v>21</v>
      </c>
      <c r="E439" t="s">
        <v>4</v>
      </c>
      <c r="F439" t="s">
        <v>1311</v>
      </c>
      <c r="G439">
        <v>1</v>
      </c>
      <c r="H439" s="3">
        <v>0</v>
      </c>
      <c r="I439" s="3">
        <v>0</v>
      </c>
      <c r="J439" s="3">
        <v>2500000</v>
      </c>
      <c r="K439" s="3">
        <v>0</v>
      </c>
      <c r="L439" s="3" t="s">
        <v>1192</v>
      </c>
      <c r="M439">
        <v>1795980</v>
      </c>
      <c r="N439" t="s">
        <v>801</v>
      </c>
      <c r="O439" t="s">
        <v>802</v>
      </c>
      <c r="P439" t="s">
        <v>29</v>
      </c>
      <c r="Q439" t="s">
        <v>14</v>
      </c>
      <c r="R439">
        <v>10021</v>
      </c>
      <c r="S439" t="s">
        <v>29</v>
      </c>
      <c r="T439" t="s">
        <v>962</v>
      </c>
      <c r="U439">
        <v>0</v>
      </c>
      <c r="V439" t="s">
        <v>1009</v>
      </c>
      <c r="W439" t="s">
        <v>1194</v>
      </c>
      <c r="X439" t="s">
        <v>973</v>
      </c>
      <c r="Y439">
        <v>10000</v>
      </c>
      <c r="Z439" s="2">
        <v>2</v>
      </c>
      <c r="AA439" s="2" t="s">
        <v>1238</v>
      </c>
      <c r="AB439" t="s">
        <v>1238</v>
      </c>
      <c r="AC439">
        <v>756</v>
      </c>
      <c r="AD439" t="s">
        <v>1281</v>
      </c>
      <c r="AE439">
        <v>1</v>
      </c>
      <c r="AF439" t="s">
        <v>1290</v>
      </c>
      <c r="AG439">
        <v>0</v>
      </c>
      <c r="AH439">
        <v>0</v>
      </c>
      <c r="AI439">
        <v>0</v>
      </c>
      <c r="AJ439">
        <v>1948</v>
      </c>
      <c r="AK439" t="s">
        <v>1194</v>
      </c>
      <c r="AL439" t="s">
        <v>1194</v>
      </c>
      <c r="AM439" s="4" t="s">
        <v>1238</v>
      </c>
      <c r="AN439">
        <v>1</v>
      </c>
      <c r="AO439" t="s">
        <v>1316</v>
      </c>
      <c r="AP439">
        <f t="shared" si="12"/>
        <v>0</v>
      </c>
      <c r="AQ439">
        <v>0</v>
      </c>
      <c r="AR439" t="s">
        <v>1993</v>
      </c>
      <c r="AS439" t="s">
        <v>1996</v>
      </c>
      <c r="AT439" t="s">
        <v>1996</v>
      </c>
      <c r="AU439" t="s">
        <v>1995</v>
      </c>
      <c r="AV439" t="s">
        <v>1996</v>
      </c>
      <c r="AW439" t="s">
        <v>1996</v>
      </c>
      <c r="AX439" t="s">
        <v>2006</v>
      </c>
      <c r="AY439" t="s">
        <v>1996</v>
      </c>
      <c r="AZ439">
        <v>2000</v>
      </c>
      <c r="BA439" t="s">
        <v>1194</v>
      </c>
      <c r="BB439" t="s">
        <v>1194</v>
      </c>
      <c r="BC439" s="3">
        <v>9891.0121999999992</v>
      </c>
      <c r="BD439" s="3">
        <v>1966.93</v>
      </c>
      <c r="BE439" s="3">
        <v>0</v>
      </c>
      <c r="BF439" s="3">
        <v>0</v>
      </c>
      <c r="BG439" s="3">
        <v>150</v>
      </c>
      <c r="BH439" s="3">
        <v>0</v>
      </c>
      <c r="BI439" s="3">
        <v>3350</v>
      </c>
      <c r="BJ439" s="3">
        <v>15358</v>
      </c>
      <c r="BK439" s="3">
        <v>150</v>
      </c>
      <c r="BL439" s="3">
        <v>15508</v>
      </c>
      <c r="BM439" s="2">
        <f t="shared" ca="1" si="13"/>
        <v>5</v>
      </c>
      <c r="BN439" s="3">
        <v>500000</v>
      </c>
      <c r="BO439" s="3">
        <v>250000</v>
      </c>
      <c r="BP439" s="3">
        <v>100000</v>
      </c>
      <c r="BQ439" s="3">
        <v>2000000</v>
      </c>
      <c r="BR439" s="3">
        <v>50000</v>
      </c>
      <c r="BS439" t="s">
        <v>2916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 t="s">
        <v>2942</v>
      </c>
      <c r="CA439" t="s">
        <v>2006</v>
      </c>
      <c r="CB439" t="s">
        <v>2946</v>
      </c>
    </row>
    <row r="440" spans="1:80" x14ac:dyDescent="0.25">
      <c r="A440">
        <v>439</v>
      </c>
      <c r="B440" t="s">
        <v>2454</v>
      </c>
      <c r="C440" s="1">
        <v>44900</v>
      </c>
      <c r="D440" s="2">
        <v>36</v>
      </c>
      <c r="E440" t="s">
        <v>4</v>
      </c>
      <c r="F440" t="s">
        <v>1311</v>
      </c>
      <c r="G440">
        <v>0</v>
      </c>
      <c r="H440" s="3">
        <v>10704000</v>
      </c>
      <c r="I440" s="3">
        <v>0</v>
      </c>
      <c r="J440" s="3">
        <v>0</v>
      </c>
      <c r="K440" s="3">
        <v>0</v>
      </c>
      <c r="L440" s="3" t="s">
        <v>1191</v>
      </c>
      <c r="M440">
        <v>1610886</v>
      </c>
      <c r="N440" t="s">
        <v>803</v>
      </c>
      <c r="P440" t="s">
        <v>27</v>
      </c>
      <c r="Q440" t="s">
        <v>15</v>
      </c>
      <c r="R440">
        <v>33480</v>
      </c>
      <c r="S440" t="s">
        <v>27</v>
      </c>
      <c r="T440" t="s">
        <v>967</v>
      </c>
      <c r="U440">
        <v>0</v>
      </c>
      <c r="V440" t="s">
        <v>989</v>
      </c>
      <c r="W440" t="s">
        <v>1194</v>
      </c>
      <c r="X440" t="s">
        <v>973</v>
      </c>
      <c r="Y440">
        <v>25000</v>
      </c>
      <c r="Z440" s="2">
        <v>5</v>
      </c>
      <c r="AA440" s="2" t="s">
        <v>1238</v>
      </c>
      <c r="AB440" t="s">
        <v>1238</v>
      </c>
      <c r="AC440">
        <v>669</v>
      </c>
      <c r="AD440" t="s">
        <v>1280</v>
      </c>
      <c r="AE440">
        <v>1</v>
      </c>
      <c r="AF440" t="s">
        <v>1290</v>
      </c>
      <c r="AG440">
        <v>0</v>
      </c>
      <c r="AH440">
        <v>0</v>
      </c>
      <c r="AI440">
        <v>0</v>
      </c>
      <c r="AJ440">
        <v>2021</v>
      </c>
      <c r="AK440" t="s">
        <v>1194</v>
      </c>
      <c r="AL440">
        <v>2021</v>
      </c>
      <c r="AM440" s="4" t="s">
        <v>1238</v>
      </c>
      <c r="AN440">
        <v>0</v>
      </c>
      <c r="AO440" t="s">
        <v>1317</v>
      </c>
      <c r="AP440">
        <f t="shared" si="12"/>
        <v>0</v>
      </c>
      <c r="AQ440">
        <v>1</v>
      </c>
      <c r="AR440" t="s">
        <v>1992</v>
      </c>
      <c r="AS440" t="s">
        <v>1996</v>
      </c>
      <c r="AT440" t="s">
        <v>1996</v>
      </c>
      <c r="AU440" t="s">
        <v>1995</v>
      </c>
      <c r="AV440" t="s">
        <v>1995</v>
      </c>
      <c r="AW440" t="s">
        <v>1996</v>
      </c>
      <c r="AX440" t="s">
        <v>2007</v>
      </c>
      <c r="AY440" t="s">
        <v>1995</v>
      </c>
      <c r="AZ440">
        <v>8033</v>
      </c>
      <c r="BA440" t="s">
        <v>1194</v>
      </c>
      <c r="BB440" t="s">
        <v>1194</v>
      </c>
      <c r="BC440" s="3">
        <v>20287.613499999999</v>
      </c>
      <c r="BD440" s="3">
        <v>42714.01</v>
      </c>
      <c r="BE440" s="3">
        <v>0</v>
      </c>
      <c r="BF440" s="3">
        <v>0</v>
      </c>
      <c r="BG440" s="3">
        <v>300</v>
      </c>
      <c r="BH440" s="3">
        <v>0</v>
      </c>
      <c r="BI440" s="3">
        <v>69559</v>
      </c>
      <c r="BJ440" s="3">
        <v>132861</v>
      </c>
      <c r="BK440" s="3">
        <v>1250</v>
      </c>
      <c r="BL440" s="3">
        <v>134111</v>
      </c>
      <c r="BM440" s="2">
        <f t="shared" ca="1" si="13"/>
        <v>6</v>
      </c>
      <c r="BN440" s="3">
        <v>250000</v>
      </c>
      <c r="BO440" s="3">
        <v>100000</v>
      </c>
      <c r="BP440" s="3">
        <v>100000</v>
      </c>
      <c r="BQ440" s="3">
        <v>50000</v>
      </c>
      <c r="BR440" s="3" t="s">
        <v>2916</v>
      </c>
      <c r="BS440">
        <v>250000</v>
      </c>
      <c r="BT440">
        <v>0</v>
      </c>
      <c r="BU440">
        <v>0</v>
      </c>
      <c r="BV440">
        <v>0</v>
      </c>
      <c r="BW440">
        <v>1</v>
      </c>
      <c r="BX440">
        <v>1</v>
      </c>
      <c r="BY440">
        <v>0</v>
      </c>
      <c r="BZ440" t="s">
        <v>2938</v>
      </c>
      <c r="CA440" t="s">
        <v>2939</v>
      </c>
      <c r="CB440" t="s">
        <v>2941</v>
      </c>
    </row>
    <row r="441" spans="1:80" x14ac:dyDescent="0.25">
      <c r="A441">
        <v>440</v>
      </c>
      <c r="B441" t="s">
        <v>2455</v>
      </c>
      <c r="C441" s="1">
        <v>44929</v>
      </c>
      <c r="D441" s="2">
        <v>3</v>
      </c>
      <c r="E441" t="s">
        <v>4</v>
      </c>
      <c r="F441" t="s">
        <v>1310</v>
      </c>
      <c r="G441">
        <v>0</v>
      </c>
      <c r="H441" s="3">
        <v>3600000</v>
      </c>
      <c r="I441" s="3">
        <v>0</v>
      </c>
      <c r="J441" s="3">
        <v>0</v>
      </c>
      <c r="K441" s="3">
        <v>0</v>
      </c>
      <c r="L441" s="3" t="s">
        <v>1191</v>
      </c>
      <c r="M441">
        <v>1803203</v>
      </c>
      <c r="N441" t="s">
        <v>804</v>
      </c>
      <c r="P441" t="s">
        <v>805</v>
      </c>
      <c r="Q441" t="s">
        <v>14</v>
      </c>
      <c r="R441">
        <v>11576</v>
      </c>
      <c r="S441" t="s">
        <v>38</v>
      </c>
      <c r="T441" t="s">
        <v>962</v>
      </c>
      <c r="U441">
        <v>0</v>
      </c>
      <c r="V441" t="s">
        <v>1153</v>
      </c>
      <c r="W441" t="s">
        <v>1194</v>
      </c>
      <c r="X441" t="s">
        <v>973</v>
      </c>
      <c r="Y441">
        <v>10000</v>
      </c>
      <c r="Z441" s="2">
        <v>2</v>
      </c>
      <c r="AA441" s="2" t="s">
        <v>1238</v>
      </c>
      <c r="AB441" t="s">
        <v>1238</v>
      </c>
      <c r="AC441">
        <v>679</v>
      </c>
      <c r="AD441" t="s">
        <v>1279</v>
      </c>
      <c r="AE441">
        <v>3</v>
      </c>
      <c r="AF441" t="s">
        <v>1290</v>
      </c>
      <c r="AG441">
        <v>0</v>
      </c>
      <c r="AH441">
        <v>0</v>
      </c>
      <c r="AI441">
        <v>0</v>
      </c>
      <c r="AJ441">
        <v>2021</v>
      </c>
      <c r="AK441" t="s">
        <v>1194</v>
      </c>
      <c r="AL441" t="s">
        <v>1194</v>
      </c>
      <c r="AM441" s="4" t="s">
        <v>1304</v>
      </c>
      <c r="AN441">
        <v>1</v>
      </c>
      <c r="AO441" t="s">
        <v>1316</v>
      </c>
      <c r="AP441">
        <f t="shared" si="12"/>
        <v>0</v>
      </c>
      <c r="AQ441">
        <v>1</v>
      </c>
      <c r="AR441" t="s">
        <v>1992</v>
      </c>
      <c r="AS441" t="s">
        <v>1996</v>
      </c>
      <c r="AT441" t="s">
        <v>1996</v>
      </c>
      <c r="AU441" t="s">
        <v>1996</v>
      </c>
      <c r="AV441" t="s">
        <v>1996</v>
      </c>
      <c r="AW441" t="s">
        <v>1996</v>
      </c>
      <c r="AX441" t="s">
        <v>2006</v>
      </c>
      <c r="AY441" t="s">
        <v>1996</v>
      </c>
      <c r="AZ441">
        <v>6400</v>
      </c>
      <c r="BA441" t="s">
        <v>1194</v>
      </c>
      <c r="BB441" t="s">
        <v>1194</v>
      </c>
      <c r="BC441" s="3">
        <v>12697.077300000001</v>
      </c>
      <c r="BD441" s="3">
        <v>2257.1999999999998</v>
      </c>
      <c r="BE441" s="3">
        <v>0</v>
      </c>
      <c r="BF441" s="3">
        <v>0</v>
      </c>
      <c r="BG441" s="3">
        <v>150</v>
      </c>
      <c r="BH441" s="3">
        <v>0</v>
      </c>
      <c r="BI441" s="3">
        <v>3526</v>
      </c>
      <c r="BJ441" s="3">
        <v>18630</v>
      </c>
      <c r="BK441" s="3">
        <v>800</v>
      </c>
      <c r="BL441" s="3">
        <v>19430</v>
      </c>
      <c r="BM441" s="2">
        <f t="shared" ca="1" si="13"/>
        <v>3</v>
      </c>
      <c r="BN441" s="3">
        <v>50000</v>
      </c>
      <c r="BO441" s="3">
        <v>20000</v>
      </c>
      <c r="BP441" s="3">
        <v>100000</v>
      </c>
      <c r="BQ441" s="3">
        <v>500000</v>
      </c>
      <c r="BR441" s="3">
        <v>2000000</v>
      </c>
      <c r="BS441">
        <v>1000000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 t="s">
        <v>2942</v>
      </c>
      <c r="CA441" t="s">
        <v>2006</v>
      </c>
      <c r="CB441" t="s">
        <v>2006</v>
      </c>
    </row>
    <row r="442" spans="1:80" x14ac:dyDescent="0.25">
      <c r="A442">
        <v>441</v>
      </c>
      <c r="B442" t="s">
        <v>2456</v>
      </c>
      <c r="C442" s="1">
        <v>44923</v>
      </c>
      <c r="D442" s="2">
        <v>36</v>
      </c>
      <c r="E442" t="s">
        <v>4</v>
      </c>
      <c r="F442" t="s">
        <v>1311</v>
      </c>
      <c r="G442">
        <v>1</v>
      </c>
      <c r="H442" s="3">
        <v>5000000</v>
      </c>
      <c r="I442" s="3">
        <v>500000</v>
      </c>
      <c r="J442" s="3">
        <v>0</v>
      </c>
      <c r="K442" s="3">
        <v>0</v>
      </c>
      <c r="L442" s="3" t="s">
        <v>1191</v>
      </c>
      <c r="M442">
        <v>1241464</v>
      </c>
      <c r="N442" t="s">
        <v>806</v>
      </c>
      <c r="P442" t="s">
        <v>113</v>
      </c>
      <c r="Q442" t="s">
        <v>15</v>
      </c>
      <c r="R442">
        <v>33405</v>
      </c>
      <c r="S442" t="s">
        <v>27</v>
      </c>
      <c r="T442" t="s">
        <v>964</v>
      </c>
      <c r="U442">
        <v>1</v>
      </c>
      <c r="V442" t="s">
        <v>985</v>
      </c>
      <c r="W442" t="s">
        <v>1194</v>
      </c>
      <c r="X442" t="s">
        <v>1309</v>
      </c>
      <c r="Y442">
        <v>50000</v>
      </c>
      <c r="Z442" s="2">
        <v>5</v>
      </c>
      <c r="AA442" s="2" t="s">
        <v>1238</v>
      </c>
      <c r="AB442" t="s">
        <v>1238</v>
      </c>
      <c r="AC442">
        <v>714</v>
      </c>
      <c r="AD442" t="s">
        <v>1280</v>
      </c>
      <c r="AE442">
        <v>2</v>
      </c>
      <c r="AF442" t="s">
        <v>1291</v>
      </c>
      <c r="AG442">
        <v>0</v>
      </c>
      <c r="AH442">
        <v>0</v>
      </c>
      <c r="AI442">
        <v>0</v>
      </c>
      <c r="AJ442">
        <v>1992</v>
      </c>
      <c r="AK442" t="s">
        <v>1194</v>
      </c>
      <c r="AL442">
        <v>2018</v>
      </c>
      <c r="AM442" s="4" t="s">
        <v>1238</v>
      </c>
      <c r="AN442">
        <v>1</v>
      </c>
      <c r="AO442" t="s">
        <v>1317</v>
      </c>
      <c r="AP442">
        <f t="shared" si="12"/>
        <v>0</v>
      </c>
      <c r="AQ442">
        <v>1</v>
      </c>
      <c r="AR442" t="s">
        <v>1992</v>
      </c>
      <c r="AS442" t="s">
        <v>1995</v>
      </c>
      <c r="AT442" t="s">
        <v>1996</v>
      </c>
      <c r="AU442" t="s">
        <v>1996</v>
      </c>
      <c r="AV442" t="s">
        <v>1995</v>
      </c>
      <c r="AW442" t="s">
        <v>1995</v>
      </c>
      <c r="AX442" t="s">
        <v>2007</v>
      </c>
      <c r="AY442" t="s">
        <v>1995</v>
      </c>
      <c r="AZ442">
        <v>4821</v>
      </c>
      <c r="BA442" t="s">
        <v>1194</v>
      </c>
      <c r="BB442" t="s">
        <v>1194</v>
      </c>
      <c r="BC442" s="3">
        <v>13995.2091</v>
      </c>
      <c r="BD442" s="3">
        <v>39863.69</v>
      </c>
      <c r="BE442" s="3">
        <v>0</v>
      </c>
      <c r="BF442" s="3">
        <v>0</v>
      </c>
      <c r="BG442" s="3">
        <v>300</v>
      </c>
      <c r="BH442" s="3">
        <v>0</v>
      </c>
      <c r="BI442" s="3">
        <v>8841</v>
      </c>
      <c r="BJ442" s="3">
        <v>63000</v>
      </c>
      <c r="BK442" s="3">
        <v>0</v>
      </c>
      <c r="BL442" s="3">
        <v>63000</v>
      </c>
      <c r="BM442" s="2">
        <f t="shared" ca="1" si="13"/>
        <v>3</v>
      </c>
      <c r="BN442" s="3" t="s">
        <v>2916</v>
      </c>
      <c r="BO442" s="3">
        <v>250000</v>
      </c>
      <c r="BP442" s="3">
        <v>50000</v>
      </c>
      <c r="BQ442" s="3">
        <v>25000</v>
      </c>
      <c r="BR442" s="3">
        <v>100000</v>
      </c>
      <c r="BS442">
        <v>1000000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 t="s">
        <v>2940</v>
      </c>
      <c r="CA442" t="s">
        <v>2939</v>
      </c>
      <c r="CB442" t="s">
        <v>2941</v>
      </c>
    </row>
    <row r="443" spans="1:80" x14ac:dyDescent="0.25">
      <c r="A443">
        <v>442</v>
      </c>
      <c r="B443" t="s">
        <v>2457</v>
      </c>
      <c r="C443" s="1">
        <v>44974</v>
      </c>
      <c r="D443" s="2">
        <v>6</v>
      </c>
      <c r="E443" t="s">
        <v>4</v>
      </c>
      <c r="F443" t="s">
        <v>1310</v>
      </c>
      <c r="G443">
        <v>0</v>
      </c>
      <c r="H443" s="3">
        <v>2100000</v>
      </c>
      <c r="I443" s="3">
        <v>0</v>
      </c>
      <c r="J443" s="3">
        <v>0</v>
      </c>
      <c r="K443" s="3">
        <v>0</v>
      </c>
      <c r="L443" s="3" t="s">
        <v>1191</v>
      </c>
      <c r="M443">
        <v>2063148</v>
      </c>
      <c r="N443" t="s">
        <v>807</v>
      </c>
      <c r="P443" t="s">
        <v>808</v>
      </c>
      <c r="Q443" t="s">
        <v>21</v>
      </c>
      <c r="R443">
        <v>28173</v>
      </c>
      <c r="S443" t="s">
        <v>100</v>
      </c>
      <c r="T443" t="s">
        <v>973</v>
      </c>
      <c r="U443">
        <v>0</v>
      </c>
      <c r="V443" t="s">
        <v>1154</v>
      </c>
      <c r="W443" t="s">
        <v>1194</v>
      </c>
      <c r="X443" t="s">
        <v>973</v>
      </c>
      <c r="Y443">
        <v>10000</v>
      </c>
      <c r="Z443" s="2" t="s">
        <v>1194</v>
      </c>
      <c r="AA443" s="2" t="s">
        <v>1238</v>
      </c>
      <c r="AB443" t="s">
        <v>1238</v>
      </c>
      <c r="AC443">
        <v>889</v>
      </c>
      <c r="AD443" t="s">
        <v>1279</v>
      </c>
      <c r="AE443">
        <v>3</v>
      </c>
      <c r="AF443" t="s">
        <v>1290</v>
      </c>
      <c r="AG443">
        <v>0</v>
      </c>
      <c r="AH443">
        <v>0</v>
      </c>
      <c r="AI443">
        <v>0</v>
      </c>
      <c r="AJ443">
        <v>2003</v>
      </c>
      <c r="AK443">
        <v>2015</v>
      </c>
      <c r="AL443" t="s">
        <v>1194</v>
      </c>
      <c r="AM443" s="4" t="s">
        <v>1304</v>
      </c>
      <c r="AN443">
        <v>0</v>
      </c>
      <c r="AO443" t="s">
        <v>1316</v>
      </c>
      <c r="AP443">
        <f t="shared" si="12"/>
        <v>0</v>
      </c>
      <c r="AQ443">
        <v>1</v>
      </c>
      <c r="AR443" t="s">
        <v>1992</v>
      </c>
      <c r="AS443" t="s">
        <v>1995</v>
      </c>
      <c r="AT443" t="s">
        <v>1996</v>
      </c>
      <c r="AU443" t="s">
        <v>1996</v>
      </c>
      <c r="AV443" t="s">
        <v>1996</v>
      </c>
      <c r="AW443" t="s">
        <v>1995</v>
      </c>
      <c r="AX443" t="s">
        <v>2006</v>
      </c>
      <c r="AY443" t="s">
        <v>1996</v>
      </c>
      <c r="AZ443">
        <v>4839</v>
      </c>
      <c r="BA443" t="s">
        <v>1194</v>
      </c>
      <c r="BB443" t="s">
        <v>1194</v>
      </c>
      <c r="BC443" s="3">
        <v>3448.0037000000002</v>
      </c>
      <c r="BD443" s="3">
        <v>1680.53</v>
      </c>
      <c r="BE443" s="3">
        <v>0</v>
      </c>
      <c r="BF443" s="3">
        <v>0</v>
      </c>
      <c r="BG443" s="3">
        <v>150</v>
      </c>
      <c r="BH443" s="3">
        <v>0</v>
      </c>
      <c r="BI443" s="3">
        <v>4922</v>
      </c>
      <c r="BJ443" s="3">
        <v>10201</v>
      </c>
      <c r="BK443" s="3">
        <v>0</v>
      </c>
      <c r="BL443" s="3">
        <v>10201</v>
      </c>
      <c r="BM443" s="2">
        <f t="shared" ca="1" si="13"/>
        <v>2</v>
      </c>
      <c r="BN443" s="3">
        <v>500000</v>
      </c>
      <c r="BO443" s="3">
        <v>250000</v>
      </c>
      <c r="BP443" s="3">
        <v>50000</v>
      </c>
      <c r="BQ443" s="3">
        <v>100000</v>
      </c>
      <c r="BR443" s="3">
        <v>2000000</v>
      </c>
      <c r="BS443" t="s">
        <v>2916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 t="s">
        <v>2942</v>
      </c>
      <c r="CA443" t="s">
        <v>2006</v>
      </c>
      <c r="CB443" t="s">
        <v>2945</v>
      </c>
    </row>
    <row r="444" spans="1:80" x14ac:dyDescent="0.25">
      <c r="A444">
        <v>443</v>
      </c>
      <c r="B444" t="s">
        <v>2458</v>
      </c>
      <c r="C444" s="1">
        <v>44799</v>
      </c>
      <c r="D444" s="2">
        <v>24</v>
      </c>
      <c r="E444" t="s">
        <v>4</v>
      </c>
      <c r="F444" t="s">
        <v>1311</v>
      </c>
      <c r="G444">
        <v>0</v>
      </c>
      <c r="H444" s="3">
        <v>3000000</v>
      </c>
      <c r="I444" s="3">
        <v>0</v>
      </c>
      <c r="J444" s="3">
        <v>0</v>
      </c>
      <c r="K444" s="3">
        <v>0</v>
      </c>
      <c r="L444" s="3" t="s">
        <v>1191</v>
      </c>
      <c r="M444">
        <v>1959082</v>
      </c>
      <c r="N444" t="s">
        <v>809</v>
      </c>
      <c r="P444" t="s">
        <v>25</v>
      </c>
      <c r="Q444" t="s">
        <v>13</v>
      </c>
      <c r="R444">
        <v>2554</v>
      </c>
      <c r="S444" t="s">
        <v>25</v>
      </c>
      <c r="T444" t="s">
        <v>962</v>
      </c>
      <c r="U444">
        <v>0</v>
      </c>
      <c r="V444" t="s">
        <v>983</v>
      </c>
      <c r="W444" t="s">
        <v>1194</v>
      </c>
      <c r="X444" t="s">
        <v>973</v>
      </c>
      <c r="Y444">
        <v>10000</v>
      </c>
      <c r="Z444" s="2">
        <v>2</v>
      </c>
      <c r="AA444" s="2" t="s">
        <v>1238</v>
      </c>
      <c r="AB444" t="s">
        <v>1238</v>
      </c>
      <c r="AC444">
        <v>748</v>
      </c>
      <c r="AD444" t="s">
        <v>1279</v>
      </c>
      <c r="AE444">
        <v>3</v>
      </c>
      <c r="AF444" t="s">
        <v>1290</v>
      </c>
      <c r="AG444">
        <v>0</v>
      </c>
      <c r="AH444">
        <v>0</v>
      </c>
      <c r="AI444">
        <v>0</v>
      </c>
      <c r="AJ444">
        <v>2021</v>
      </c>
      <c r="AK444" t="s">
        <v>1194</v>
      </c>
      <c r="AL444" t="s">
        <v>1194</v>
      </c>
      <c r="AM444" s="4" t="s">
        <v>1238</v>
      </c>
      <c r="AN444">
        <v>1</v>
      </c>
      <c r="AO444" t="s">
        <v>1316</v>
      </c>
      <c r="AP444">
        <f t="shared" si="12"/>
        <v>0</v>
      </c>
      <c r="AQ444">
        <v>1</v>
      </c>
      <c r="AR444" t="s">
        <v>1992</v>
      </c>
      <c r="AS444" t="s">
        <v>1996</v>
      </c>
      <c r="AT444" t="s">
        <v>1996</v>
      </c>
      <c r="AU444" t="s">
        <v>1995</v>
      </c>
      <c r="AV444" t="s">
        <v>1995</v>
      </c>
      <c r="AW444" t="s">
        <v>1996</v>
      </c>
      <c r="AX444" t="s">
        <v>2006</v>
      </c>
      <c r="AY444" t="s">
        <v>1996</v>
      </c>
      <c r="AZ444">
        <v>4500</v>
      </c>
      <c r="BA444" t="s">
        <v>1194</v>
      </c>
      <c r="BB444" t="s">
        <v>1194</v>
      </c>
      <c r="BC444" s="3">
        <v>6230.4016000000001</v>
      </c>
      <c r="BD444" s="3">
        <v>5619.42</v>
      </c>
      <c r="BE444" s="3">
        <v>0</v>
      </c>
      <c r="BF444" s="3">
        <v>0</v>
      </c>
      <c r="BG444" s="3">
        <v>150</v>
      </c>
      <c r="BH444" s="3">
        <v>0</v>
      </c>
      <c r="BI444" s="3">
        <v>5907</v>
      </c>
      <c r="BJ444" s="3">
        <v>17907</v>
      </c>
      <c r="BK444" s="3">
        <v>0</v>
      </c>
      <c r="BL444" s="3">
        <v>17907</v>
      </c>
      <c r="BM444" s="2">
        <f t="shared" ca="1" si="13"/>
        <v>1</v>
      </c>
      <c r="BN444" s="3" t="s">
        <v>2916</v>
      </c>
      <c r="BO444" s="3">
        <v>50000</v>
      </c>
      <c r="BP444" s="3">
        <v>50000</v>
      </c>
      <c r="BQ444" s="3">
        <v>1000000</v>
      </c>
      <c r="BR444" s="3">
        <v>2000000</v>
      </c>
      <c r="BS444">
        <v>250000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 t="s">
        <v>2942</v>
      </c>
      <c r="CA444" t="s">
        <v>2006</v>
      </c>
      <c r="CB444" t="s">
        <v>2006</v>
      </c>
    </row>
    <row r="445" spans="1:80" x14ac:dyDescent="0.25">
      <c r="A445">
        <v>444</v>
      </c>
      <c r="B445" t="s">
        <v>2459</v>
      </c>
      <c r="C445" s="1">
        <v>44932</v>
      </c>
      <c r="D445" s="2">
        <v>3</v>
      </c>
      <c r="E445" t="s">
        <v>4</v>
      </c>
      <c r="F445" t="s">
        <v>1310</v>
      </c>
      <c r="G445">
        <v>0</v>
      </c>
      <c r="H445" s="3">
        <v>4043000</v>
      </c>
      <c r="I445" s="3">
        <v>200000</v>
      </c>
      <c r="J445" s="3">
        <v>0</v>
      </c>
      <c r="K445" s="3">
        <v>0</v>
      </c>
      <c r="L445" s="3" t="s">
        <v>1191</v>
      </c>
      <c r="M445">
        <v>1824657</v>
      </c>
      <c r="N445" t="s">
        <v>810</v>
      </c>
      <c r="P445" t="s">
        <v>811</v>
      </c>
      <c r="Q445" t="s">
        <v>14</v>
      </c>
      <c r="R445">
        <v>11932</v>
      </c>
      <c r="S445" t="s">
        <v>26</v>
      </c>
      <c r="T445" t="s">
        <v>962</v>
      </c>
      <c r="U445">
        <v>0</v>
      </c>
      <c r="V445" t="s">
        <v>1155</v>
      </c>
      <c r="W445" t="s">
        <v>1194</v>
      </c>
      <c r="X445" t="s">
        <v>973</v>
      </c>
      <c r="Y445">
        <v>25000</v>
      </c>
      <c r="Z445" s="2">
        <v>2</v>
      </c>
      <c r="AA445" s="2" t="s">
        <v>1238</v>
      </c>
      <c r="AB445" t="s">
        <v>1238</v>
      </c>
      <c r="AC445">
        <v>743</v>
      </c>
      <c r="AD445" t="s">
        <v>1279</v>
      </c>
      <c r="AE445">
        <v>4</v>
      </c>
      <c r="AF445" t="s">
        <v>1290</v>
      </c>
      <c r="AG445">
        <v>0</v>
      </c>
      <c r="AH445">
        <v>0</v>
      </c>
      <c r="AI445">
        <v>0</v>
      </c>
      <c r="AJ445">
        <v>2021</v>
      </c>
      <c r="AK445" t="s">
        <v>1194</v>
      </c>
      <c r="AL445" t="s">
        <v>1194</v>
      </c>
      <c r="AM445" s="4" t="s">
        <v>1304</v>
      </c>
      <c r="AN445">
        <v>1</v>
      </c>
      <c r="AO445" t="s">
        <v>1315</v>
      </c>
      <c r="AP445">
        <f t="shared" si="12"/>
        <v>0</v>
      </c>
      <c r="AQ445">
        <v>1</v>
      </c>
      <c r="AR445" t="s">
        <v>1992</v>
      </c>
      <c r="AS445" t="s">
        <v>1995</v>
      </c>
      <c r="AT445" t="s">
        <v>1995</v>
      </c>
      <c r="AU445" t="s">
        <v>1996</v>
      </c>
      <c r="AV445" t="s">
        <v>1996</v>
      </c>
      <c r="AW445" t="s">
        <v>1996</v>
      </c>
      <c r="AX445" t="s">
        <v>2006</v>
      </c>
      <c r="AY445" t="s">
        <v>1996</v>
      </c>
      <c r="AZ445">
        <v>6500</v>
      </c>
      <c r="BA445" t="s">
        <v>1194</v>
      </c>
      <c r="BB445" t="s">
        <v>1194</v>
      </c>
      <c r="BC445" s="3">
        <v>10694.1227</v>
      </c>
      <c r="BD445" s="3">
        <v>4850.3500000000004</v>
      </c>
      <c r="BE445" s="3">
        <v>0</v>
      </c>
      <c r="BF445" s="3">
        <v>0</v>
      </c>
      <c r="BG445" s="3">
        <v>150</v>
      </c>
      <c r="BH445" s="3">
        <v>0</v>
      </c>
      <c r="BI445" s="3">
        <v>4850</v>
      </c>
      <c r="BJ445" s="3">
        <v>20544</v>
      </c>
      <c r="BK445" s="3">
        <v>0</v>
      </c>
      <c r="BL445" s="3">
        <v>20544</v>
      </c>
      <c r="BM445" s="2">
        <f t="shared" ca="1" si="13"/>
        <v>2</v>
      </c>
      <c r="BN445" s="3">
        <v>100000</v>
      </c>
      <c r="BO445" s="3">
        <v>25000</v>
      </c>
      <c r="BP445" s="3">
        <v>50000</v>
      </c>
      <c r="BQ445" s="3">
        <v>50000</v>
      </c>
      <c r="BR445" s="3">
        <v>500000</v>
      </c>
      <c r="BS445">
        <v>100000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 t="s">
        <v>2942</v>
      </c>
      <c r="CA445" t="s">
        <v>2006</v>
      </c>
      <c r="CB445" t="s">
        <v>2006</v>
      </c>
    </row>
    <row r="446" spans="1:80" x14ac:dyDescent="0.25">
      <c r="A446">
        <v>445</v>
      </c>
      <c r="B446" t="s">
        <v>2460</v>
      </c>
      <c r="C446" s="1">
        <v>44929</v>
      </c>
      <c r="D446" s="2">
        <v>3</v>
      </c>
      <c r="E446" t="s">
        <v>4</v>
      </c>
      <c r="F446" t="s">
        <v>1310</v>
      </c>
      <c r="G446">
        <v>0</v>
      </c>
      <c r="H446" s="3">
        <v>5000000</v>
      </c>
      <c r="I446" s="3">
        <v>500000</v>
      </c>
      <c r="J446" s="3">
        <v>0</v>
      </c>
      <c r="K446" s="3">
        <v>0</v>
      </c>
      <c r="L446" s="3" t="s">
        <v>1191</v>
      </c>
      <c r="M446">
        <v>707937</v>
      </c>
      <c r="N446" t="s">
        <v>812</v>
      </c>
      <c r="P446" t="s">
        <v>111</v>
      </c>
      <c r="Q446" t="s">
        <v>14</v>
      </c>
      <c r="R446">
        <v>11937</v>
      </c>
      <c r="S446" t="s">
        <v>26</v>
      </c>
      <c r="T446" t="s">
        <v>963</v>
      </c>
      <c r="U446">
        <v>0</v>
      </c>
      <c r="V446" t="s">
        <v>984</v>
      </c>
      <c r="W446" t="s">
        <v>1194</v>
      </c>
      <c r="X446" t="s">
        <v>973</v>
      </c>
      <c r="Y446">
        <v>10000</v>
      </c>
      <c r="Z446" s="2">
        <v>2</v>
      </c>
      <c r="AA446" s="2" t="s">
        <v>1238</v>
      </c>
      <c r="AB446" t="s">
        <v>1238</v>
      </c>
      <c r="AC446">
        <v>722</v>
      </c>
      <c r="AD446" t="s">
        <v>1279</v>
      </c>
      <c r="AE446">
        <v>3</v>
      </c>
      <c r="AF446" t="s">
        <v>1290</v>
      </c>
      <c r="AG446">
        <v>0</v>
      </c>
      <c r="AH446">
        <v>0</v>
      </c>
      <c r="AI446">
        <v>0</v>
      </c>
      <c r="AJ446">
        <v>2021</v>
      </c>
      <c r="AK446" t="s">
        <v>1194</v>
      </c>
      <c r="AL446" t="s">
        <v>1194</v>
      </c>
      <c r="AM446" s="4" t="s">
        <v>1304</v>
      </c>
      <c r="AN446">
        <v>1</v>
      </c>
      <c r="AO446" t="s">
        <v>1316</v>
      </c>
      <c r="AP446">
        <f t="shared" si="12"/>
        <v>0</v>
      </c>
      <c r="AQ446">
        <v>1</v>
      </c>
      <c r="AR446" t="s">
        <v>1992</v>
      </c>
      <c r="AS446" t="s">
        <v>1996</v>
      </c>
      <c r="AT446" t="s">
        <v>1996</v>
      </c>
      <c r="AU446" t="s">
        <v>1996</v>
      </c>
      <c r="AV446" t="s">
        <v>1995</v>
      </c>
      <c r="AW446" t="s">
        <v>1995</v>
      </c>
      <c r="AX446" t="s">
        <v>2006</v>
      </c>
      <c r="AY446" t="s">
        <v>1996</v>
      </c>
      <c r="AZ446">
        <v>6000</v>
      </c>
      <c r="BA446" t="s">
        <v>1194</v>
      </c>
      <c r="BB446" t="s">
        <v>1194</v>
      </c>
      <c r="BC446" s="3">
        <v>13259.8552</v>
      </c>
      <c r="BD446" s="3">
        <v>12050.96</v>
      </c>
      <c r="BE446" s="3">
        <v>0</v>
      </c>
      <c r="BF446" s="3">
        <v>0</v>
      </c>
      <c r="BG446" s="3">
        <v>150</v>
      </c>
      <c r="BH446" s="3">
        <v>0</v>
      </c>
      <c r="BI446" s="3">
        <v>2889</v>
      </c>
      <c r="BJ446" s="3">
        <v>28350</v>
      </c>
      <c r="BK446" s="3">
        <v>350</v>
      </c>
      <c r="BL446" s="3">
        <v>28700</v>
      </c>
      <c r="BM446" s="2">
        <f t="shared" ca="1" si="13"/>
        <v>6</v>
      </c>
      <c r="BN446" s="3">
        <v>500000</v>
      </c>
      <c r="BO446" s="3">
        <v>20000</v>
      </c>
      <c r="BP446" s="3">
        <v>50000</v>
      </c>
      <c r="BQ446" s="3">
        <v>2000000</v>
      </c>
      <c r="BR446" s="3">
        <v>100000</v>
      </c>
      <c r="BS446">
        <v>1000000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 t="s">
        <v>2006</v>
      </c>
      <c r="CA446" t="s">
        <v>2006</v>
      </c>
      <c r="CB446" t="s">
        <v>2006</v>
      </c>
    </row>
    <row r="447" spans="1:80" x14ac:dyDescent="0.25">
      <c r="A447">
        <v>446</v>
      </c>
      <c r="B447" t="s">
        <v>2461</v>
      </c>
      <c r="C447" s="1">
        <v>44945</v>
      </c>
      <c r="D447" s="2">
        <v>3</v>
      </c>
      <c r="E447" t="s">
        <v>4</v>
      </c>
      <c r="F447" t="s">
        <v>1310</v>
      </c>
      <c r="G447">
        <v>0</v>
      </c>
      <c r="H447" s="3">
        <v>1200000</v>
      </c>
      <c r="I447" s="3">
        <v>0</v>
      </c>
      <c r="J447" s="3">
        <v>0</v>
      </c>
      <c r="K447" s="3">
        <v>0</v>
      </c>
      <c r="L447" s="3" t="s">
        <v>1191</v>
      </c>
      <c r="M447">
        <v>1825075</v>
      </c>
      <c r="N447" t="s">
        <v>813</v>
      </c>
      <c r="P447" t="s">
        <v>814</v>
      </c>
      <c r="Q447" t="s">
        <v>13</v>
      </c>
      <c r="R447">
        <v>2575</v>
      </c>
      <c r="S447" t="s">
        <v>55</v>
      </c>
      <c r="T447" t="s">
        <v>962</v>
      </c>
      <c r="U447">
        <v>0</v>
      </c>
      <c r="V447" t="s">
        <v>1156</v>
      </c>
      <c r="W447" t="s">
        <v>1194</v>
      </c>
      <c r="X447" t="s">
        <v>973</v>
      </c>
      <c r="Y447">
        <v>10000</v>
      </c>
      <c r="Z447" s="2">
        <v>2</v>
      </c>
      <c r="AA447" s="2" t="s">
        <v>1238</v>
      </c>
      <c r="AB447" t="s">
        <v>1238</v>
      </c>
      <c r="AC447">
        <v>761</v>
      </c>
      <c r="AD447" t="s">
        <v>1279</v>
      </c>
      <c r="AE447">
        <v>9</v>
      </c>
      <c r="AF447" t="s">
        <v>1290</v>
      </c>
      <c r="AG447">
        <v>0</v>
      </c>
      <c r="AH447">
        <v>0</v>
      </c>
      <c r="AI447">
        <v>0</v>
      </c>
      <c r="AJ447">
        <v>2021</v>
      </c>
      <c r="AK447" t="s">
        <v>1194</v>
      </c>
      <c r="AL447" t="s">
        <v>1194</v>
      </c>
      <c r="AM447" s="4" t="s">
        <v>1304</v>
      </c>
      <c r="AN447">
        <v>0</v>
      </c>
      <c r="AO447" t="s">
        <v>1316</v>
      </c>
      <c r="AP447">
        <f t="shared" si="12"/>
        <v>0</v>
      </c>
      <c r="AQ447">
        <v>1</v>
      </c>
      <c r="AR447" t="s">
        <v>1992</v>
      </c>
      <c r="AS447" t="s">
        <v>1995</v>
      </c>
      <c r="AT447" t="s">
        <v>1995</v>
      </c>
      <c r="AU447" t="s">
        <v>1996</v>
      </c>
      <c r="AV447" t="s">
        <v>1996</v>
      </c>
      <c r="AW447" t="s">
        <v>1995</v>
      </c>
      <c r="AX447" t="s">
        <v>2006</v>
      </c>
      <c r="AY447" t="s">
        <v>1996</v>
      </c>
      <c r="AZ447">
        <v>3100</v>
      </c>
      <c r="BA447" t="s">
        <v>1194</v>
      </c>
      <c r="BB447" t="s">
        <v>1194</v>
      </c>
      <c r="BC447" s="3">
        <v>4291.4632000000001</v>
      </c>
      <c r="BD447" s="3">
        <v>2112.36</v>
      </c>
      <c r="BE447" s="3">
        <v>0</v>
      </c>
      <c r="BF447" s="3">
        <v>0</v>
      </c>
      <c r="BG447" s="3">
        <v>150</v>
      </c>
      <c r="BH447" s="3">
        <v>0</v>
      </c>
      <c r="BI447" s="3">
        <v>2196</v>
      </c>
      <c r="BJ447" s="3">
        <v>8750</v>
      </c>
      <c r="BK447" s="3">
        <v>0</v>
      </c>
      <c r="BL447" s="3">
        <v>8750</v>
      </c>
      <c r="BM447" s="2">
        <f t="shared" ca="1" si="13"/>
        <v>4</v>
      </c>
      <c r="BN447" s="3" t="s">
        <v>2916</v>
      </c>
      <c r="BO447" s="3">
        <v>250000</v>
      </c>
      <c r="BP447" s="3">
        <v>50000</v>
      </c>
      <c r="BQ447" s="3">
        <v>1000000</v>
      </c>
      <c r="BR447" s="3">
        <v>1000000</v>
      </c>
      <c r="BS447">
        <v>100000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 t="s">
        <v>2942</v>
      </c>
      <c r="CA447" t="s">
        <v>2006</v>
      </c>
      <c r="CB447" t="s">
        <v>2006</v>
      </c>
    </row>
    <row r="448" spans="1:80" x14ac:dyDescent="0.25">
      <c r="A448">
        <v>447</v>
      </c>
      <c r="B448" t="s">
        <v>2462</v>
      </c>
      <c r="C448" s="1">
        <v>44753</v>
      </c>
      <c r="D448" s="2">
        <v>21</v>
      </c>
      <c r="E448" t="s">
        <v>4</v>
      </c>
      <c r="F448" t="s">
        <v>1311</v>
      </c>
      <c r="G448">
        <v>1</v>
      </c>
      <c r="H448" s="3">
        <v>14142600</v>
      </c>
      <c r="I448" s="3">
        <v>857400</v>
      </c>
      <c r="J448" s="3">
        <v>0</v>
      </c>
      <c r="K448" s="3">
        <v>0</v>
      </c>
      <c r="L448" s="3" t="s">
        <v>1191</v>
      </c>
      <c r="M448">
        <v>1345540</v>
      </c>
      <c r="N448" t="s">
        <v>815</v>
      </c>
      <c r="P448" t="s">
        <v>816</v>
      </c>
      <c r="Q448" t="s">
        <v>19</v>
      </c>
      <c r="R448">
        <v>93953</v>
      </c>
      <c r="S448" t="s">
        <v>101</v>
      </c>
      <c r="T448" t="s">
        <v>976</v>
      </c>
      <c r="U448">
        <v>1</v>
      </c>
      <c r="V448">
        <v>9</v>
      </c>
      <c r="W448" t="s">
        <v>1226</v>
      </c>
      <c r="X448" t="s">
        <v>1309</v>
      </c>
      <c r="Y448">
        <v>50000</v>
      </c>
      <c r="Z448" s="2" t="s">
        <v>1194</v>
      </c>
      <c r="AA448" s="2" t="s">
        <v>1238</v>
      </c>
      <c r="AB448" t="s">
        <v>1238</v>
      </c>
      <c r="AC448" t="s">
        <v>1194</v>
      </c>
      <c r="AD448" t="s">
        <v>1279</v>
      </c>
      <c r="AE448">
        <v>1</v>
      </c>
      <c r="AF448" t="s">
        <v>1290</v>
      </c>
      <c r="AG448">
        <v>0</v>
      </c>
      <c r="AH448">
        <v>0</v>
      </c>
      <c r="AI448">
        <v>0</v>
      </c>
      <c r="AJ448">
        <v>1991</v>
      </c>
      <c r="AK448" t="s">
        <v>1194</v>
      </c>
      <c r="AL448">
        <v>2010</v>
      </c>
      <c r="AM448" s="4" t="s">
        <v>1238</v>
      </c>
      <c r="AN448">
        <v>1</v>
      </c>
      <c r="AO448" t="s">
        <v>1316</v>
      </c>
      <c r="AP448">
        <f t="shared" si="12"/>
        <v>0</v>
      </c>
      <c r="AQ448">
        <v>0</v>
      </c>
      <c r="AR448" t="s">
        <v>1993</v>
      </c>
      <c r="AS448" t="s">
        <v>1996</v>
      </c>
      <c r="AT448" t="s">
        <v>1996</v>
      </c>
      <c r="AU448" t="s">
        <v>1995</v>
      </c>
      <c r="AV448" t="s">
        <v>1995</v>
      </c>
      <c r="AW448" t="s">
        <v>1996</v>
      </c>
      <c r="AX448" t="s">
        <v>1194</v>
      </c>
      <c r="AY448" t="s">
        <v>1996</v>
      </c>
      <c r="AZ448">
        <v>12381</v>
      </c>
      <c r="BA448">
        <v>4</v>
      </c>
      <c r="BB448" t="s">
        <v>2016</v>
      </c>
      <c r="BC448" s="3">
        <v>0</v>
      </c>
      <c r="BD448" s="3">
        <v>0</v>
      </c>
      <c r="BE448" s="3">
        <v>19431.93</v>
      </c>
      <c r="BF448" s="3">
        <v>19368.18</v>
      </c>
      <c r="BG448" s="3">
        <v>150</v>
      </c>
      <c r="BH448" s="3">
        <v>0</v>
      </c>
      <c r="BI448" s="3">
        <v>101000</v>
      </c>
      <c r="BJ448" s="3">
        <v>139950.10999999999</v>
      </c>
      <c r="BK448" s="3">
        <v>0</v>
      </c>
      <c r="BL448" s="3">
        <v>139950.10999999999</v>
      </c>
      <c r="BM448" s="2">
        <f t="shared" ca="1" si="13"/>
        <v>1</v>
      </c>
      <c r="BN448" s="3">
        <v>100000</v>
      </c>
      <c r="BO448" s="3">
        <v>25000</v>
      </c>
      <c r="BP448" s="3">
        <v>100000</v>
      </c>
      <c r="BQ448" s="3">
        <v>500000</v>
      </c>
      <c r="BR448" s="3" t="s">
        <v>2916</v>
      </c>
      <c r="BS448">
        <v>100000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 t="s">
        <v>2948</v>
      </c>
      <c r="CA448" t="s">
        <v>1194</v>
      </c>
      <c r="CB448" t="s">
        <v>2941</v>
      </c>
    </row>
    <row r="449" spans="1:80" x14ac:dyDescent="0.25">
      <c r="A449">
        <v>448</v>
      </c>
      <c r="B449" t="s">
        <v>2463</v>
      </c>
      <c r="C449" s="1">
        <v>44652</v>
      </c>
      <c r="D449" s="2">
        <v>12</v>
      </c>
      <c r="E449" t="s">
        <v>4</v>
      </c>
      <c r="F449" t="s">
        <v>1311</v>
      </c>
      <c r="G449">
        <v>1</v>
      </c>
      <c r="H449" s="3">
        <v>6000000</v>
      </c>
      <c r="I449" s="3">
        <v>150000</v>
      </c>
      <c r="J449" s="3">
        <v>0</v>
      </c>
      <c r="K449" s="3">
        <v>0</v>
      </c>
      <c r="L449" s="3" t="s">
        <v>1191</v>
      </c>
      <c r="M449">
        <v>1831412</v>
      </c>
      <c r="N449" t="s">
        <v>817</v>
      </c>
      <c r="P449" t="s">
        <v>27</v>
      </c>
      <c r="Q449" t="s">
        <v>15</v>
      </c>
      <c r="R449">
        <v>33480</v>
      </c>
      <c r="S449" t="s">
        <v>27</v>
      </c>
      <c r="T449" t="s">
        <v>967</v>
      </c>
      <c r="U449">
        <v>1</v>
      </c>
      <c r="V449" t="s">
        <v>989</v>
      </c>
      <c r="W449" t="s">
        <v>1194</v>
      </c>
      <c r="X449" t="s">
        <v>1309</v>
      </c>
      <c r="Y449">
        <v>10000</v>
      </c>
      <c r="Z449" s="2">
        <v>5</v>
      </c>
      <c r="AA449" s="2" t="s">
        <v>1238</v>
      </c>
      <c r="AB449" t="s">
        <v>1238</v>
      </c>
      <c r="AC449">
        <v>732</v>
      </c>
      <c r="AD449" t="s">
        <v>1280</v>
      </c>
      <c r="AE449">
        <v>1</v>
      </c>
      <c r="AF449" t="s">
        <v>1291</v>
      </c>
      <c r="AG449">
        <v>0</v>
      </c>
      <c r="AH449">
        <v>0</v>
      </c>
      <c r="AI449">
        <v>0</v>
      </c>
      <c r="AJ449">
        <v>2021</v>
      </c>
      <c r="AK449" t="s">
        <v>1194</v>
      </c>
      <c r="AL449" t="s">
        <v>1194</v>
      </c>
      <c r="AM449" s="4" t="s">
        <v>1238</v>
      </c>
      <c r="AN449">
        <v>0</v>
      </c>
      <c r="AO449" t="s">
        <v>1316</v>
      </c>
      <c r="AP449">
        <f t="shared" si="12"/>
        <v>0</v>
      </c>
      <c r="AQ449">
        <v>1</v>
      </c>
      <c r="AR449" t="s">
        <v>1992</v>
      </c>
      <c r="AS449" t="s">
        <v>1996</v>
      </c>
      <c r="AT449" t="s">
        <v>1996</v>
      </c>
      <c r="AU449" t="s">
        <v>1996</v>
      </c>
      <c r="AV449" t="s">
        <v>1996</v>
      </c>
      <c r="AW449" t="s">
        <v>1995</v>
      </c>
      <c r="AX449" t="s">
        <v>2007</v>
      </c>
      <c r="AY449" t="s">
        <v>1995</v>
      </c>
      <c r="AZ449">
        <v>7500</v>
      </c>
      <c r="BA449" t="s">
        <v>1194</v>
      </c>
      <c r="BB449" t="s">
        <v>1194</v>
      </c>
      <c r="BC449" s="3">
        <v>12490.297500000001</v>
      </c>
      <c r="BD449" s="3">
        <v>25588.14</v>
      </c>
      <c r="BE449" s="3">
        <v>0</v>
      </c>
      <c r="BF449" s="3">
        <v>0</v>
      </c>
      <c r="BG449" s="3">
        <v>0</v>
      </c>
      <c r="BH449" s="3">
        <v>0</v>
      </c>
      <c r="BI449" s="3">
        <v>31457</v>
      </c>
      <c r="BJ449" s="3">
        <v>69535</v>
      </c>
      <c r="BK449" s="3">
        <v>2396.6</v>
      </c>
      <c r="BL449" s="3">
        <v>71931.600000000006</v>
      </c>
      <c r="BM449" s="2">
        <f t="shared" ca="1" si="13"/>
        <v>3</v>
      </c>
      <c r="BN449" s="3">
        <v>250000</v>
      </c>
      <c r="BO449" s="3">
        <v>100000</v>
      </c>
      <c r="BP449" s="3">
        <v>50000</v>
      </c>
      <c r="BQ449" s="3">
        <v>25000</v>
      </c>
      <c r="BR449" s="3">
        <v>50000</v>
      </c>
      <c r="BS449">
        <v>50000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 t="s">
        <v>2940</v>
      </c>
      <c r="CA449" t="s">
        <v>2939</v>
      </c>
      <c r="CB449" t="s">
        <v>2941</v>
      </c>
    </row>
    <row r="450" spans="1:80" x14ac:dyDescent="0.25">
      <c r="A450">
        <v>449</v>
      </c>
      <c r="B450" t="s">
        <v>2464</v>
      </c>
      <c r="C450" s="1">
        <v>44982</v>
      </c>
      <c r="D450" s="2">
        <v>6</v>
      </c>
      <c r="E450" t="s">
        <v>4</v>
      </c>
      <c r="F450" t="s">
        <v>1310</v>
      </c>
      <c r="G450">
        <v>0</v>
      </c>
      <c r="H450" s="3">
        <v>1548481</v>
      </c>
      <c r="I450" s="3">
        <v>629328</v>
      </c>
      <c r="J450" s="3">
        <v>0</v>
      </c>
      <c r="K450" s="3">
        <v>0</v>
      </c>
      <c r="L450" s="3" t="s">
        <v>1191</v>
      </c>
      <c r="M450">
        <v>1840828</v>
      </c>
      <c r="N450" t="s">
        <v>818</v>
      </c>
      <c r="P450" t="s">
        <v>819</v>
      </c>
      <c r="Q450" t="s">
        <v>15</v>
      </c>
      <c r="R450">
        <v>32413</v>
      </c>
      <c r="S450" t="s">
        <v>78</v>
      </c>
      <c r="T450" t="s">
        <v>964</v>
      </c>
      <c r="U450">
        <v>1</v>
      </c>
      <c r="V450" t="s">
        <v>1063</v>
      </c>
      <c r="W450" t="s">
        <v>1194</v>
      </c>
      <c r="X450" t="s">
        <v>1309</v>
      </c>
      <c r="Y450">
        <v>10000</v>
      </c>
      <c r="Z450" s="2">
        <v>2.0000245400000001</v>
      </c>
      <c r="AA450" s="2" t="s">
        <v>1238</v>
      </c>
      <c r="AB450" t="s">
        <v>1238</v>
      </c>
      <c r="AC450">
        <v>762</v>
      </c>
      <c r="AD450" t="s">
        <v>1280</v>
      </c>
      <c r="AE450">
        <v>3</v>
      </c>
      <c r="AF450" t="s">
        <v>1292</v>
      </c>
      <c r="AG450">
        <v>0</v>
      </c>
      <c r="AH450">
        <v>0</v>
      </c>
      <c r="AI450">
        <v>0</v>
      </c>
      <c r="AJ450">
        <v>1999</v>
      </c>
      <c r="AK450" t="s">
        <v>1194</v>
      </c>
      <c r="AL450" t="s">
        <v>1194</v>
      </c>
      <c r="AM450" s="4" t="s">
        <v>1305</v>
      </c>
      <c r="AN450">
        <v>1</v>
      </c>
      <c r="AO450" t="s">
        <v>1315</v>
      </c>
      <c r="AP450">
        <f t="shared" si="12"/>
        <v>0</v>
      </c>
      <c r="AQ450">
        <v>0</v>
      </c>
      <c r="AR450" t="s">
        <v>1993</v>
      </c>
      <c r="AS450" t="s">
        <v>1996</v>
      </c>
      <c r="AT450" t="s">
        <v>1995</v>
      </c>
      <c r="AU450" t="s">
        <v>1995</v>
      </c>
      <c r="AV450" t="s">
        <v>1996</v>
      </c>
      <c r="AW450" t="s">
        <v>1996</v>
      </c>
      <c r="AX450" t="s">
        <v>2009</v>
      </c>
      <c r="AY450" t="s">
        <v>1995</v>
      </c>
      <c r="AZ450">
        <v>3900</v>
      </c>
      <c r="BA450" t="s">
        <v>1194</v>
      </c>
      <c r="BB450" t="s">
        <v>1194</v>
      </c>
      <c r="BC450" s="3">
        <v>4283.9627</v>
      </c>
      <c r="BD450" s="3">
        <v>8044.61</v>
      </c>
      <c r="BE450" s="3">
        <v>0</v>
      </c>
      <c r="BF450" s="3">
        <v>0</v>
      </c>
      <c r="BG450" s="3">
        <v>300</v>
      </c>
      <c r="BH450" s="3">
        <v>0</v>
      </c>
      <c r="BI450" s="3">
        <v>8910</v>
      </c>
      <c r="BJ450" s="3">
        <v>21539</v>
      </c>
      <c r="BK450" s="3">
        <v>0</v>
      </c>
      <c r="BL450" s="3">
        <v>21539</v>
      </c>
      <c r="BM450" s="2">
        <f t="shared" ca="1" si="13"/>
        <v>1</v>
      </c>
      <c r="BN450" s="3" t="s">
        <v>2916</v>
      </c>
      <c r="BO450" s="3">
        <v>250000</v>
      </c>
      <c r="BP450" s="3">
        <v>100000</v>
      </c>
      <c r="BQ450" s="3">
        <v>500000</v>
      </c>
      <c r="BR450" s="3">
        <v>50000</v>
      </c>
      <c r="BS450">
        <v>50000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 t="s">
        <v>2943</v>
      </c>
      <c r="CA450" t="s">
        <v>2939</v>
      </c>
      <c r="CB450" t="s">
        <v>2941</v>
      </c>
    </row>
    <row r="451" spans="1:80" x14ac:dyDescent="0.25">
      <c r="A451">
        <v>450</v>
      </c>
      <c r="B451" t="s">
        <v>2465</v>
      </c>
      <c r="C451" s="1">
        <v>44913</v>
      </c>
      <c r="D451" s="2">
        <v>36</v>
      </c>
      <c r="E451" t="s">
        <v>4</v>
      </c>
      <c r="F451" t="s">
        <v>1311</v>
      </c>
      <c r="G451">
        <v>0</v>
      </c>
      <c r="H451" s="3">
        <v>5500000</v>
      </c>
      <c r="I451" s="3">
        <v>500000</v>
      </c>
      <c r="J451" s="3">
        <v>0</v>
      </c>
      <c r="K451" s="3">
        <v>0</v>
      </c>
      <c r="L451" s="3" t="s">
        <v>1191</v>
      </c>
      <c r="M451">
        <v>162452</v>
      </c>
      <c r="N451" t="s">
        <v>820</v>
      </c>
      <c r="P451" t="s">
        <v>821</v>
      </c>
      <c r="Q451" t="s">
        <v>17</v>
      </c>
      <c r="R451">
        <v>29455</v>
      </c>
      <c r="S451" t="s">
        <v>31</v>
      </c>
      <c r="T451" t="s">
        <v>969</v>
      </c>
      <c r="U451">
        <v>1</v>
      </c>
      <c r="V451" t="s">
        <v>1040</v>
      </c>
      <c r="W451" t="s">
        <v>1194</v>
      </c>
      <c r="X451" t="s">
        <v>1309</v>
      </c>
      <c r="Y451">
        <v>10000</v>
      </c>
      <c r="Z451" s="2">
        <v>5</v>
      </c>
      <c r="AA451" s="2" t="s">
        <v>1238</v>
      </c>
      <c r="AB451" t="s">
        <v>1238</v>
      </c>
      <c r="AC451">
        <v>673</v>
      </c>
      <c r="AD451" t="s">
        <v>1279</v>
      </c>
      <c r="AE451">
        <v>2</v>
      </c>
      <c r="AF451" t="s">
        <v>1290</v>
      </c>
      <c r="AG451">
        <v>0</v>
      </c>
      <c r="AH451">
        <v>0</v>
      </c>
      <c r="AI451">
        <v>0</v>
      </c>
      <c r="AJ451">
        <v>2006</v>
      </c>
      <c r="AK451" t="s">
        <v>1194</v>
      </c>
      <c r="AL451" t="s">
        <v>1194</v>
      </c>
      <c r="AM451" s="4" t="s">
        <v>1238</v>
      </c>
      <c r="AN451">
        <v>0</v>
      </c>
      <c r="AO451" t="s">
        <v>1315</v>
      </c>
      <c r="AP451">
        <f t="shared" si="12"/>
        <v>0</v>
      </c>
      <c r="AQ451">
        <v>1</v>
      </c>
      <c r="AR451" t="s">
        <v>1992</v>
      </c>
      <c r="AS451" t="s">
        <v>1995</v>
      </c>
      <c r="AT451" t="s">
        <v>1995</v>
      </c>
      <c r="AU451" t="s">
        <v>1996</v>
      </c>
      <c r="AV451" t="s">
        <v>1995</v>
      </c>
      <c r="AW451" t="s">
        <v>1996</v>
      </c>
      <c r="AX451" t="s">
        <v>2009</v>
      </c>
      <c r="AY451" t="s">
        <v>1995</v>
      </c>
      <c r="AZ451">
        <v>6429</v>
      </c>
      <c r="BA451" t="s">
        <v>1194</v>
      </c>
      <c r="BB451" t="s">
        <v>1194</v>
      </c>
      <c r="BC451" s="3">
        <v>12139.396699999999</v>
      </c>
      <c r="BD451" s="3">
        <v>19918.84</v>
      </c>
      <c r="BE451" s="3">
        <v>0</v>
      </c>
      <c r="BF451" s="3">
        <v>0</v>
      </c>
      <c r="BG451" s="3">
        <v>150</v>
      </c>
      <c r="BH451" s="3">
        <v>0</v>
      </c>
      <c r="BI451" s="3">
        <v>28755</v>
      </c>
      <c r="BJ451" s="3">
        <v>60963</v>
      </c>
      <c r="BK451" s="3">
        <v>5375.13</v>
      </c>
      <c r="BL451" s="3">
        <v>66338.13</v>
      </c>
      <c r="BM451" s="2">
        <f t="shared" ca="1" si="13"/>
        <v>1</v>
      </c>
      <c r="BN451" s="3" t="s">
        <v>2916</v>
      </c>
      <c r="BO451" s="3">
        <v>250000</v>
      </c>
      <c r="BP451" s="3">
        <v>50000</v>
      </c>
      <c r="BQ451" s="3">
        <v>1000000</v>
      </c>
      <c r="BR451" s="3">
        <v>100000</v>
      </c>
      <c r="BS451">
        <v>500000</v>
      </c>
      <c r="BT451">
        <v>0</v>
      </c>
      <c r="BU451">
        <v>1</v>
      </c>
      <c r="BV451">
        <v>0</v>
      </c>
      <c r="BW451">
        <v>0</v>
      </c>
      <c r="BX451">
        <v>0</v>
      </c>
      <c r="BY451">
        <v>0</v>
      </c>
      <c r="BZ451" t="s">
        <v>2943</v>
      </c>
      <c r="CA451" t="s">
        <v>2939</v>
      </c>
      <c r="CB451" t="s">
        <v>2941</v>
      </c>
    </row>
    <row r="452" spans="1:80" x14ac:dyDescent="0.25">
      <c r="A452">
        <v>451</v>
      </c>
      <c r="B452" t="s">
        <v>2466</v>
      </c>
      <c r="C452" s="1">
        <v>44687</v>
      </c>
      <c r="D452" s="2">
        <v>15</v>
      </c>
      <c r="E452" t="s">
        <v>4</v>
      </c>
      <c r="F452" t="s">
        <v>1311</v>
      </c>
      <c r="G452">
        <v>1</v>
      </c>
      <c r="H452" s="3">
        <v>4307610</v>
      </c>
      <c r="I452" s="3">
        <v>0</v>
      </c>
      <c r="J452" s="3">
        <v>0</v>
      </c>
      <c r="K452" s="3">
        <v>0</v>
      </c>
      <c r="L452" s="3" t="s">
        <v>1191</v>
      </c>
      <c r="M452">
        <v>1735653</v>
      </c>
      <c r="N452" t="s">
        <v>822</v>
      </c>
      <c r="P452" t="s">
        <v>736</v>
      </c>
      <c r="Q452" t="s">
        <v>15</v>
      </c>
      <c r="R452">
        <v>33408</v>
      </c>
      <c r="S452" t="s">
        <v>27</v>
      </c>
      <c r="T452" t="s">
        <v>966</v>
      </c>
      <c r="U452">
        <v>0</v>
      </c>
      <c r="V452" t="s">
        <v>1106</v>
      </c>
      <c r="W452" t="s">
        <v>1194</v>
      </c>
      <c r="X452" t="s">
        <v>973</v>
      </c>
      <c r="Y452">
        <v>25000</v>
      </c>
      <c r="Z452" s="2">
        <v>5.0000116070000002</v>
      </c>
      <c r="AA452" s="2" t="s">
        <v>1238</v>
      </c>
      <c r="AB452" t="s">
        <v>1238</v>
      </c>
      <c r="AC452">
        <v>1</v>
      </c>
      <c r="AD452" t="s">
        <v>1280</v>
      </c>
      <c r="AE452">
        <v>2</v>
      </c>
      <c r="AF452" t="s">
        <v>1290</v>
      </c>
      <c r="AG452">
        <v>0</v>
      </c>
      <c r="AH452">
        <v>0</v>
      </c>
      <c r="AI452">
        <v>0</v>
      </c>
      <c r="AJ452">
        <v>2022</v>
      </c>
      <c r="AK452" t="s">
        <v>1194</v>
      </c>
      <c r="AL452" t="s">
        <v>1194</v>
      </c>
      <c r="AM452" s="4" t="s">
        <v>1238</v>
      </c>
      <c r="AN452">
        <v>0</v>
      </c>
      <c r="AO452" t="s">
        <v>1315</v>
      </c>
      <c r="AP452">
        <f t="shared" ref="AP452:AP515" si="14">AI452</f>
        <v>0</v>
      </c>
      <c r="AQ452">
        <v>0</v>
      </c>
      <c r="AR452" t="s">
        <v>1993</v>
      </c>
      <c r="AS452" t="s">
        <v>1995</v>
      </c>
      <c r="AT452" t="s">
        <v>1996</v>
      </c>
      <c r="AU452" t="s">
        <v>1996</v>
      </c>
      <c r="AV452" t="s">
        <v>1996</v>
      </c>
      <c r="AW452" t="s">
        <v>1995</v>
      </c>
      <c r="AX452" t="s">
        <v>2007</v>
      </c>
      <c r="AY452" t="s">
        <v>1995</v>
      </c>
      <c r="AZ452">
        <v>4743</v>
      </c>
      <c r="BA452" t="s">
        <v>1194</v>
      </c>
      <c r="BB452" t="s">
        <v>1194</v>
      </c>
      <c r="BC452" s="3">
        <v>5478.3163999999997</v>
      </c>
      <c r="BD452" s="3">
        <v>19185.54</v>
      </c>
      <c r="BE452" s="3">
        <v>0</v>
      </c>
      <c r="BF452" s="3">
        <v>0</v>
      </c>
      <c r="BG452" s="3">
        <v>300</v>
      </c>
      <c r="BH452" s="3">
        <v>0</v>
      </c>
      <c r="BI452" s="3">
        <v>20265</v>
      </c>
      <c r="BJ452" s="3">
        <v>45229</v>
      </c>
      <c r="BK452" s="3">
        <v>200</v>
      </c>
      <c r="BL452" s="3">
        <v>45429</v>
      </c>
      <c r="BM452" s="2">
        <f t="shared" ref="BM452:BM515" ca="1" si="15">IF(ROUND((6*RAND()),0)=0,1,(ROUND((6*RAND()),0)))</f>
        <v>1</v>
      </c>
      <c r="BN452" s="3">
        <v>50000</v>
      </c>
      <c r="BO452" s="3">
        <v>50000</v>
      </c>
      <c r="BP452" s="3">
        <v>50000</v>
      </c>
      <c r="BQ452" s="3">
        <v>500000</v>
      </c>
      <c r="BR452" s="3" t="s">
        <v>2916</v>
      </c>
      <c r="BS452" t="s">
        <v>2916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 t="s">
        <v>2940</v>
      </c>
      <c r="CA452" t="s">
        <v>2939</v>
      </c>
      <c r="CB452" t="s">
        <v>2941</v>
      </c>
    </row>
    <row r="453" spans="1:80" x14ac:dyDescent="0.25">
      <c r="A453">
        <v>452</v>
      </c>
      <c r="B453" t="s">
        <v>2467</v>
      </c>
      <c r="C453" s="1">
        <v>44916</v>
      </c>
      <c r="D453" s="2">
        <v>36</v>
      </c>
      <c r="E453" t="s">
        <v>4</v>
      </c>
      <c r="F453" t="s">
        <v>1311</v>
      </c>
      <c r="G453">
        <v>1</v>
      </c>
      <c r="H453" s="3">
        <v>12000000</v>
      </c>
      <c r="I453" s="3">
        <v>0</v>
      </c>
      <c r="J453" s="3">
        <v>0</v>
      </c>
      <c r="K453" s="3">
        <v>0</v>
      </c>
      <c r="L453" s="3" t="s">
        <v>1191</v>
      </c>
      <c r="M453">
        <v>1841052</v>
      </c>
      <c r="N453" t="s">
        <v>823</v>
      </c>
      <c r="P453" t="s">
        <v>267</v>
      </c>
      <c r="Q453" t="s">
        <v>19</v>
      </c>
      <c r="R453">
        <v>94027</v>
      </c>
      <c r="S453" t="s">
        <v>66</v>
      </c>
      <c r="T453" t="s">
        <v>975</v>
      </c>
      <c r="U453">
        <v>0</v>
      </c>
      <c r="V453">
        <v>48</v>
      </c>
      <c r="W453" t="s">
        <v>1201</v>
      </c>
      <c r="X453" t="s">
        <v>973</v>
      </c>
      <c r="Y453">
        <v>50000</v>
      </c>
      <c r="Z453" s="2" t="s">
        <v>1194</v>
      </c>
      <c r="AA453" s="2" t="s">
        <v>1238</v>
      </c>
      <c r="AB453" t="s">
        <v>1238</v>
      </c>
      <c r="AC453" t="s">
        <v>1194</v>
      </c>
      <c r="AD453" t="s">
        <v>1279</v>
      </c>
      <c r="AE453">
        <v>2</v>
      </c>
      <c r="AF453" t="s">
        <v>1290</v>
      </c>
      <c r="AG453">
        <v>0</v>
      </c>
      <c r="AH453">
        <v>0</v>
      </c>
      <c r="AI453">
        <v>0</v>
      </c>
      <c r="AJ453">
        <v>2000</v>
      </c>
      <c r="AK453" t="s">
        <v>1194</v>
      </c>
      <c r="AL453" t="s">
        <v>1194</v>
      </c>
      <c r="AM453" s="4" t="s">
        <v>1238</v>
      </c>
      <c r="AN453">
        <v>1</v>
      </c>
      <c r="AO453" t="s">
        <v>1316</v>
      </c>
      <c r="AP453">
        <f t="shared" si="14"/>
        <v>0</v>
      </c>
      <c r="AQ453">
        <v>0</v>
      </c>
      <c r="AR453" t="s">
        <v>1993</v>
      </c>
      <c r="AS453" t="s">
        <v>1996</v>
      </c>
      <c r="AT453" t="s">
        <v>1995</v>
      </c>
      <c r="AU453" t="s">
        <v>1995</v>
      </c>
      <c r="AV453" t="s">
        <v>1995</v>
      </c>
      <c r="AW453" t="s">
        <v>1996</v>
      </c>
      <c r="AX453" t="s">
        <v>1194</v>
      </c>
      <c r="AY453" t="s">
        <v>1996</v>
      </c>
      <c r="AZ453">
        <v>9149</v>
      </c>
      <c r="BA453">
        <v>4</v>
      </c>
      <c r="BB453" t="s">
        <v>2016</v>
      </c>
      <c r="BC453" s="3">
        <v>0</v>
      </c>
      <c r="BD453" s="3">
        <v>0</v>
      </c>
      <c r="BE453" s="3">
        <v>15168.21</v>
      </c>
      <c r="BF453" s="3">
        <v>16102.54</v>
      </c>
      <c r="BG453" s="3">
        <v>150</v>
      </c>
      <c r="BH453" s="3">
        <v>0</v>
      </c>
      <c r="BI453" s="3">
        <v>118500</v>
      </c>
      <c r="BJ453" s="3">
        <v>149920.75</v>
      </c>
      <c r="BK453" s="3">
        <v>0</v>
      </c>
      <c r="BL453" s="3">
        <v>149920.75</v>
      </c>
      <c r="BM453" s="2">
        <f t="shared" ca="1" si="15"/>
        <v>6</v>
      </c>
      <c r="BN453" s="3" t="s">
        <v>2916</v>
      </c>
      <c r="BO453" s="3">
        <v>100000</v>
      </c>
      <c r="BP453" s="3">
        <v>200000</v>
      </c>
      <c r="BQ453" s="3">
        <v>50000</v>
      </c>
      <c r="BR453" s="3">
        <v>50000</v>
      </c>
      <c r="BS453">
        <v>50000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 t="s">
        <v>2955</v>
      </c>
      <c r="CA453" t="s">
        <v>1194</v>
      </c>
      <c r="CB453" t="s">
        <v>2941</v>
      </c>
    </row>
    <row r="454" spans="1:80" x14ac:dyDescent="0.25">
      <c r="A454">
        <v>453</v>
      </c>
      <c r="B454" t="s">
        <v>2468</v>
      </c>
      <c r="C454" s="1">
        <v>44648</v>
      </c>
      <c r="D454" s="2">
        <v>9</v>
      </c>
      <c r="E454" t="s">
        <v>4</v>
      </c>
      <c r="F454" t="s">
        <v>1310</v>
      </c>
      <c r="G454">
        <v>0</v>
      </c>
      <c r="H454" s="3">
        <v>6000000</v>
      </c>
      <c r="I454" s="3">
        <v>0</v>
      </c>
      <c r="J454" s="3">
        <v>0</v>
      </c>
      <c r="K454" s="3">
        <v>0</v>
      </c>
      <c r="L454" s="3" t="s">
        <v>1191</v>
      </c>
      <c r="M454">
        <v>1845707</v>
      </c>
      <c r="N454" t="s">
        <v>824</v>
      </c>
      <c r="P454" t="s">
        <v>271</v>
      </c>
      <c r="Q454" t="s">
        <v>14</v>
      </c>
      <c r="R454">
        <v>11201</v>
      </c>
      <c r="S454" t="s">
        <v>67</v>
      </c>
      <c r="T454" t="s">
        <v>963</v>
      </c>
      <c r="U454">
        <v>0</v>
      </c>
      <c r="V454" t="s">
        <v>1042</v>
      </c>
      <c r="W454" t="s">
        <v>1194</v>
      </c>
      <c r="X454" t="s">
        <v>973</v>
      </c>
      <c r="Y454">
        <v>10000</v>
      </c>
      <c r="Z454" s="2">
        <v>2</v>
      </c>
      <c r="AA454" s="2" t="s">
        <v>1238</v>
      </c>
      <c r="AB454" t="s">
        <v>1238</v>
      </c>
      <c r="AC454">
        <v>810</v>
      </c>
      <c r="AD454" t="s">
        <v>1280</v>
      </c>
      <c r="AE454">
        <v>1</v>
      </c>
      <c r="AF454" t="s">
        <v>1290</v>
      </c>
      <c r="AG454">
        <v>0</v>
      </c>
      <c r="AH454">
        <v>0</v>
      </c>
      <c r="AI454">
        <v>0</v>
      </c>
      <c r="AJ454">
        <v>1900</v>
      </c>
      <c r="AK454" t="s">
        <v>1194</v>
      </c>
      <c r="AL454" t="s">
        <v>1194</v>
      </c>
      <c r="AM454" s="4" t="s">
        <v>1308</v>
      </c>
      <c r="AN454">
        <v>0</v>
      </c>
      <c r="AO454" t="s">
        <v>1316</v>
      </c>
      <c r="AP454">
        <f t="shared" si="14"/>
        <v>0</v>
      </c>
      <c r="AQ454">
        <v>0</v>
      </c>
      <c r="AR454" t="s">
        <v>1993</v>
      </c>
      <c r="AS454" t="s">
        <v>1995</v>
      </c>
      <c r="AT454" t="s">
        <v>1996</v>
      </c>
      <c r="AU454" t="s">
        <v>1995</v>
      </c>
      <c r="AV454" t="s">
        <v>1995</v>
      </c>
      <c r="AW454" t="s">
        <v>1996</v>
      </c>
      <c r="AX454" t="s">
        <v>2006</v>
      </c>
      <c r="AY454" t="s">
        <v>1996</v>
      </c>
      <c r="AZ454">
        <v>6000</v>
      </c>
      <c r="BA454" t="s">
        <v>1194</v>
      </c>
      <c r="BB454" t="s">
        <v>1194</v>
      </c>
      <c r="BC454" s="3">
        <v>30764.232</v>
      </c>
      <c r="BD454" s="3">
        <v>3865.25</v>
      </c>
      <c r="BE454" s="3">
        <v>0</v>
      </c>
      <c r="BF454" s="3">
        <v>0</v>
      </c>
      <c r="BG454" s="3">
        <v>150</v>
      </c>
      <c r="BH454" s="3">
        <v>0</v>
      </c>
      <c r="BI454" s="3">
        <v>3021</v>
      </c>
      <c r="BJ454" s="3">
        <v>37800</v>
      </c>
      <c r="BK454" s="3">
        <v>750</v>
      </c>
      <c r="BL454" s="3">
        <v>38550</v>
      </c>
      <c r="BM454" s="2">
        <f t="shared" ca="1" si="15"/>
        <v>3</v>
      </c>
      <c r="BN454" s="3">
        <v>2000000</v>
      </c>
      <c r="BO454" s="3">
        <v>20000</v>
      </c>
      <c r="BP454" s="3">
        <v>50000</v>
      </c>
      <c r="BQ454" s="3">
        <v>250000</v>
      </c>
      <c r="BR454" s="3">
        <v>500000</v>
      </c>
      <c r="BS454">
        <v>100000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 t="s">
        <v>2006</v>
      </c>
      <c r="CA454" t="s">
        <v>2006</v>
      </c>
      <c r="CB454" t="s">
        <v>2006</v>
      </c>
    </row>
    <row r="455" spans="1:80" x14ac:dyDescent="0.25">
      <c r="A455">
        <v>454</v>
      </c>
      <c r="B455" t="s">
        <v>2469</v>
      </c>
      <c r="C455" s="1">
        <v>44651</v>
      </c>
      <c r="D455" s="2">
        <v>9</v>
      </c>
      <c r="E455" t="s">
        <v>4</v>
      </c>
      <c r="F455" t="s">
        <v>1310</v>
      </c>
      <c r="G455">
        <v>0</v>
      </c>
      <c r="H455" s="3">
        <v>4500000</v>
      </c>
      <c r="I455" s="3">
        <v>680000</v>
      </c>
      <c r="J455" s="3">
        <v>0</v>
      </c>
      <c r="K455" s="3">
        <v>0</v>
      </c>
      <c r="L455" s="3" t="s">
        <v>1191</v>
      </c>
      <c r="M455">
        <v>86244</v>
      </c>
      <c r="N455" t="s">
        <v>825</v>
      </c>
      <c r="P455" t="s">
        <v>603</v>
      </c>
      <c r="Q455" t="s">
        <v>14</v>
      </c>
      <c r="R455">
        <v>11959</v>
      </c>
      <c r="S455" t="s">
        <v>26</v>
      </c>
      <c r="T455" t="s">
        <v>970</v>
      </c>
      <c r="U455">
        <v>1</v>
      </c>
      <c r="V455" t="s">
        <v>998</v>
      </c>
      <c r="W455" t="s">
        <v>1194</v>
      </c>
      <c r="X455" t="s">
        <v>1309</v>
      </c>
      <c r="Y455">
        <v>25000</v>
      </c>
      <c r="Z455" s="2">
        <v>2</v>
      </c>
      <c r="AA455" s="2" t="s">
        <v>1238</v>
      </c>
      <c r="AB455" t="s">
        <v>1238</v>
      </c>
      <c r="AC455">
        <v>780</v>
      </c>
      <c r="AD455" t="s">
        <v>1279</v>
      </c>
      <c r="AE455">
        <v>3</v>
      </c>
      <c r="AF455" t="s">
        <v>1291</v>
      </c>
      <c r="AG455">
        <v>0</v>
      </c>
      <c r="AH455">
        <v>0</v>
      </c>
      <c r="AI455">
        <v>0</v>
      </c>
      <c r="AJ455">
        <v>2022</v>
      </c>
      <c r="AK455" t="s">
        <v>1194</v>
      </c>
      <c r="AL455" t="s">
        <v>1194</v>
      </c>
      <c r="AM455" s="4" t="s">
        <v>1304</v>
      </c>
      <c r="AN455">
        <v>1</v>
      </c>
      <c r="AO455" t="s">
        <v>1316</v>
      </c>
      <c r="AP455">
        <f t="shared" si="14"/>
        <v>0</v>
      </c>
      <c r="AQ455">
        <v>1</v>
      </c>
      <c r="AR455" t="s">
        <v>1992</v>
      </c>
      <c r="AS455" t="s">
        <v>1995</v>
      </c>
      <c r="AT455" t="s">
        <v>1996</v>
      </c>
      <c r="AU455" t="s">
        <v>1995</v>
      </c>
      <c r="AV455" t="s">
        <v>1996</v>
      </c>
      <c r="AW455" t="s">
        <v>1996</v>
      </c>
      <c r="AX455" t="s">
        <v>2006</v>
      </c>
      <c r="AY455" t="s">
        <v>1996</v>
      </c>
      <c r="AZ455">
        <v>5000</v>
      </c>
      <c r="BA455" t="s">
        <v>1194</v>
      </c>
      <c r="BB455" t="s">
        <v>1194</v>
      </c>
      <c r="BC455" s="3">
        <v>9632.1762999999992</v>
      </c>
      <c r="BD455" s="3">
        <v>11041.35</v>
      </c>
      <c r="BE455" s="3">
        <v>0</v>
      </c>
      <c r="BF455" s="3">
        <v>0</v>
      </c>
      <c r="BG455" s="3">
        <v>0</v>
      </c>
      <c r="BH455" s="3">
        <v>0</v>
      </c>
      <c r="BI455" s="3">
        <v>30651</v>
      </c>
      <c r="BJ455" s="3">
        <v>51325</v>
      </c>
      <c r="BK455" s="3">
        <v>0</v>
      </c>
      <c r="BL455" s="3">
        <v>51325</v>
      </c>
      <c r="BM455" s="2">
        <f t="shared" ca="1" si="15"/>
        <v>6</v>
      </c>
      <c r="BN455" s="3">
        <v>250000</v>
      </c>
      <c r="BO455" s="3">
        <v>250000</v>
      </c>
      <c r="BP455" s="3" t="s">
        <v>2922</v>
      </c>
      <c r="BQ455" s="3">
        <v>1000000</v>
      </c>
      <c r="BR455" s="3">
        <v>500000</v>
      </c>
      <c r="BS455">
        <v>1000000</v>
      </c>
      <c r="BT455">
        <v>0</v>
      </c>
      <c r="BU455">
        <v>0</v>
      </c>
      <c r="BV455">
        <v>0</v>
      </c>
      <c r="BW455">
        <v>0</v>
      </c>
      <c r="BX455">
        <v>1</v>
      </c>
      <c r="BY455">
        <v>0</v>
      </c>
      <c r="BZ455" t="s">
        <v>2938</v>
      </c>
      <c r="CA455" t="s">
        <v>2006</v>
      </c>
      <c r="CB455" t="s">
        <v>2945</v>
      </c>
    </row>
    <row r="456" spans="1:80" x14ac:dyDescent="0.25">
      <c r="A456">
        <v>455</v>
      </c>
      <c r="B456" t="s">
        <v>2470</v>
      </c>
      <c r="C456" s="1">
        <v>44886</v>
      </c>
      <c r="D456" s="2">
        <v>33</v>
      </c>
      <c r="E456" t="s">
        <v>4</v>
      </c>
      <c r="F456" t="s">
        <v>1311</v>
      </c>
      <c r="G456">
        <v>0</v>
      </c>
      <c r="H456" s="3">
        <v>5500000</v>
      </c>
      <c r="I456" s="3">
        <v>0</v>
      </c>
      <c r="J456" s="3">
        <v>0</v>
      </c>
      <c r="K456" s="3">
        <v>0</v>
      </c>
      <c r="L456" s="3" t="s">
        <v>1191</v>
      </c>
      <c r="M456">
        <v>1846739</v>
      </c>
      <c r="N456" t="s">
        <v>826</v>
      </c>
      <c r="P456" t="s">
        <v>827</v>
      </c>
      <c r="Q456" t="s">
        <v>17</v>
      </c>
      <c r="R456">
        <v>29455</v>
      </c>
      <c r="S456" t="s">
        <v>31</v>
      </c>
      <c r="T456" t="s">
        <v>969</v>
      </c>
      <c r="U456">
        <v>1</v>
      </c>
      <c r="V456" t="s">
        <v>1040</v>
      </c>
      <c r="W456" t="s">
        <v>1194</v>
      </c>
      <c r="X456" t="s">
        <v>1309</v>
      </c>
      <c r="Y456">
        <v>10000</v>
      </c>
      <c r="Z456" s="2">
        <v>5</v>
      </c>
      <c r="AA456" s="2" t="s">
        <v>1238</v>
      </c>
      <c r="AB456" t="s">
        <v>1238</v>
      </c>
      <c r="AC456">
        <v>788</v>
      </c>
      <c r="AD456" t="s">
        <v>1279</v>
      </c>
      <c r="AE456">
        <v>2</v>
      </c>
      <c r="AF456" t="s">
        <v>1291</v>
      </c>
      <c r="AG456">
        <v>0</v>
      </c>
      <c r="AH456">
        <v>0</v>
      </c>
      <c r="AI456">
        <v>0</v>
      </c>
      <c r="AJ456">
        <v>2022</v>
      </c>
      <c r="AK456" t="s">
        <v>1194</v>
      </c>
      <c r="AL456" t="s">
        <v>1194</v>
      </c>
      <c r="AM456" s="4" t="s">
        <v>1238</v>
      </c>
      <c r="AN456">
        <v>0</v>
      </c>
      <c r="AO456" t="s">
        <v>1315</v>
      </c>
      <c r="AP456">
        <f t="shared" si="14"/>
        <v>0</v>
      </c>
      <c r="AQ456">
        <v>1</v>
      </c>
      <c r="AR456" t="s">
        <v>1992</v>
      </c>
      <c r="AS456" t="s">
        <v>1995</v>
      </c>
      <c r="AT456" t="s">
        <v>1995</v>
      </c>
      <c r="AU456" t="s">
        <v>1996</v>
      </c>
      <c r="AV456" t="s">
        <v>1996</v>
      </c>
      <c r="AW456" t="s">
        <v>1996</v>
      </c>
      <c r="AX456" t="s">
        <v>2007</v>
      </c>
      <c r="AY456" t="s">
        <v>1995</v>
      </c>
      <c r="AZ456">
        <v>5000</v>
      </c>
      <c r="BA456" t="s">
        <v>1194</v>
      </c>
      <c r="BB456" t="s">
        <v>1194</v>
      </c>
      <c r="BC456" s="3">
        <v>6725.4620000000004</v>
      </c>
      <c r="BD456" s="3">
        <v>14835.21</v>
      </c>
      <c r="BE456" s="3">
        <v>0</v>
      </c>
      <c r="BF456" s="3">
        <v>0</v>
      </c>
      <c r="BG456" s="3">
        <v>150</v>
      </c>
      <c r="BH456" s="3">
        <v>0</v>
      </c>
      <c r="BI456" s="3">
        <v>17504</v>
      </c>
      <c r="BJ456" s="3">
        <v>39215</v>
      </c>
      <c r="BK456" s="3">
        <v>400</v>
      </c>
      <c r="BL456" s="3">
        <v>39615</v>
      </c>
      <c r="BM456" s="2">
        <f t="shared" ca="1" si="15"/>
        <v>0</v>
      </c>
      <c r="BN456" s="3">
        <v>50000</v>
      </c>
      <c r="BO456" s="3">
        <v>100000</v>
      </c>
      <c r="BP456" s="3">
        <v>50000</v>
      </c>
      <c r="BQ456" s="3">
        <v>1000000</v>
      </c>
      <c r="BR456" s="3">
        <v>2000000</v>
      </c>
      <c r="BS456">
        <v>250000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 t="s">
        <v>2943</v>
      </c>
      <c r="CA456" t="s">
        <v>2939</v>
      </c>
      <c r="CB456" t="s">
        <v>2945</v>
      </c>
    </row>
    <row r="457" spans="1:80" x14ac:dyDescent="0.25">
      <c r="A457">
        <v>456</v>
      </c>
      <c r="B457" t="s">
        <v>2471</v>
      </c>
      <c r="C457" s="1">
        <v>44734</v>
      </c>
      <c r="D457" s="2">
        <v>18</v>
      </c>
      <c r="E457" t="s">
        <v>4</v>
      </c>
      <c r="F457" t="s">
        <v>1311</v>
      </c>
      <c r="G457">
        <v>0</v>
      </c>
      <c r="H457" s="3">
        <v>8857000</v>
      </c>
      <c r="I457" s="3">
        <v>0</v>
      </c>
      <c r="J457" s="3">
        <v>500000</v>
      </c>
      <c r="K457" s="3">
        <v>0</v>
      </c>
      <c r="L457" s="3" t="s">
        <v>1191</v>
      </c>
      <c r="M457">
        <v>1907680</v>
      </c>
      <c r="N457" t="s">
        <v>828</v>
      </c>
      <c r="P457" t="s">
        <v>829</v>
      </c>
      <c r="Q457" t="s">
        <v>18</v>
      </c>
      <c r="R457">
        <v>78954</v>
      </c>
      <c r="S457" t="s">
        <v>102</v>
      </c>
      <c r="T457" t="s">
        <v>973</v>
      </c>
      <c r="U457">
        <v>0</v>
      </c>
      <c r="V457">
        <v>1300</v>
      </c>
      <c r="W457" t="s">
        <v>1195</v>
      </c>
      <c r="X457" t="s">
        <v>973</v>
      </c>
      <c r="Y457">
        <v>25000</v>
      </c>
      <c r="Z457" s="2" t="s">
        <v>1194</v>
      </c>
      <c r="AA457" s="2">
        <v>0</v>
      </c>
      <c r="AB457" t="s">
        <v>1238</v>
      </c>
      <c r="AC457">
        <v>819</v>
      </c>
      <c r="AD457" t="s">
        <v>1279</v>
      </c>
      <c r="AE457">
        <v>9</v>
      </c>
      <c r="AF457" t="s">
        <v>1290</v>
      </c>
      <c r="AG457">
        <v>0</v>
      </c>
      <c r="AH457">
        <v>0</v>
      </c>
      <c r="AI457">
        <v>0</v>
      </c>
      <c r="AJ457">
        <v>2019</v>
      </c>
      <c r="AK457" t="s">
        <v>1194</v>
      </c>
      <c r="AL457" t="s">
        <v>1194</v>
      </c>
      <c r="AM457" s="4" t="s">
        <v>1238</v>
      </c>
      <c r="AN457">
        <v>0</v>
      </c>
      <c r="AO457" t="s">
        <v>1315</v>
      </c>
      <c r="AP457">
        <f t="shared" si="14"/>
        <v>0</v>
      </c>
      <c r="AQ457">
        <v>1</v>
      </c>
      <c r="AR457" t="s">
        <v>1992</v>
      </c>
      <c r="AS457" t="s">
        <v>1996</v>
      </c>
      <c r="AT457" t="s">
        <v>1995</v>
      </c>
      <c r="AU457" t="s">
        <v>1996</v>
      </c>
      <c r="AV457" t="s">
        <v>1995</v>
      </c>
      <c r="AW457" t="s">
        <v>1995</v>
      </c>
      <c r="AX457" t="s">
        <v>2003</v>
      </c>
      <c r="AY457" t="s">
        <v>1996</v>
      </c>
      <c r="AZ457">
        <v>8556</v>
      </c>
      <c r="BA457" t="s">
        <v>1194</v>
      </c>
      <c r="BB457" t="s">
        <v>1194</v>
      </c>
      <c r="BC457" s="3">
        <v>26108.955600000001</v>
      </c>
      <c r="BD457" s="3">
        <v>6508.53</v>
      </c>
      <c r="BE457" s="3">
        <v>0</v>
      </c>
      <c r="BF457" s="3">
        <v>0</v>
      </c>
      <c r="BG457" s="3">
        <v>0</v>
      </c>
      <c r="BH457" s="3">
        <v>0</v>
      </c>
      <c r="BI457" s="3">
        <v>42668</v>
      </c>
      <c r="BJ457" s="3">
        <v>75285</v>
      </c>
      <c r="BK457" s="3">
        <v>350</v>
      </c>
      <c r="BL457" s="3">
        <v>75635</v>
      </c>
      <c r="BM457" s="2">
        <f t="shared" ca="1" si="15"/>
        <v>2</v>
      </c>
      <c r="BN457" s="3">
        <v>500000</v>
      </c>
      <c r="BO457" s="3">
        <v>50000</v>
      </c>
      <c r="BP457" s="3">
        <v>200000</v>
      </c>
      <c r="BQ457" s="3">
        <v>25000</v>
      </c>
      <c r="BR457" s="3">
        <v>100000</v>
      </c>
      <c r="BS457">
        <v>500000</v>
      </c>
      <c r="BT457">
        <v>0</v>
      </c>
      <c r="BU457">
        <v>0</v>
      </c>
      <c r="BV457">
        <v>1</v>
      </c>
      <c r="BW457">
        <v>0</v>
      </c>
      <c r="BX457">
        <v>0</v>
      </c>
      <c r="BY457">
        <v>0</v>
      </c>
      <c r="BZ457" t="s">
        <v>2947</v>
      </c>
      <c r="CA457" t="s">
        <v>2006</v>
      </c>
      <c r="CB457" t="s">
        <v>2945</v>
      </c>
    </row>
    <row r="458" spans="1:80" x14ac:dyDescent="0.25">
      <c r="A458">
        <v>457</v>
      </c>
      <c r="B458" t="s">
        <v>2472</v>
      </c>
      <c r="C458" s="1">
        <v>44706</v>
      </c>
      <c r="D458" s="2">
        <v>15</v>
      </c>
      <c r="E458" t="s">
        <v>4</v>
      </c>
      <c r="F458" t="s">
        <v>1311</v>
      </c>
      <c r="G458">
        <v>0</v>
      </c>
      <c r="H458" s="3">
        <v>1600000</v>
      </c>
      <c r="I458" s="3">
        <v>160000</v>
      </c>
      <c r="J458" s="3">
        <v>0</v>
      </c>
      <c r="K458" s="3">
        <v>0</v>
      </c>
      <c r="L458" s="3" t="s">
        <v>1191</v>
      </c>
      <c r="M458">
        <v>1911954</v>
      </c>
      <c r="N458" t="s">
        <v>830</v>
      </c>
      <c r="P458" t="s">
        <v>62</v>
      </c>
      <c r="Q458" t="s">
        <v>19</v>
      </c>
      <c r="R458">
        <v>94133</v>
      </c>
      <c r="S458" t="s">
        <v>62</v>
      </c>
      <c r="T458" t="s">
        <v>974</v>
      </c>
      <c r="U458">
        <v>0</v>
      </c>
      <c r="V458">
        <v>33</v>
      </c>
      <c r="W458" t="s">
        <v>1204</v>
      </c>
      <c r="X458" t="s">
        <v>973</v>
      </c>
      <c r="Y458">
        <v>10000</v>
      </c>
      <c r="Z458" s="2" t="s">
        <v>1194</v>
      </c>
      <c r="AA458" s="2" t="s">
        <v>1238</v>
      </c>
      <c r="AB458" t="s">
        <v>1238</v>
      </c>
      <c r="AC458" t="s">
        <v>1194</v>
      </c>
      <c r="AD458" t="s">
        <v>1279</v>
      </c>
      <c r="AE458">
        <v>1</v>
      </c>
      <c r="AF458" t="s">
        <v>1290</v>
      </c>
      <c r="AG458">
        <v>0</v>
      </c>
      <c r="AH458">
        <v>0</v>
      </c>
      <c r="AI458">
        <v>0</v>
      </c>
      <c r="AJ458">
        <v>2005</v>
      </c>
      <c r="AK458" t="s">
        <v>1194</v>
      </c>
      <c r="AL458" t="s">
        <v>1194</v>
      </c>
      <c r="AM458" s="4" t="s">
        <v>1238</v>
      </c>
      <c r="AN458">
        <v>1</v>
      </c>
      <c r="AO458" t="s">
        <v>1315</v>
      </c>
      <c r="AP458">
        <f t="shared" si="14"/>
        <v>0</v>
      </c>
      <c r="AQ458">
        <v>1</v>
      </c>
      <c r="AR458" t="s">
        <v>1992</v>
      </c>
      <c r="AS458" t="s">
        <v>1995</v>
      </c>
      <c r="AT458" t="s">
        <v>1996</v>
      </c>
      <c r="AU458" t="s">
        <v>1995</v>
      </c>
      <c r="AV458" t="s">
        <v>1995</v>
      </c>
      <c r="AW458" t="s">
        <v>1995</v>
      </c>
      <c r="AX458" t="s">
        <v>1194</v>
      </c>
      <c r="AY458" t="s">
        <v>1996</v>
      </c>
      <c r="AZ458">
        <v>1570</v>
      </c>
      <c r="BA458" t="s">
        <v>1194</v>
      </c>
      <c r="BB458" t="s">
        <v>2014</v>
      </c>
      <c r="BC458" s="3">
        <v>0</v>
      </c>
      <c r="BD458" s="3">
        <v>0</v>
      </c>
      <c r="BE458" s="3">
        <v>3787.78</v>
      </c>
      <c r="BF458" s="3">
        <v>2357.2199999999998</v>
      </c>
      <c r="BG458" s="3">
        <v>150</v>
      </c>
      <c r="BH458" s="3">
        <v>0</v>
      </c>
      <c r="BI458" s="3">
        <v>7275</v>
      </c>
      <c r="BJ458" s="3">
        <v>13570</v>
      </c>
      <c r="BK458" s="3">
        <v>0</v>
      </c>
      <c r="BL458" s="3">
        <v>13570</v>
      </c>
      <c r="BM458" s="2">
        <f t="shared" ca="1" si="15"/>
        <v>1</v>
      </c>
      <c r="BN458" s="3">
        <v>100000</v>
      </c>
      <c r="BO458" s="3">
        <v>1000000</v>
      </c>
      <c r="BP458" s="3">
        <v>50000</v>
      </c>
      <c r="BQ458" s="3">
        <v>500000</v>
      </c>
      <c r="BR458" s="3">
        <v>100000</v>
      </c>
      <c r="BS458">
        <v>250000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 t="s">
        <v>2950</v>
      </c>
      <c r="CA458" t="s">
        <v>1194</v>
      </c>
      <c r="CB458" t="s">
        <v>2949</v>
      </c>
    </row>
    <row r="459" spans="1:80" x14ac:dyDescent="0.25">
      <c r="A459">
        <v>458</v>
      </c>
      <c r="B459" t="s">
        <v>2473</v>
      </c>
      <c r="C459" s="1">
        <v>44755</v>
      </c>
      <c r="D459" s="2">
        <v>21</v>
      </c>
      <c r="E459" t="s">
        <v>4</v>
      </c>
      <c r="F459" t="s">
        <v>1311</v>
      </c>
      <c r="G459">
        <v>1</v>
      </c>
      <c r="H459" s="3">
        <v>2400000</v>
      </c>
      <c r="I459" s="3">
        <v>100000</v>
      </c>
      <c r="J459" s="3">
        <v>0</v>
      </c>
      <c r="K459" s="3">
        <v>0</v>
      </c>
      <c r="L459" s="3" t="s">
        <v>1191</v>
      </c>
      <c r="M459">
        <v>1852078</v>
      </c>
      <c r="N459" t="s">
        <v>831</v>
      </c>
      <c r="P459" t="s">
        <v>832</v>
      </c>
      <c r="Q459" t="s">
        <v>15</v>
      </c>
      <c r="R459">
        <v>32082</v>
      </c>
      <c r="S459" t="s">
        <v>103</v>
      </c>
      <c r="T459" t="s">
        <v>967</v>
      </c>
      <c r="U459">
        <v>0</v>
      </c>
      <c r="V459" t="s">
        <v>1157</v>
      </c>
      <c r="W459" t="s">
        <v>1194</v>
      </c>
      <c r="X459" t="s">
        <v>973</v>
      </c>
      <c r="Y459">
        <v>10000</v>
      </c>
      <c r="Z459" s="2">
        <v>5</v>
      </c>
      <c r="AA459" s="2" t="s">
        <v>1238</v>
      </c>
      <c r="AB459" t="s">
        <v>1238</v>
      </c>
      <c r="AC459">
        <v>662</v>
      </c>
      <c r="AD459" t="s">
        <v>1280</v>
      </c>
      <c r="AE459">
        <v>10</v>
      </c>
      <c r="AF459" t="s">
        <v>1290</v>
      </c>
      <c r="AG459">
        <v>0</v>
      </c>
      <c r="AH459">
        <v>0</v>
      </c>
      <c r="AI459">
        <v>0</v>
      </c>
      <c r="AJ459">
        <v>2022</v>
      </c>
      <c r="AK459" t="s">
        <v>1194</v>
      </c>
      <c r="AL459" t="s">
        <v>1194</v>
      </c>
      <c r="AM459" s="4" t="s">
        <v>1238</v>
      </c>
      <c r="AN459">
        <v>1</v>
      </c>
      <c r="AO459" t="s">
        <v>1316</v>
      </c>
      <c r="AP459">
        <f t="shared" si="14"/>
        <v>0</v>
      </c>
      <c r="AQ459">
        <v>0</v>
      </c>
      <c r="AR459" t="s">
        <v>1993</v>
      </c>
      <c r="AS459" t="s">
        <v>1995</v>
      </c>
      <c r="AT459" t="s">
        <v>1995</v>
      </c>
      <c r="AU459" t="s">
        <v>1995</v>
      </c>
      <c r="AV459" t="s">
        <v>1995</v>
      </c>
      <c r="AW459" t="s">
        <v>1996</v>
      </c>
      <c r="AX459" t="s">
        <v>2006</v>
      </c>
      <c r="AY459" t="s">
        <v>1996</v>
      </c>
      <c r="AZ459">
        <v>4500</v>
      </c>
      <c r="BA459" t="s">
        <v>1194</v>
      </c>
      <c r="BB459" t="s">
        <v>1194</v>
      </c>
      <c r="BC459" s="3">
        <v>8624.0473999999995</v>
      </c>
      <c r="BD459" s="3">
        <v>5769.96</v>
      </c>
      <c r="BE459" s="3">
        <v>0</v>
      </c>
      <c r="BF459" s="3">
        <v>0</v>
      </c>
      <c r="BG459" s="3">
        <v>300</v>
      </c>
      <c r="BH459" s="3">
        <v>0</v>
      </c>
      <c r="BI459" s="3">
        <v>17406</v>
      </c>
      <c r="BJ459" s="3">
        <v>32100</v>
      </c>
      <c r="BK459" s="3">
        <v>200</v>
      </c>
      <c r="BL459" s="3">
        <v>32300</v>
      </c>
      <c r="BM459" s="2">
        <f t="shared" ca="1" si="15"/>
        <v>2</v>
      </c>
      <c r="BN459" s="3">
        <v>1000000</v>
      </c>
      <c r="BO459" s="3">
        <v>1000000</v>
      </c>
      <c r="BP459" s="3">
        <v>200000</v>
      </c>
      <c r="BQ459" s="3">
        <v>100000</v>
      </c>
      <c r="BR459" s="3">
        <v>50000</v>
      </c>
      <c r="BS459">
        <v>500000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 t="s">
        <v>2943</v>
      </c>
      <c r="CA459" t="s">
        <v>2939</v>
      </c>
      <c r="CB459" t="s">
        <v>2941</v>
      </c>
    </row>
    <row r="460" spans="1:80" x14ac:dyDescent="0.25">
      <c r="A460">
        <v>459</v>
      </c>
      <c r="B460" t="s">
        <v>2474</v>
      </c>
      <c r="C460" s="1">
        <v>44866</v>
      </c>
      <c r="D460" s="2">
        <v>33</v>
      </c>
      <c r="E460" t="s">
        <v>4</v>
      </c>
      <c r="F460" t="s">
        <v>1311</v>
      </c>
      <c r="G460">
        <v>0</v>
      </c>
      <c r="H460" s="3">
        <v>0</v>
      </c>
      <c r="I460" s="3">
        <v>0</v>
      </c>
      <c r="J460" s="3">
        <v>1000000</v>
      </c>
      <c r="K460" s="3">
        <v>0</v>
      </c>
      <c r="L460" s="3" t="s">
        <v>1192</v>
      </c>
      <c r="M460">
        <v>2008342</v>
      </c>
      <c r="N460" t="s">
        <v>833</v>
      </c>
      <c r="O460" t="s">
        <v>834</v>
      </c>
      <c r="P460" t="s">
        <v>29</v>
      </c>
      <c r="Q460" t="s">
        <v>14</v>
      </c>
      <c r="R460">
        <v>10003</v>
      </c>
      <c r="S460" t="s">
        <v>29</v>
      </c>
      <c r="T460" t="s">
        <v>962</v>
      </c>
      <c r="U460">
        <v>0</v>
      </c>
      <c r="V460" t="s">
        <v>1158</v>
      </c>
      <c r="W460" t="s">
        <v>1194</v>
      </c>
      <c r="X460" t="s">
        <v>973</v>
      </c>
      <c r="Y460">
        <v>10000</v>
      </c>
      <c r="Z460" s="2">
        <v>1</v>
      </c>
      <c r="AA460" s="2" t="s">
        <v>1238</v>
      </c>
      <c r="AB460" t="s">
        <v>1238</v>
      </c>
      <c r="AC460">
        <v>841</v>
      </c>
      <c r="AD460" t="s">
        <v>1281</v>
      </c>
      <c r="AE460">
        <v>1</v>
      </c>
      <c r="AF460" t="s">
        <v>1290</v>
      </c>
      <c r="AG460">
        <v>0</v>
      </c>
      <c r="AH460">
        <v>0</v>
      </c>
      <c r="AI460">
        <v>0</v>
      </c>
      <c r="AJ460">
        <v>1929</v>
      </c>
      <c r="AK460" t="s">
        <v>1194</v>
      </c>
      <c r="AL460" t="s">
        <v>1194</v>
      </c>
      <c r="AM460" s="4" t="s">
        <v>1238</v>
      </c>
      <c r="AN460">
        <v>0</v>
      </c>
      <c r="AO460" t="s">
        <v>1317</v>
      </c>
      <c r="AP460">
        <f t="shared" si="14"/>
        <v>0</v>
      </c>
      <c r="AQ460">
        <v>0</v>
      </c>
      <c r="AR460" t="s">
        <v>1993</v>
      </c>
      <c r="AS460" t="s">
        <v>1995</v>
      </c>
      <c r="AT460" t="s">
        <v>1996</v>
      </c>
      <c r="AU460" t="s">
        <v>1996</v>
      </c>
      <c r="AV460" t="s">
        <v>1995</v>
      </c>
      <c r="AW460" t="s">
        <v>1996</v>
      </c>
      <c r="AX460" t="s">
        <v>2003</v>
      </c>
      <c r="AY460" t="s">
        <v>1996</v>
      </c>
      <c r="AZ460">
        <v>909</v>
      </c>
      <c r="BA460" t="s">
        <v>1194</v>
      </c>
      <c r="BB460" t="s">
        <v>1194</v>
      </c>
      <c r="BC460" s="3">
        <v>3976.3921</v>
      </c>
      <c r="BD460" s="3">
        <v>1191.96</v>
      </c>
      <c r="BE460" s="3">
        <v>0</v>
      </c>
      <c r="BF460" s="3">
        <v>0</v>
      </c>
      <c r="BG460" s="3">
        <v>150</v>
      </c>
      <c r="BH460" s="3">
        <v>0</v>
      </c>
      <c r="BI460" s="3">
        <v>4782</v>
      </c>
      <c r="BJ460" s="3">
        <v>10100</v>
      </c>
      <c r="BK460" s="3">
        <v>0</v>
      </c>
      <c r="BL460" s="3">
        <v>10100</v>
      </c>
      <c r="BM460" s="2">
        <f t="shared" ca="1" si="15"/>
        <v>1</v>
      </c>
      <c r="BN460" s="3">
        <v>2000000</v>
      </c>
      <c r="BO460" s="3">
        <v>1000000</v>
      </c>
      <c r="BP460" s="3">
        <v>50000</v>
      </c>
      <c r="BQ460" s="3">
        <v>250000</v>
      </c>
      <c r="BR460" s="3">
        <v>50000</v>
      </c>
      <c r="BS460">
        <v>2000000</v>
      </c>
      <c r="BT460">
        <v>0</v>
      </c>
      <c r="BU460">
        <v>0</v>
      </c>
      <c r="BV460">
        <v>0</v>
      </c>
      <c r="BW460">
        <v>0</v>
      </c>
      <c r="BX460">
        <v>1</v>
      </c>
      <c r="BY460">
        <v>0</v>
      </c>
      <c r="BZ460" t="s">
        <v>2942</v>
      </c>
      <c r="CA460" t="s">
        <v>2006</v>
      </c>
      <c r="CB460" t="s">
        <v>2946</v>
      </c>
    </row>
    <row r="461" spans="1:80" x14ac:dyDescent="0.25">
      <c r="A461">
        <v>460</v>
      </c>
      <c r="B461" t="s">
        <v>2475</v>
      </c>
      <c r="C461" s="1">
        <v>44851</v>
      </c>
      <c r="D461" s="2">
        <v>30</v>
      </c>
      <c r="E461" t="s">
        <v>4</v>
      </c>
      <c r="F461" t="s">
        <v>1311</v>
      </c>
      <c r="G461">
        <v>1</v>
      </c>
      <c r="H461" s="3">
        <v>2747000</v>
      </c>
      <c r="I461" s="3">
        <v>100000</v>
      </c>
      <c r="J461" s="3">
        <v>0</v>
      </c>
      <c r="K461" s="3">
        <v>0</v>
      </c>
      <c r="L461" s="3" t="s">
        <v>1191</v>
      </c>
      <c r="M461">
        <v>1928343</v>
      </c>
      <c r="N461" t="s">
        <v>835</v>
      </c>
      <c r="P461" t="s">
        <v>836</v>
      </c>
      <c r="Q461" t="s">
        <v>15</v>
      </c>
      <c r="R461">
        <v>32827</v>
      </c>
      <c r="S461" t="s">
        <v>37</v>
      </c>
      <c r="T461" t="s">
        <v>965</v>
      </c>
      <c r="U461">
        <v>0</v>
      </c>
      <c r="V461" t="s">
        <v>1002</v>
      </c>
      <c r="W461" t="s">
        <v>1194</v>
      </c>
      <c r="X461" t="s">
        <v>973</v>
      </c>
      <c r="Y461">
        <v>25000</v>
      </c>
      <c r="Z461" s="2">
        <v>5</v>
      </c>
      <c r="AA461" s="2" t="s">
        <v>1238</v>
      </c>
      <c r="AB461" t="s">
        <v>1238</v>
      </c>
      <c r="AC461">
        <v>654</v>
      </c>
      <c r="AD461" t="s">
        <v>1282</v>
      </c>
      <c r="AE461">
        <v>1</v>
      </c>
      <c r="AF461" t="s">
        <v>1290</v>
      </c>
      <c r="AG461">
        <v>0</v>
      </c>
      <c r="AH461">
        <v>0</v>
      </c>
      <c r="AI461">
        <v>0</v>
      </c>
      <c r="AJ461">
        <v>2022</v>
      </c>
      <c r="AK461" t="s">
        <v>1194</v>
      </c>
      <c r="AL461" t="s">
        <v>1194</v>
      </c>
      <c r="AM461" s="4" t="s">
        <v>1238</v>
      </c>
      <c r="AN461">
        <v>1</v>
      </c>
      <c r="AO461" t="s">
        <v>1315</v>
      </c>
      <c r="AP461">
        <f t="shared" si="14"/>
        <v>0</v>
      </c>
      <c r="AQ461">
        <v>0</v>
      </c>
      <c r="AR461" t="s">
        <v>1993</v>
      </c>
      <c r="AS461" t="s">
        <v>1996</v>
      </c>
      <c r="AT461" t="s">
        <v>1996</v>
      </c>
      <c r="AU461" t="s">
        <v>1995</v>
      </c>
      <c r="AV461" t="s">
        <v>1996</v>
      </c>
      <c r="AW461" t="s">
        <v>1995</v>
      </c>
      <c r="AX461" t="s">
        <v>2006</v>
      </c>
      <c r="AY461" t="s">
        <v>1996</v>
      </c>
      <c r="AZ461">
        <v>5499</v>
      </c>
      <c r="BA461" t="s">
        <v>1194</v>
      </c>
      <c r="BB461" t="s">
        <v>1194</v>
      </c>
      <c r="BC461" s="3">
        <v>4593.3278</v>
      </c>
      <c r="BD461" s="3">
        <v>3516.75</v>
      </c>
      <c r="BE461" s="3">
        <v>0</v>
      </c>
      <c r="BF461" s="3">
        <v>0</v>
      </c>
      <c r="BG461" s="3">
        <v>300</v>
      </c>
      <c r="BH461" s="3">
        <v>0</v>
      </c>
      <c r="BI461" s="3">
        <v>5260</v>
      </c>
      <c r="BJ461" s="3">
        <v>13670</v>
      </c>
      <c r="BK461" s="3">
        <v>300</v>
      </c>
      <c r="BL461" s="3">
        <v>13970</v>
      </c>
      <c r="BM461" s="2">
        <f t="shared" ca="1" si="15"/>
        <v>1</v>
      </c>
      <c r="BN461" s="3">
        <v>2000000</v>
      </c>
      <c r="BO461" s="3">
        <v>500000</v>
      </c>
      <c r="BP461" s="3" t="s">
        <v>2922</v>
      </c>
      <c r="BQ461" s="3">
        <v>2000000</v>
      </c>
      <c r="BR461" s="3">
        <v>2000000</v>
      </c>
      <c r="BS461">
        <v>50000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 t="s">
        <v>2942</v>
      </c>
      <c r="CA461" t="s">
        <v>2006</v>
      </c>
      <c r="CB461" t="s">
        <v>2946</v>
      </c>
    </row>
    <row r="462" spans="1:80" x14ac:dyDescent="0.25">
      <c r="A462">
        <v>461</v>
      </c>
      <c r="B462" t="s">
        <v>2476</v>
      </c>
      <c r="C462" s="1">
        <v>44630</v>
      </c>
      <c r="D462" s="2">
        <v>9</v>
      </c>
      <c r="E462" t="s">
        <v>4</v>
      </c>
      <c r="F462" t="s">
        <v>1310</v>
      </c>
      <c r="G462">
        <v>0</v>
      </c>
      <c r="H462" s="3">
        <v>3000000</v>
      </c>
      <c r="I462" s="3">
        <v>0</v>
      </c>
      <c r="J462" s="3">
        <v>0</v>
      </c>
      <c r="K462" s="3">
        <v>0</v>
      </c>
      <c r="L462" s="3" t="s">
        <v>1191</v>
      </c>
      <c r="M462">
        <v>1872965</v>
      </c>
      <c r="N462" t="s">
        <v>837</v>
      </c>
      <c r="O462" t="s">
        <v>838</v>
      </c>
      <c r="P462" t="s">
        <v>839</v>
      </c>
      <c r="Q462" t="s">
        <v>14</v>
      </c>
      <c r="R462">
        <v>11732</v>
      </c>
      <c r="S462" t="s">
        <v>38</v>
      </c>
      <c r="T462" t="s">
        <v>962</v>
      </c>
      <c r="U462">
        <v>0</v>
      </c>
      <c r="V462" t="s">
        <v>1159</v>
      </c>
      <c r="W462" t="s">
        <v>1194</v>
      </c>
      <c r="X462" t="s">
        <v>973</v>
      </c>
      <c r="Y462">
        <v>10000</v>
      </c>
      <c r="Z462" s="2">
        <v>2</v>
      </c>
      <c r="AA462" s="2" t="s">
        <v>1238</v>
      </c>
      <c r="AB462" t="s">
        <v>1238</v>
      </c>
      <c r="AC462">
        <v>697</v>
      </c>
      <c r="AD462" t="s">
        <v>1279</v>
      </c>
      <c r="AE462">
        <v>4</v>
      </c>
      <c r="AF462" t="s">
        <v>1290</v>
      </c>
      <c r="AG462">
        <v>0</v>
      </c>
      <c r="AH462">
        <v>0</v>
      </c>
      <c r="AI462">
        <v>0</v>
      </c>
      <c r="AJ462">
        <v>1928</v>
      </c>
      <c r="AK462" t="s">
        <v>1194</v>
      </c>
      <c r="AL462">
        <v>2002</v>
      </c>
      <c r="AM462" s="4" t="s">
        <v>1308</v>
      </c>
      <c r="AN462">
        <v>1</v>
      </c>
      <c r="AO462" t="s">
        <v>1317</v>
      </c>
      <c r="AP462">
        <f t="shared" si="14"/>
        <v>0</v>
      </c>
      <c r="AQ462">
        <v>1</v>
      </c>
      <c r="AR462" t="s">
        <v>1992</v>
      </c>
      <c r="AS462" t="s">
        <v>1995</v>
      </c>
      <c r="AT462" t="s">
        <v>1996</v>
      </c>
      <c r="AU462" t="s">
        <v>1995</v>
      </c>
      <c r="AV462" t="s">
        <v>1995</v>
      </c>
      <c r="AW462" t="s">
        <v>1996</v>
      </c>
      <c r="AX462" t="s">
        <v>2006</v>
      </c>
      <c r="AY462" t="s">
        <v>1996</v>
      </c>
      <c r="AZ462">
        <v>6950</v>
      </c>
      <c r="BA462" t="s">
        <v>1194</v>
      </c>
      <c r="BB462" t="s">
        <v>1194</v>
      </c>
      <c r="BC462" s="3">
        <v>12936.0983</v>
      </c>
      <c r="BD462" s="3">
        <v>3094.45</v>
      </c>
      <c r="BE462" s="3">
        <v>0</v>
      </c>
      <c r="BF462" s="3">
        <v>0</v>
      </c>
      <c r="BG462" s="3">
        <v>150</v>
      </c>
      <c r="BH462" s="3">
        <v>0</v>
      </c>
      <c r="BI462" s="3">
        <v>2795</v>
      </c>
      <c r="BJ462" s="3">
        <v>18976</v>
      </c>
      <c r="BK462" s="3">
        <v>150</v>
      </c>
      <c r="BL462" s="3">
        <v>19126</v>
      </c>
      <c r="BM462" s="2">
        <f t="shared" ca="1" si="15"/>
        <v>5</v>
      </c>
      <c r="BN462" s="3">
        <v>2000000</v>
      </c>
      <c r="BO462" s="3">
        <v>25000</v>
      </c>
      <c r="BP462" s="3">
        <v>50000</v>
      </c>
      <c r="BQ462" s="3">
        <v>250000</v>
      </c>
      <c r="BR462" s="3">
        <v>2000000</v>
      </c>
      <c r="BS462">
        <v>50000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0</v>
      </c>
      <c r="BZ462" t="s">
        <v>2942</v>
      </c>
      <c r="CA462" t="s">
        <v>2006</v>
      </c>
      <c r="CB462" t="s">
        <v>2006</v>
      </c>
    </row>
    <row r="463" spans="1:80" x14ac:dyDescent="0.25">
      <c r="A463">
        <v>462</v>
      </c>
      <c r="B463" t="s">
        <v>2477</v>
      </c>
      <c r="C463" s="1">
        <v>44950</v>
      </c>
      <c r="D463" s="2">
        <v>3</v>
      </c>
      <c r="E463" t="s">
        <v>4</v>
      </c>
      <c r="F463" t="s">
        <v>1310</v>
      </c>
      <c r="G463">
        <v>0</v>
      </c>
      <c r="H463" s="3">
        <v>7245000</v>
      </c>
      <c r="I463" s="3">
        <v>614500</v>
      </c>
      <c r="J463" s="3">
        <v>1000000</v>
      </c>
      <c r="K463" s="3">
        <v>200000</v>
      </c>
      <c r="L463" s="3" t="s">
        <v>1191</v>
      </c>
      <c r="M463">
        <v>1878261</v>
      </c>
      <c r="N463" t="s">
        <v>840</v>
      </c>
      <c r="P463" t="s">
        <v>40</v>
      </c>
      <c r="Q463" t="s">
        <v>19</v>
      </c>
      <c r="R463">
        <v>93110</v>
      </c>
      <c r="S463" t="s">
        <v>40</v>
      </c>
      <c r="T463" t="s">
        <v>975</v>
      </c>
      <c r="U463">
        <v>0</v>
      </c>
      <c r="V463">
        <v>24</v>
      </c>
      <c r="W463" t="s">
        <v>1227</v>
      </c>
      <c r="X463" t="s">
        <v>973</v>
      </c>
      <c r="Y463">
        <v>25000</v>
      </c>
      <c r="Z463" s="2" t="s">
        <v>1194</v>
      </c>
      <c r="AA463" s="2" t="s">
        <v>1238</v>
      </c>
      <c r="AB463" t="s">
        <v>1238</v>
      </c>
      <c r="AC463" t="s">
        <v>1194</v>
      </c>
      <c r="AD463" t="s">
        <v>1279</v>
      </c>
      <c r="AE463">
        <v>5</v>
      </c>
      <c r="AF463" t="s">
        <v>1290</v>
      </c>
      <c r="AG463">
        <v>0</v>
      </c>
      <c r="AH463">
        <v>0</v>
      </c>
      <c r="AI463">
        <v>0</v>
      </c>
      <c r="AJ463">
        <v>2022</v>
      </c>
      <c r="AK463" t="s">
        <v>1194</v>
      </c>
      <c r="AL463" t="s">
        <v>1194</v>
      </c>
      <c r="AM463" s="4" t="s">
        <v>1304</v>
      </c>
      <c r="AN463">
        <v>0</v>
      </c>
      <c r="AO463" t="s">
        <v>1315</v>
      </c>
      <c r="AP463">
        <f t="shared" si="14"/>
        <v>0</v>
      </c>
      <c r="AQ463">
        <v>0</v>
      </c>
      <c r="AR463" t="s">
        <v>1993</v>
      </c>
      <c r="AS463" t="s">
        <v>1995</v>
      </c>
      <c r="AT463" t="s">
        <v>1995</v>
      </c>
      <c r="AU463" t="s">
        <v>1995</v>
      </c>
      <c r="AV463" t="s">
        <v>1996</v>
      </c>
      <c r="AW463" t="s">
        <v>1995</v>
      </c>
      <c r="AX463" t="s">
        <v>1194</v>
      </c>
      <c r="AY463" t="s">
        <v>1996</v>
      </c>
      <c r="AZ463">
        <v>5990</v>
      </c>
      <c r="BA463">
        <v>2</v>
      </c>
      <c r="BB463" t="s">
        <v>2016</v>
      </c>
      <c r="BC463" s="3">
        <v>0</v>
      </c>
      <c r="BD463" s="3">
        <v>0</v>
      </c>
      <c r="BE463" s="3">
        <v>8685.4</v>
      </c>
      <c r="BF463" s="3">
        <v>13346.93</v>
      </c>
      <c r="BG463" s="3">
        <v>150</v>
      </c>
      <c r="BH463" s="3">
        <v>0</v>
      </c>
      <c r="BI463" s="3">
        <v>42660</v>
      </c>
      <c r="BJ463" s="3">
        <v>64842.33</v>
      </c>
      <c r="BK463" s="3">
        <v>0</v>
      </c>
      <c r="BL463" s="3">
        <v>64842.33</v>
      </c>
      <c r="BM463" s="2">
        <f t="shared" ca="1" si="15"/>
        <v>1</v>
      </c>
      <c r="BN463" s="3" t="s">
        <v>2916</v>
      </c>
      <c r="BO463" s="3">
        <v>500000</v>
      </c>
      <c r="BP463" s="3">
        <v>50000</v>
      </c>
      <c r="BQ463" s="3">
        <v>1000000</v>
      </c>
      <c r="BR463" s="3">
        <v>50000</v>
      </c>
      <c r="BS463">
        <v>500000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 t="s">
        <v>2957</v>
      </c>
      <c r="CA463" t="s">
        <v>1194</v>
      </c>
      <c r="CB463" t="s">
        <v>2949</v>
      </c>
    </row>
    <row r="464" spans="1:80" x14ac:dyDescent="0.25">
      <c r="A464">
        <v>463</v>
      </c>
      <c r="B464" t="s">
        <v>2478</v>
      </c>
      <c r="C464" s="1">
        <v>44868</v>
      </c>
      <c r="D464" s="2">
        <v>33</v>
      </c>
      <c r="E464" t="s">
        <v>4</v>
      </c>
      <c r="F464" t="s">
        <v>1311</v>
      </c>
      <c r="G464">
        <v>1</v>
      </c>
      <c r="H464" s="3">
        <v>4000000</v>
      </c>
      <c r="I464" s="3">
        <v>300000</v>
      </c>
      <c r="J464" s="3">
        <v>0</v>
      </c>
      <c r="K464" s="3">
        <v>0</v>
      </c>
      <c r="L464" s="3" t="s">
        <v>1191</v>
      </c>
      <c r="M464">
        <v>1867611</v>
      </c>
      <c r="N464" t="s">
        <v>841</v>
      </c>
      <c r="P464" t="s">
        <v>842</v>
      </c>
      <c r="Q464" t="s">
        <v>13</v>
      </c>
      <c r="R464">
        <v>2662</v>
      </c>
      <c r="S464" t="s">
        <v>51</v>
      </c>
      <c r="T464" t="s">
        <v>962</v>
      </c>
      <c r="U464">
        <v>0</v>
      </c>
      <c r="V464" t="s">
        <v>1160</v>
      </c>
      <c r="W464" t="s">
        <v>1194</v>
      </c>
      <c r="X464" t="s">
        <v>973</v>
      </c>
      <c r="Y464">
        <v>10000</v>
      </c>
      <c r="Z464" s="2">
        <v>2</v>
      </c>
      <c r="AA464" s="2" t="s">
        <v>1238</v>
      </c>
      <c r="AB464" t="s">
        <v>1238</v>
      </c>
      <c r="AC464">
        <v>739</v>
      </c>
      <c r="AD464" t="s">
        <v>1279</v>
      </c>
      <c r="AE464">
        <v>3</v>
      </c>
      <c r="AF464" t="s">
        <v>1290</v>
      </c>
      <c r="AG464">
        <v>0</v>
      </c>
      <c r="AH464">
        <v>0</v>
      </c>
      <c r="AI464">
        <v>0</v>
      </c>
      <c r="AJ464">
        <v>1966</v>
      </c>
      <c r="AK464" t="s">
        <v>1194</v>
      </c>
      <c r="AL464">
        <v>2013</v>
      </c>
      <c r="AM464" s="4" t="s">
        <v>1238</v>
      </c>
      <c r="AN464">
        <v>1</v>
      </c>
      <c r="AO464" t="s">
        <v>1315</v>
      </c>
      <c r="AP464">
        <f t="shared" si="14"/>
        <v>0</v>
      </c>
      <c r="AQ464">
        <v>0</v>
      </c>
      <c r="AR464" t="s">
        <v>1993</v>
      </c>
      <c r="AS464" t="s">
        <v>1995</v>
      </c>
      <c r="AT464" t="s">
        <v>1995</v>
      </c>
      <c r="AU464" t="s">
        <v>1996</v>
      </c>
      <c r="AV464" t="s">
        <v>1996</v>
      </c>
      <c r="AW464" t="s">
        <v>1996</v>
      </c>
      <c r="AX464" t="s">
        <v>2003</v>
      </c>
      <c r="AY464" t="s">
        <v>1996</v>
      </c>
      <c r="AZ464">
        <v>4410</v>
      </c>
      <c r="BA464" t="s">
        <v>1194</v>
      </c>
      <c r="BB464" t="s">
        <v>1194</v>
      </c>
      <c r="BC464" s="3">
        <v>10086.5604</v>
      </c>
      <c r="BD464" s="3">
        <v>9216.8700000000008</v>
      </c>
      <c r="BE464" s="3">
        <v>0</v>
      </c>
      <c r="BF464" s="3">
        <v>0</v>
      </c>
      <c r="BG464" s="3">
        <v>150</v>
      </c>
      <c r="BH464" s="3">
        <v>0</v>
      </c>
      <c r="BI464" s="3">
        <v>13227</v>
      </c>
      <c r="BJ464" s="3">
        <v>32680</v>
      </c>
      <c r="BK464" s="3">
        <v>200</v>
      </c>
      <c r="BL464" s="3">
        <v>32880</v>
      </c>
      <c r="BM464" s="2">
        <f t="shared" ca="1" si="15"/>
        <v>3</v>
      </c>
      <c r="BN464" s="3" t="s">
        <v>2916</v>
      </c>
      <c r="BO464" s="3">
        <v>500000</v>
      </c>
      <c r="BP464" s="3">
        <v>50000</v>
      </c>
      <c r="BQ464" s="3">
        <v>50000</v>
      </c>
      <c r="BR464" s="3">
        <v>250000</v>
      </c>
      <c r="BS464">
        <v>250000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 t="s">
        <v>2942</v>
      </c>
      <c r="CA464" t="s">
        <v>2006</v>
      </c>
      <c r="CB464" t="s">
        <v>2945</v>
      </c>
    </row>
    <row r="465" spans="1:80" x14ac:dyDescent="0.25">
      <c r="A465">
        <v>464</v>
      </c>
      <c r="B465" t="s">
        <v>2479</v>
      </c>
      <c r="C465" s="1">
        <v>44883</v>
      </c>
      <c r="D465" s="2">
        <v>33</v>
      </c>
      <c r="E465" t="s">
        <v>4</v>
      </c>
      <c r="F465" t="s">
        <v>1311</v>
      </c>
      <c r="G465">
        <v>1</v>
      </c>
      <c r="H465" s="3">
        <v>5500000</v>
      </c>
      <c r="I465" s="3">
        <v>275000</v>
      </c>
      <c r="J465" s="3">
        <v>0</v>
      </c>
      <c r="K465" s="3">
        <v>0</v>
      </c>
      <c r="L465" s="3" t="s">
        <v>1191</v>
      </c>
      <c r="M465">
        <v>1866880</v>
      </c>
      <c r="N465" t="s">
        <v>843</v>
      </c>
      <c r="P465" t="s">
        <v>278</v>
      </c>
      <c r="Q465" t="s">
        <v>15</v>
      </c>
      <c r="R465">
        <v>33316</v>
      </c>
      <c r="S465" t="s">
        <v>68</v>
      </c>
      <c r="T465" t="s">
        <v>966</v>
      </c>
      <c r="U465">
        <v>0</v>
      </c>
      <c r="V465" t="s">
        <v>1143</v>
      </c>
      <c r="W465" t="s">
        <v>1194</v>
      </c>
      <c r="X465" t="s">
        <v>973</v>
      </c>
      <c r="Y465">
        <v>10000</v>
      </c>
      <c r="Z465" s="2">
        <v>10</v>
      </c>
      <c r="AA465" s="2" t="s">
        <v>1238</v>
      </c>
      <c r="AB465" t="s">
        <v>1238</v>
      </c>
      <c r="AC465">
        <v>773</v>
      </c>
      <c r="AD465" t="s">
        <v>1280</v>
      </c>
      <c r="AE465">
        <v>1</v>
      </c>
      <c r="AF465" t="s">
        <v>1291</v>
      </c>
      <c r="AG465">
        <v>0</v>
      </c>
      <c r="AH465">
        <v>0</v>
      </c>
      <c r="AI465">
        <v>0</v>
      </c>
      <c r="AJ465">
        <v>1990</v>
      </c>
      <c r="AK465" t="s">
        <v>1194</v>
      </c>
      <c r="AL465">
        <v>2014</v>
      </c>
      <c r="AM465" s="4" t="s">
        <v>1238</v>
      </c>
      <c r="AN465">
        <v>0</v>
      </c>
      <c r="AO465" t="s">
        <v>1315</v>
      </c>
      <c r="AP465">
        <f t="shared" si="14"/>
        <v>0</v>
      </c>
      <c r="AQ465">
        <v>0</v>
      </c>
      <c r="AR465" t="s">
        <v>1993</v>
      </c>
      <c r="AS465" t="s">
        <v>1996</v>
      </c>
      <c r="AT465" t="s">
        <v>1996</v>
      </c>
      <c r="AU465" t="s">
        <v>1996</v>
      </c>
      <c r="AV465" t="s">
        <v>1995</v>
      </c>
      <c r="AW465" t="s">
        <v>1996</v>
      </c>
      <c r="AX465" t="s">
        <v>2007</v>
      </c>
      <c r="AY465" t="s">
        <v>1995</v>
      </c>
      <c r="AZ465">
        <v>5857</v>
      </c>
      <c r="BA465" t="s">
        <v>1194</v>
      </c>
      <c r="BB465" t="s">
        <v>1194</v>
      </c>
      <c r="BC465" s="3">
        <v>14311.420099999999</v>
      </c>
      <c r="BD465" s="3">
        <v>27215.95</v>
      </c>
      <c r="BE465" s="3">
        <v>0</v>
      </c>
      <c r="BF465" s="3">
        <v>0</v>
      </c>
      <c r="BG465" s="3">
        <v>200</v>
      </c>
      <c r="BH465" s="3">
        <v>0</v>
      </c>
      <c r="BI465" s="3">
        <v>37968</v>
      </c>
      <c r="BJ465" s="3">
        <v>79695</v>
      </c>
      <c r="BK465" s="3">
        <v>675</v>
      </c>
      <c r="BL465" s="3">
        <v>80370</v>
      </c>
      <c r="BM465" s="2">
        <f t="shared" ca="1" si="15"/>
        <v>3</v>
      </c>
      <c r="BN465" s="3">
        <v>100000</v>
      </c>
      <c r="BO465" s="3">
        <v>250000</v>
      </c>
      <c r="BP465" s="3">
        <v>200000</v>
      </c>
      <c r="BQ465" s="3">
        <v>250000</v>
      </c>
      <c r="BR465" s="3">
        <v>50000</v>
      </c>
      <c r="BS465">
        <v>250000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 t="s">
        <v>2940</v>
      </c>
      <c r="CA465" t="s">
        <v>2939</v>
      </c>
      <c r="CB465" t="s">
        <v>2941</v>
      </c>
    </row>
    <row r="466" spans="1:80" x14ac:dyDescent="0.25">
      <c r="A466">
        <v>465</v>
      </c>
      <c r="B466" t="s">
        <v>2480</v>
      </c>
      <c r="C466" s="1">
        <v>44874</v>
      </c>
      <c r="D466" s="2">
        <v>33</v>
      </c>
      <c r="E466" t="s">
        <v>4</v>
      </c>
      <c r="F466" t="s">
        <v>1311</v>
      </c>
      <c r="G466">
        <v>0</v>
      </c>
      <c r="H466" s="3">
        <v>0</v>
      </c>
      <c r="I466" s="3">
        <v>0</v>
      </c>
      <c r="J466" s="3">
        <v>4000000</v>
      </c>
      <c r="K466" s="3">
        <v>0</v>
      </c>
      <c r="L466" s="3" t="s">
        <v>1192</v>
      </c>
      <c r="M466">
        <v>1879215</v>
      </c>
      <c r="N466" t="s">
        <v>694</v>
      </c>
      <c r="O466" t="s">
        <v>844</v>
      </c>
      <c r="P466" t="s">
        <v>29</v>
      </c>
      <c r="Q466" t="s">
        <v>14</v>
      </c>
      <c r="R466">
        <v>10019</v>
      </c>
      <c r="S466" t="s">
        <v>29</v>
      </c>
      <c r="T466" t="s">
        <v>962</v>
      </c>
      <c r="U466">
        <v>0</v>
      </c>
      <c r="V466" t="s">
        <v>1138</v>
      </c>
      <c r="W466" t="s">
        <v>1194</v>
      </c>
      <c r="X466" t="s">
        <v>973</v>
      </c>
      <c r="Y466">
        <v>10000</v>
      </c>
      <c r="Z466" s="2">
        <v>1</v>
      </c>
      <c r="AA466" s="2" t="s">
        <v>1238</v>
      </c>
      <c r="AB466" t="s">
        <v>1238</v>
      </c>
      <c r="AC466">
        <v>812</v>
      </c>
      <c r="AD466" t="s">
        <v>1281</v>
      </c>
      <c r="AE466">
        <v>1</v>
      </c>
      <c r="AF466" t="s">
        <v>1290</v>
      </c>
      <c r="AG466">
        <v>0</v>
      </c>
      <c r="AH466">
        <v>0</v>
      </c>
      <c r="AI466">
        <v>0</v>
      </c>
      <c r="AJ466">
        <v>2020</v>
      </c>
      <c r="AK466" t="s">
        <v>1194</v>
      </c>
      <c r="AL466" t="s">
        <v>1194</v>
      </c>
      <c r="AM466" s="4" t="s">
        <v>1238</v>
      </c>
      <c r="AN466">
        <v>0</v>
      </c>
      <c r="AO466" t="s">
        <v>1315</v>
      </c>
      <c r="AP466">
        <f t="shared" si="14"/>
        <v>0</v>
      </c>
      <c r="AQ466">
        <v>1</v>
      </c>
      <c r="AR466" t="s">
        <v>1992</v>
      </c>
      <c r="AS466" t="s">
        <v>1995</v>
      </c>
      <c r="AT466" t="s">
        <v>1996</v>
      </c>
      <c r="AU466" t="s">
        <v>1996</v>
      </c>
      <c r="AV466" t="s">
        <v>1996</v>
      </c>
      <c r="AW466" t="s">
        <v>1995</v>
      </c>
      <c r="AX466" t="s">
        <v>2003</v>
      </c>
      <c r="AY466" t="s">
        <v>1996</v>
      </c>
      <c r="AZ466">
        <v>3364</v>
      </c>
      <c r="BA466" t="s">
        <v>1194</v>
      </c>
      <c r="BB466" t="s">
        <v>1194</v>
      </c>
      <c r="BC466" s="3">
        <v>11789.259400000001</v>
      </c>
      <c r="BD466" s="3">
        <v>1409.02</v>
      </c>
      <c r="BE466" s="3">
        <v>0</v>
      </c>
      <c r="BF466" s="3">
        <v>0</v>
      </c>
      <c r="BG466" s="3">
        <v>150</v>
      </c>
      <c r="BH466" s="3">
        <v>0</v>
      </c>
      <c r="BI466" s="3">
        <v>14652</v>
      </c>
      <c r="BJ466" s="3">
        <v>28000</v>
      </c>
      <c r="BK466" s="3">
        <v>300</v>
      </c>
      <c r="BL466" s="3">
        <v>28300</v>
      </c>
      <c r="BM466" s="2">
        <f t="shared" ca="1" si="15"/>
        <v>0</v>
      </c>
      <c r="BN466" s="3">
        <v>100000</v>
      </c>
      <c r="BO466" s="3">
        <v>2000000</v>
      </c>
      <c r="BP466" s="3">
        <v>50000</v>
      </c>
      <c r="BQ466" s="3">
        <v>100000</v>
      </c>
      <c r="BR466" s="3">
        <v>1000000</v>
      </c>
      <c r="BS466">
        <v>100000</v>
      </c>
      <c r="BT466">
        <v>0</v>
      </c>
      <c r="BU466">
        <v>0</v>
      </c>
      <c r="BV466">
        <v>0</v>
      </c>
      <c r="BW466">
        <v>0</v>
      </c>
      <c r="BX466">
        <v>1</v>
      </c>
      <c r="BY466">
        <v>0</v>
      </c>
      <c r="BZ466" t="s">
        <v>2938</v>
      </c>
      <c r="CA466" t="s">
        <v>2006</v>
      </c>
      <c r="CB466" t="s">
        <v>2941</v>
      </c>
    </row>
    <row r="467" spans="1:80" x14ac:dyDescent="0.25">
      <c r="A467">
        <v>466</v>
      </c>
      <c r="B467" t="s">
        <v>2481</v>
      </c>
      <c r="C467" s="1">
        <v>44669</v>
      </c>
      <c r="D467" s="2">
        <v>12</v>
      </c>
      <c r="E467" t="s">
        <v>4</v>
      </c>
      <c r="F467" t="s">
        <v>1311</v>
      </c>
      <c r="G467">
        <v>0</v>
      </c>
      <c r="H467" s="3">
        <v>4625000</v>
      </c>
      <c r="I467" s="3">
        <v>300000</v>
      </c>
      <c r="J467" s="3">
        <v>0</v>
      </c>
      <c r="K467" s="3">
        <v>0</v>
      </c>
      <c r="L467" s="3" t="s">
        <v>1191</v>
      </c>
      <c r="M467">
        <v>1871312</v>
      </c>
      <c r="N467" t="s">
        <v>845</v>
      </c>
      <c r="P467" t="s">
        <v>846</v>
      </c>
      <c r="Q467" t="s">
        <v>16</v>
      </c>
      <c r="R467">
        <v>8742</v>
      </c>
      <c r="S467" t="s">
        <v>70</v>
      </c>
      <c r="T467" t="s">
        <v>970</v>
      </c>
      <c r="U467">
        <v>1</v>
      </c>
      <c r="V467" t="s">
        <v>1161</v>
      </c>
      <c r="W467" t="s">
        <v>1194</v>
      </c>
      <c r="X467" t="s">
        <v>1309</v>
      </c>
      <c r="Y467">
        <v>10000</v>
      </c>
      <c r="Z467" s="2">
        <v>2</v>
      </c>
      <c r="AA467" s="2" t="s">
        <v>1238</v>
      </c>
      <c r="AB467" t="s">
        <v>1238</v>
      </c>
      <c r="AC467">
        <v>777</v>
      </c>
      <c r="AD467" t="s">
        <v>1279</v>
      </c>
      <c r="AE467">
        <v>3</v>
      </c>
      <c r="AF467" t="s">
        <v>1291</v>
      </c>
      <c r="AG467">
        <v>0</v>
      </c>
      <c r="AH467">
        <v>0</v>
      </c>
      <c r="AI467">
        <v>0</v>
      </c>
      <c r="AJ467">
        <v>2022</v>
      </c>
      <c r="AK467" t="s">
        <v>1194</v>
      </c>
      <c r="AL467" t="s">
        <v>1194</v>
      </c>
      <c r="AM467" s="4" t="s">
        <v>1238</v>
      </c>
      <c r="AN467">
        <v>1</v>
      </c>
      <c r="AO467" t="s">
        <v>1316</v>
      </c>
      <c r="AP467">
        <f t="shared" si="14"/>
        <v>0</v>
      </c>
      <c r="AQ467">
        <v>1</v>
      </c>
      <c r="AR467" t="s">
        <v>1992</v>
      </c>
      <c r="AS467" t="s">
        <v>1996</v>
      </c>
      <c r="AT467" t="s">
        <v>1995</v>
      </c>
      <c r="AU467" t="s">
        <v>1995</v>
      </c>
      <c r="AV467" t="s">
        <v>1995</v>
      </c>
      <c r="AW467" t="s">
        <v>1996</v>
      </c>
      <c r="AX467" t="s">
        <v>2006</v>
      </c>
      <c r="AY467" t="s">
        <v>1996</v>
      </c>
      <c r="AZ467">
        <v>5600</v>
      </c>
      <c r="BA467" t="s">
        <v>1194</v>
      </c>
      <c r="BB467" t="s">
        <v>1194</v>
      </c>
      <c r="BC467" s="3">
        <v>8306.6093999999994</v>
      </c>
      <c r="BD467" s="3">
        <v>3963.83</v>
      </c>
      <c r="BE467" s="3">
        <v>0</v>
      </c>
      <c r="BF467" s="3">
        <v>0</v>
      </c>
      <c r="BG467" s="3">
        <v>150</v>
      </c>
      <c r="BH467" s="3">
        <v>0</v>
      </c>
      <c r="BI467" s="3">
        <v>10018.31</v>
      </c>
      <c r="BJ467" s="3">
        <v>22439</v>
      </c>
      <c r="BK467" s="3">
        <v>150</v>
      </c>
      <c r="BL467" s="3">
        <v>22589</v>
      </c>
      <c r="BM467" s="2">
        <f t="shared" ca="1" si="15"/>
        <v>1</v>
      </c>
      <c r="BN467" s="3">
        <v>500000</v>
      </c>
      <c r="BO467" s="3">
        <v>1000000</v>
      </c>
      <c r="BP467" s="3">
        <v>50000</v>
      </c>
      <c r="BQ467" s="3">
        <v>50000</v>
      </c>
      <c r="BR467" s="3">
        <v>1000000</v>
      </c>
      <c r="BS467">
        <v>50000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 t="s">
        <v>2942</v>
      </c>
      <c r="CA467" t="s">
        <v>2006</v>
      </c>
      <c r="CB467" t="s">
        <v>2006</v>
      </c>
    </row>
    <row r="468" spans="1:80" x14ac:dyDescent="0.25">
      <c r="A468">
        <v>467</v>
      </c>
      <c r="B468" t="s">
        <v>2482</v>
      </c>
      <c r="C468" s="1">
        <v>44662</v>
      </c>
      <c r="D468" s="2">
        <v>12</v>
      </c>
      <c r="E468" t="s">
        <v>4</v>
      </c>
      <c r="F468" t="s">
        <v>1311</v>
      </c>
      <c r="G468">
        <v>0</v>
      </c>
      <c r="H468" s="3">
        <v>5000000</v>
      </c>
      <c r="I468" s="3">
        <v>500000</v>
      </c>
      <c r="J468" s="3">
        <v>0</v>
      </c>
      <c r="K468" s="3">
        <v>0</v>
      </c>
      <c r="L468" s="3" t="s">
        <v>1191</v>
      </c>
      <c r="M468">
        <v>1872229</v>
      </c>
      <c r="N468" t="s">
        <v>847</v>
      </c>
      <c r="P468" t="s">
        <v>310</v>
      </c>
      <c r="Q468" t="s">
        <v>15</v>
      </c>
      <c r="R468">
        <v>33140</v>
      </c>
      <c r="S468" t="s">
        <v>33</v>
      </c>
      <c r="T468" t="s">
        <v>967</v>
      </c>
      <c r="U468">
        <v>1</v>
      </c>
      <c r="V468" t="s">
        <v>1056</v>
      </c>
      <c r="W468" t="s">
        <v>1194</v>
      </c>
      <c r="X468" t="s">
        <v>1309</v>
      </c>
      <c r="Y468">
        <v>25000</v>
      </c>
      <c r="Z468" s="2">
        <v>5</v>
      </c>
      <c r="AA468" s="2" t="s">
        <v>1238</v>
      </c>
      <c r="AB468" t="s">
        <v>1238</v>
      </c>
      <c r="AC468">
        <v>741</v>
      </c>
      <c r="AD468" t="s">
        <v>1280</v>
      </c>
      <c r="AE468">
        <v>1</v>
      </c>
      <c r="AF468" t="s">
        <v>1291</v>
      </c>
      <c r="AG468">
        <v>0</v>
      </c>
      <c r="AH468">
        <v>0</v>
      </c>
      <c r="AI468">
        <v>0</v>
      </c>
      <c r="AJ468">
        <v>2022</v>
      </c>
      <c r="AK468" t="s">
        <v>1194</v>
      </c>
      <c r="AL468" t="s">
        <v>1194</v>
      </c>
      <c r="AM468" s="4" t="s">
        <v>1238</v>
      </c>
      <c r="AN468">
        <v>1</v>
      </c>
      <c r="AO468" t="s">
        <v>1315</v>
      </c>
      <c r="AP468">
        <f t="shared" si="14"/>
        <v>0</v>
      </c>
      <c r="AQ468">
        <v>1</v>
      </c>
      <c r="AR468" t="s">
        <v>1992</v>
      </c>
      <c r="AS468" t="s">
        <v>1995</v>
      </c>
      <c r="AT468" t="s">
        <v>1996</v>
      </c>
      <c r="AU468" t="s">
        <v>1995</v>
      </c>
      <c r="AV468" t="s">
        <v>1996</v>
      </c>
      <c r="AW468" t="s">
        <v>1996</v>
      </c>
      <c r="AX468" t="s">
        <v>2007</v>
      </c>
      <c r="AY468" t="s">
        <v>1995</v>
      </c>
      <c r="AZ468">
        <v>8000</v>
      </c>
      <c r="BA468" t="s">
        <v>1194</v>
      </c>
      <c r="BB468" t="s">
        <v>1194</v>
      </c>
      <c r="BC468" s="3">
        <v>12298.875400000001</v>
      </c>
      <c r="BD468" s="3">
        <v>43249.23</v>
      </c>
      <c r="BE468" s="3">
        <v>0</v>
      </c>
      <c r="BF468" s="3">
        <v>0</v>
      </c>
      <c r="BG468" s="3">
        <v>300</v>
      </c>
      <c r="BH468" s="3">
        <v>0</v>
      </c>
      <c r="BI468" s="3">
        <v>25052</v>
      </c>
      <c r="BJ468" s="3">
        <v>80900</v>
      </c>
      <c r="BK468" s="3">
        <v>1000</v>
      </c>
      <c r="BL468" s="3">
        <v>81900</v>
      </c>
      <c r="BM468" s="2">
        <f t="shared" ca="1" si="15"/>
        <v>2</v>
      </c>
      <c r="BN468" s="3">
        <v>500000</v>
      </c>
      <c r="BO468" s="3">
        <v>100000</v>
      </c>
      <c r="BP468" s="3">
        <v>100000</v>
      </c>
      <c r="BQ468" s="3">
        <v>50000</v>
      </c>
      <c r="BR468" s="3">
        <v>500000</v>
      </c>
      <c r="BS468">
        <v>250000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 t="s">
        <v>2938</v>
      </c>
      <c r="CA468" t="s">
        <v>2939</v>
      </c>
      <c r="CB468" t="s">
        <v>2946</v>
      </c>
    </row>
    <row r="469" spans="1:80" x14ac:dyDescent="0.25">
      <c r="A469">
        <v>468</v>
      </c>
      <c r="B469" t="s">
        <v>2483</v>
      </c>
      <c r="C469" s="1">
        <v>44659</v>
      </c>
      <c r="D469" s="2">
        <v>12</v>
      </c>
      <c r="E469" t="s">
        <v>4</v>
      </c>
      <c r="F469" t="s">
        <v>1311</v>
      </c>
      <c r="G469">
        <v>1</v>
      </c>
      <c r="H469" s="3">
        <v>10644755</v>
      </c>
      <c r="I469" s="3">
        <v>0</v>
      </c>
      <c r="J469" s="3">
        <v>0</v>
      </c>
      <c r="K469" s="3">
        <v>0</v>
      </c>
      <c r="L469" s="3" t="s">
        <v>1191</v>
      </c>
      <c r="M469">
        <v>1871627</v>
      </c>
      <c r="N469" t="s">
        <v>848</v>
      </c>
      <c r="P469" t="s">
        <v>573</v>
      </c>
      <c r="Q469" t="s">
        <v>14</v>
      </c>
      <c r="R469">
        <v>11050</v>
      </c>
      <c r="S469" t="s">
        <v>38</v>
      </c>
      <c r="T469" t="s">
        <v>970</v>
      </c>
      <c r="U469">
        <v>0</v>
      </c>
      <c r="V469" t="s">
        <v>1048</v>
      </c>
      <c r="W469" t="s">
        <v>1194</v>
      </c>
      <c r="X469" t="s">
        <v>973</v>
      </c>
      <c r="Y469">
        <v>25000</v>
      </c>
      <c r="Z469" s="2">
        <v>1.999999061</v>
      </c>
      <c r="AA469" s="2" t="s">
        <v>1238</v>
      </c>
      <c r="AB469" t="s">
        <v>1238</v>
      </c>
      <c r="AC469">
        <v>655</v>
      </c>
      <c r="AD469" t="s">
        <v>1283</v>
      </c>
      <c r="AE469">
        <v>3</v>
      </c>
      <c r="AF469" t="s">
        <v>1290</v>
      </c>
      <c r="AG469">
        <v>0</v>
      </c>
      <c r="AH469">
        <v>0</v>
      </c>
      <c r="AI469">
        <v>0</v>
      </c>
      <c r="AJ469">
        <v>2022</v>
      </c>
      <c r="AK469" t="s">
        <v>1194</v>
      </c>
      <c r="AL469" t="s">
        <v>1194</v>
      </c>
      <c r="AM469" s="4" t="s">
        <v>1238</v>
      </c>
      <c r="AN469">
        <v>0</v>
      </c>
      <c r="AO469" t="s">
        <v>1315</v>
      </c>
      <c r="AP469">
        <f t="shared" si="14"/>
        <v>0</v>
      </c>
      <c r="AQ469">
        <v>0</v>
      </c>
      <c r="AR469" t="s">
        <v>1993</v>
      </c>
      <c r="AS469" t="s">
        <v>1996</v>
      </c>
      <c r="AT469" t="s">
        <v>1995</v>
      </c>
      <c r="AU469" t="s">
        <v>1995</v>
      </c>
      <c r="AV469" t="s">
        <v>1996</v>
      </c>
      <c r="AW469" t="s">
        <v>1996</v>
      </c>
      <c r="AX469" t="s">
        <v>2003</v>
      </c>
      <c r="AY469" t="s">
        <v>1996</v>
      </c>
      <c r="AZ469">
        <v>11000</v>
      </c>
      <c r="BA469" t="s">
        <v>1194</v>
      </c>
      <c r="BB469" t="s">
        <v>1194</v>
      </c>
      <c r="BC469" s="3">
        <v>26175.323400000001</v>
      </c>
      <c r="BD469" s="3">
        <v>6403.45</v>
      </c>
      <c r="BE469" s="3">
        <v>0</v>
      </c>
      <c r="BF469" s="3">
        <v>0</v>
      </c>
      <c r="BG469" s="3">
        <v>150</v>
      </c>
      <c r="BH469" s="3">
        <v>0</v>
      </c>
      <c r="BI469" s="3">
        <v>12829</v>
      </c>
      <c r="BJ469" s="3">
        <v>45558</v>
      </c>
      <c r="BK469" s="3">
        <v>700</v>
      </c>
      <c r="BL469" s="3">
        <v>46258</v>
      </c>
      <c r="BM469" s="2">
        <f t="shared" ca="1" si="15"/>
        <v>1</v>
      </c>
      <c r="BN469" s="3">
        <v>100000</v>
      </c>
      <c r="BO469" s="3">
        <v>250000</v>
      </c>
      <c r="BP469" s="3">
        <v>50000</v>
      </c>
      <c r="BQ469" s="3">
        <v>50000</v>
      </c>
      <c r="BR469" s="3">
        <v>1000000</v>
      </c>
      <c r="BS469">
        <v>50000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 t="s">
        <v>2942</v>
      </c>
      <c r="CA469" t="s">
        <v>2006</v>
      </c>
      <c r="CB469" t="s">
        <v>2945</v>
      </c>
    </row>
    <row r="470" spans="1:80" x14ac:dyDescent="0.25">
      <c r="A470">
        <v>469</v>
      </c>
      <c r="B470" t="s">
        <v>2484</v>
      </c>
      <c r="C470" s="1">
        <v>44660</v>
      </c>
      <c r="D470" s="2">
        <v>12</v>
      </c>
      <c r="E470" t="s">
        <v>4</v>
      </c>
      <c r="F470" t="s">
        <v>1311</v>
      </c>
      <c r="G470">
        <v>0</v>
      </c>
      <c r="H470" s="3">
        <v>6000000</v>
      </c>
      <c r="I470" s="3">
        <v>175000</v>
      </c>
      <c r="J470" s="3">
        <v>0</v>
      </c>
      <c r="K470" s="3">
        <v>0</v>
      </c>
      <c r="L470" s="3" t="s">
        <v>1191</v>
      </c>
      <c r="M470">
        <v>1873427</v>
      </c>
      <c r="N470" t="s">
        <v>849</v>
      </c>
      <c r="P470" t="s">
        <v>134</v>
      </c>
      <c r="Q470" t="s">
        <v>17</v>
      </c>
      <c r="R470">
        <v>29455</v>
      </c>
      <c r="S470" t="s">
        <v>31</v>
      </c>
      <c r="T470" t="s">
        <v>969</v>
      </c>
      <c r="U470">
        <v>0</v>
      </c>
      <c r="V470" t="s">
        <v>1040</v>
      </c>
      <c r="W470" t="s">
        <v>1194</v>
      </c>
      <c r="X470" t="s">
        <v>973</v>
      </c>
      <c r="Y470">
        <v>25000</v>
      </c>
      <c r="Z470" s="2">
        <v>10</v>
      </c>
      <c r="AA470" s="2" t="s">
        <v>1238</v>
      </c>
      <c r="AB470" t="s">
        <v>1238</v>
      </c>
      <c r="AC470">
        <v>751</v>
      </c>
      <c r="AD470" t="s">
        <v>1279</v>
      </c>
      <c r="AE470">
        <v>2</v>
      </c>
      <c r="AF470" t="s">
        <v>1291</v>
      </c>
      <c r="AG470">
        <v>0</v>
      </c>
      <c r="AH470">
        <v>0</v>
      </c>
      <c r="AI470">
        <v>0</v>
      </c>
      <c r="AJ470">
        <v>1992</v>
      </c>
      <c r="AK470">
        <v>2009</v>
      </c>
      <c r="AL470">
        <v>2009</v>
      </c>
      <c r="AM470" s="4" t="s">
        <v>1238</v>
      </c>
      <c r="AN470">
        <v>0</v>
      </c>
      <c r="AO470" t="s">
        <v>1316</v>
      </c>
      <c r="AP470">
        <f t="shared" si="14"/>
        <v>0</v>
      </c>
      <c r="AQ470">
        <v>1</v>
      </c>
      <c r="AR470" t="s">
        <v>1992</v>
      </c>
      <c r="AS470" t="s">
        <v>1996</v>
      </c>
      <c r="AT470" t="s">
        <v>1995</v>
      </c>
      <c r="AU470" t="s">
        <v>1995</v>
      </c>
      <c r="AV470" t="s">
        <v>1996</v>
      </c>
      <c r="AW470" t="s">
        <v>1995</v>
      </c>
      <c r="AX470" t="s">
        <v>2006</v>
      </c>
      <c r="AY470" t="s">
        <v>1996</v>
      </c>
      <c r="AZ470">
        <v>7024</v>
      </c>
      <c r="BA470" t="s">
        <v>1194</v>
      </c>
      <c r="BB470" t="s">
        <v>1194</v>
      </c>
      <c r="BC470" s="3">
        <v>8718.6978999999992</v>
      </c>
      <c r="BD470" s="3">
        <v>21908.37</v>
      </c>
      <c r="BE470" s="3">
        <v>0</v>
      </c>
      <c r="BF470" s="3">
        <v>0</v>
      </c>
      <c r="BG470" s="3">
        <v>150</v>
      </c>
      <c r="BH470" s="3">
        <v>0</v>
      </c>
      <c r="BI470" s="3">
        <v>19149</v>
      </c>
      <c r="BJ470" s="3">
        <v>49926</v>
      </c>
      <c r="BK470" s="3">
        <v>5663.78</v>
      </c>
      <c r="BL470" s="3">
        <v>55589.78</v>
      </c>
      <c r="BM470" s="2">
        <f t="shared" ca="1" si="15"/>
        <v>1</v>
      </c>
      <c r="BN470" s="3">
        <v>50000</v>
      </c>
      <c r="BO470" s="3">
        <v>250000</v>
      </c>
      <c r="BP470" s="3">
        <v>50000</v>
      </c>
      <c r="BQ470" s="3">
        <v>250000</v>
      </c>
      <c r="BR470" s="3">
        <v>2000000</v>
      </c>
      <c r="BS470">
        <v>50000</v>
      </c>
      <c r="BT470">
        <v>0</v>
      </c>
      <c r="BU470">
        <v>1</v>
      </c>
      <c r="BV470">
        <v>0</v>
      </c>
      <c r="BW470">
        <v>0</v>
      </c>
      <c r="BX470">
        <v>0</v>
      </c>
      <c r="BY470">
        <v>0</v>
      </c>
      <c r="BZ470" t="s">
        <v>2938</v>
      </c>
      <c r="CA470" t="s">
        <v>2944</v>
      </c>
      <c r="CB470" t="s">
        <v>2945</v>
      </c>
    </row>
    <row r="471" spans="1:80" x14ac:dyDescent="0.25">
      <c r="A471">
        <v>470</v>
      </c>
      <c r="B471" t="s">
        <v>2485</v>
      </c>
      <c r="C471" s="1">
        <v>44716</v>
      </c>
      <c r="D471" s="2">
        <v>18</v>
      </c>
      <c r="E471" t="s">
        <v>4</v>
      </c>
      <c r="F471" t="s">
        <v>1311</v>
      </c>
      <c r="G471">
        <v>1</v>
      </c>
      <c r="H471" s="3">
        <v>2790780</v>
      </c>
      <c r="I471" s="3">
        <v>327910</v>
      </c>
      <c r="J471" s="3">
        <v>0</v>
      </c>
      <c r="K471" s="3">
        <v>0</v>
      </c>
      <c r="L471" s="3" t="s">
        <v>1191</v>
      </c>
      <c r="M471">
        <v>1874755</v>
      </c>
      <c r="N471" t="s">
        <v>850</v>
      </c>
      <c r="O471" t="s">
        <v>851</v>
      </c>
      <c r="P471" t="s">
        <v>732</v>
      </c>
      <c r="Q471" t="s">
        <v>16</v>
      </c>
      <c r="R471">
        <v>8008</v>
      </c>
      <c r="S471" t="s">
        <v>70</v>
      </c>
      <c r="T471" t="s">
        <v>970</v>
      </c>
      <c r="U471">
        <v>1</v>
      </c>
      <c r="V471" t="s">
        <v>1146</v>
      </c>
      <c r="W471" t="s">
        <v>1194</v>
      </c>
      <c r="X471" t="s">
        <v>1309</v>
      </c>
      <c r="Y471">
        <v>10000</v>
      </c>
      <c r="Z471" s="2">
        <v>2.0000143330000002</v>
      </c>
      <c r="AA471" s="2" t="s">
        <v>1238</v>
      </c>
      <c r="AB471" t="s">
        <v>1238</v>
      </c>
      <c r="AC471">
        <v>825</v>
      </c>
      <c r="AD471" t="s">
        <v>1279</v>
      </c>
      <c r="AE471">
        <v>5</v>
      </c>
      <c r="AF471" t="s">
        <v>1293</v>
      </c>
      <c r="AG471">
        <v>0</v>
      </c>
      <c r="AH471">
        <v>0</v>
      </c>
      <c r="AI471">
        <v>0</v>
      </c>
      <c r="AJ471">
        <v>2022</v>
      </c>
      <c r="AK471" t="s">
        <v>1194</v>
      </c>
      <c r="AL471" t="s">
        <v>1194</v>
      </c>
      <c r="AM471" s="4" t="s">
        <v>1238</v>
      </c>
      <c r="AN471">
        <v>0</v>
      </c>
      <c r="AO471" t="s">
        <v>1316</v>
      </c>
      <c r="AP471">
        <f t="shared" si="14"/>
        <v>0</v>
      </c>
      <c r="AQ471">
        <v>0</v>
      </c>
      <c r="AR471" t="s">
        <v>1993</v>
      </c>
      <c r="AS471" t="s">
        <v>1996</v>
      </c>
      <c r="AT471" t="s">
        <v>1996</v>
      </c>
      <c r="AU471" t="s">
        <v>1995</v>
      </c>
      <c r="AV471" t="s">
        <v>1996</v>
      </c>
      <c r="AW471" t="s">
        <v>1996</v>
      </c>
      <c r="AX471" t="s">
        <v>2006</v>
      </c>
      <c r="AY471" t="s">
        <v>1996</v>
      </c>
      <c r="AZ471">
        <v>5691</v>
      </c>
      <c r="BA471" t="s">
        <v>1194</v>
      </c>
      <c r="BB471" t="s">
        <v>1194</v>
      </c>
      <c r="BC471" s="3">
        <v>5514.0438999999997</v>
      </c>
      <c r="BD471" s="3">
        <v>4774.24</v>
      </c>
      <c r="BE471" s="3">
        <v>0</v>
      </c>
      <c r="BF471" s="3">
        <v>0</v>
      </c>
      <c r="BG471" s="3">
        <v>150</v>
      </c>
      <c r="BH471" s="3">
        <v>0</v>
      </c>
      <c r="BI471" s="3">
        <v>2972.09</v>
      </c>
      <c r="BJ471" s="3">
        <v>13410</v>
      </c>
      <c r="BK471" s="3">
        <v>150</v>
      </c>
      <c r="BL471" s="3">
        <v>13560</v>
      </c>
      <c r="BM471" s="2">
        <f t="shared" ca="1" si="15"/>
        <v>2</v>
      </c>
      <c r="BN471" s="3">
        <v>50000</v>
      </c>
      <c r="BO471" s="3">
        <v>2000000</v>
      </c>
      <c r="BP471" s="3">
        <v>200000</v>
      </c>
      <c r="BQ471" s="3">
        <v>50000</v>
      </c>
      <c r="BR471" s="3">
        <v>500000</v>
      </c>
      <c r="BS471">
        <v>250000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 t="s">
        <v>2942</v>
      </c>
      <c r="CA471" t="s">
        <v>2006</v>
      </c>
      <c r="CB471" t="s">
        <v>2006</v>
      </c>
    </row>
    <row r="472" spans="1:80" x14ac:dyDescent="0.25">
      <c r="A472">
        <v>471</v>
      </c>
      <c r="B472" t="s">
        <v>2486</v>
      </c>
      <c r="C472" s="1">
        <v>44839</v>
      </c>
      <c r="D472" s="2">
        <v>30</v>
      </c>
      <c r="E472" t="s">
        <v>4</v>
      </c>
      <c r="F472" t="s">
        <v>1311</v>
      </c>
      <c r="G472">
        <v>0</v>
      </c>
      <c r="H472" s="3">
        <v>0</v>
      </c>
      <c r="I472" s="3">
        <v>0</v>
      </c>
      <c r="J472" s="3">
        <v>1500000</v>
      </c>
      <c r="K472" s="3">
        <v>0</v>
      </c>
      <c r="L472" s="3" t="s">
        <v>1192</v>
      </c>
      <c r="M472">
        <v>1875792</v>
      </c>
      <c r="N472" t="s">
        <v>852</v>
      </c>
      <c r="O472" t="s">
        <v>853</v>
      </c>
      <c r="P472" t="s">
        <v>212</v>
      </c>
      <c r="Q472" t="s">
        <v>13</v>
      </c>
      <c r="R472">
        <v>2138</v>
      </c>
      <c r="S472" t="s">
        <v>53</v>
      </c>
      <c r="T472" t="s">
        <v>962</v>
      </c>
      <c r="U472">
        <v>0</v>
      </c>
      <c r="V472" t="s">
        <v>1162</v>
      </c>
      <c r="W472" t="s">
        <v>1194</v>
      </c>
      <c r="X472" t="s">
        <v>973</v>
      </c>
      <c r="Y472">
        <v>10000</v>
      </c>
      <c r="Z472" s="2">
        <v>2</v>
      </c>
      <c r="AA472" s="2" t="s">
        <v>1238</v>
      </c>
      <c r="AB472" t="s">
        <v>1238</v>
      </c>
      <c r="AC472">
        <v>819</v>
      </c>
      <c r="AD472" t="s">
        <v>1281</v>
      </c>
      <c r="AE472">
        <v>1</v>
      </c>
      <c r="AF472" t="s">
        <v>1290</v>
      </c>
      <c r="AG472">
        <v>0</v>
      </c>
      <c r="AH472">
        <v>0</v>
      </c>
      <c r="AI472">
        <v>0</v>
      </c>
      <c r="AJ472">
        <v>1964</v>
      </c>
      <c r="AK472" t="s">
        <v>1194</v>
      </c>
      <c r="AL472" t="s">
        <v>1194</v>
      </c>
      <c r="AM472" s="4" t="s">
        <v>1238</v>
      </c>
      <c r="AN472">
        <v>0</v>
      </c>
      <c r="AO472" t="s">
        <v>1315</v>
      </c>
      <c r="AP472">
        <f t="shared" si="14"/>
        <v>0</v>
      </c>
      <c r="AQ472">
        <v>1</v>
      </c>
      <c r="AR472" t="s">
        <v>1992</v>
      </c>
      <c r="AS472" t="s">
        <v>1996</v>
      </c>
      <c r="AT472" t="s">
        <v>1995</v>
      </c>
      <c r="AU472" t="s">
        <v>1995</v>
      </c>
      <c r="AV472" t="s">
        <v>1996</v>
      </c>
      <c r="AW472" t="s">
        <v>1996</v>
      </c>
      <c r="AX472" t="s">
        <v>2006</v>
      </c>
      <c r="AY472" t="s">
        <v>1996</v>
      </c>
      <c r="AZ472">
        <v>1260</v>
      </c>
      <c r="BA472" t="s">
        <v>1194</v>
      </c>
      <c r="BB472" t="s">
        <v>1194</v>
      </c>
      <c r="BC472" s="3">
        <v>3175.2273</v>
      </c>
      <c r="BD472" s="3">
        <v>1086.25</v>
      </c>
      <c r="BE472" s="3">
        <v>0</v>
      </c>
      <c r="BF472" s="3">
        <v>0</v>
      </c>
      <c r="BG472" s="3">
        <v>120</v>
      </c>
      <c r="BH472" s="3">
        <v>0</v>
      </c>
      <c r="BI472" s="3">
        <v>8340</v>
      </c>
      <c r="BJ472" s="3">
        <v>12721</v>
      </c>
      <c r="BK472" s="3">
        <v>0</v>
      </c>
      <c r="BL472" s="3">
        <v>12721</v>
      </c>
      <c r="BM472" s="2">
        <f t="shared" ca="1" si="15"/>
        <v>4</v>
      </c>
      <c r="BN472" s="3">
        <v>100000</v>
      </c>
      <c r="BO472" s="3">
        <v>25000</v>
      </c>
      <c r="BP472" s="3">
        <v>100000</v>
      </c>
      <c r="BQ472" s="3">
        <v>100000</v>
      </c>
      <c r="BR472" s="3">
        <v>100000</v>
      </c>
      <c r="BS472">
        <v>500000</v>
      </c>
      <c r="BT472">
        <v>0</v>
      </c>
      <c r="BU472">
        <v>0</v>
      </c>
      <c r="BV472">
        <v>0</v>
      </c>
      <c r="BW472">
        <v>0</v>
      </c>
      <c r="BX472">
        <v>1</v>
      </c>
      <c r="BY472">
        <v>0</v>
      </c>
      <c r="BZ472" t="s">
        <v>2942</v>
      </c>
      <c r="CA472" t="s">
        <v>2006</v>
      </c>
      <c r="CB472" t="s">
        <v>2946</v>
      </c>
    </row>
    <row r="473" spans="1:80" x14ac:dyDescent="0.25">
      <c r="A473">
        <v>472</v>
      </c>
      <c r="B473" t="s">
        <v>2487</v>
      </c>
      <c r="C473" s="1">
        <v>44657</v>
      </c>
      <c r="D473" s="2">
        <v>12</v>
      </c>
      <c r="E473" t="s">
        <v>4</v>
      </c>
      <c r="F473" t="s">
        <v>1311</v>
      </c>
      <c r="G473">
        <v>1</v>
      </c>
      <c r="H473" s="3">
        <v>3290000</v>
      </c>
      <c r="I473" s="3">
        <v>0</v>
      </c>
      <c r="J473" s="3">
        <v>0</v>
      </c>
      <c r="K473" s="3">
        <v>0</v>
      </c>
      <c r="L473" s="3" t="s">
        <v>1191</v>
      </c>
      <c r="M473">
        <v>1878324</v>
      </c>
      <c r="N473" t="s">
        <v>854</v>
      </c>
      <c r="P473" t="s">
        <v>117</v>
      </c>
      <c r="Q473" t="s">
        <v>14</v>
      </c>
      <c r="R473">
        <v>11959</v>
      </c>
      <c r="S473" t="s">
        <v>26</v>
      </c>
      <c r="T473" t="s">
        <v>963</v>
      </c>
      <c r="U473">
        <v>0</v>
      </c>
      <c r="V473" t="s">
        <v>986</v>
      </c>
      <c r="W473" t="s">
        <v>1194</v>
      </c>
      <c r="X473" t="s">
        <v>973</v>
      </c>
      <c r="Y473">
        <v>10000</v>
      </c>
      <c r="Z473" s="2">
        <v>2</v>
      </c>
      <c r="AA473" s="2" t="s">
        <v>1238</v>
      </c>
      <c r="AB473" t="s">
        <v>1238</v>
      </c>
      <c r="AC473">
        <v>781</v>
      </c>
      <c r="AD473" t="s">
        <v>1279</v>
      </c>
      <c r="AE473">
        <v>4</v>
      </c>
      <c r="AF473" t="s">
        <v>1290</v>
      </c>
      <c r="AG473">
        <v>0</v>
      </c>
      <c r="AH473">
        <v>0</v>
      </c>
      <c r="AI473">
        <v>0</v>
      </c>
      <c r="AJ473">
        <v>2022</v>
      </c>
      <c r="AK473" t="s">
        <v>1194</v>
      </c>
      <c r="AL473" t="s">
        <v>1194</v>
      </c>
      <c r="AM473" s="4" t="s">
        <v>1238</v>
      </c>
      <c r="AN473">
        <v>1</v>
      </c>
      <c r="AO473" t="s">
        <v>1316</v>
      </c>
      <c r="AP473">
        <f t="shared" si="14"/>
        <v>0</v>
      </c>
      <c r="AQ473">
        <v>1</v>
      </c>
      <c r="AR473" t="s">
        <v>1992</v>
      </c>
      <c r="AS473" t="s">
        <v>1995</v>
      </c>
      <c r="AT473" t="s">
        <v>1995</v>
      </c>
      <c r="AU473" t="s">
        <v>1996</v>
      </c>
      <c r="AV473" t="s">
        <v>1995</v>
      </c>
      <c r="AW473" t="s">
        <v>1995</v>
      </c>
      <c r="AX473" t="s">
        <v>2006</v>
      </c>
      <c r="AY473" t="s">
        <v>1996</v>
      </c>
      <c r="AZ473">
        <v>5300</v>
      </c>
      <c r="BA473" t="s">
        <v>1194</v>
      </c>
      <c r="BB473" t="s">
        <v>1194</v>
      </c>
      <c r="BC473" s="3">
        <v>7616.3665000000001</v>
      </c>
      <c r="BD473" s="3">
        <v>6232.62</v>
      </c>
      <c r="BE473" s="3">
        <v>0</v>
      </c>
      <c r="BF473" s="3">
        <v>0</v>
      </c>
      <c r="BG473" s="3">
        <v>150</v>
      </c>
      <c r="BH473" s="3">
        <v>0</v>
      </c>
      <c r="BI473" s="3">
        <v>4425</v>
      </c>
      <c r="BJ473" s="3">
        <v>18424</v>
      </c>
      <c r="BK473" s="3">
        <v>700</v>
      </c>
      <c r="BL473" s="3">
        <v>19124</v>
      </c>
      <c r="BM473" s="2">
        <f t="shared" ca="1" si="15"/>
        <v>2</v>
      </c>
      <c r="BN473" s="3">
        <v>100000</v>
      </c>
      <c r="BO473" s="3">
        <v>500000</v>
      </c>
      <c r="BP473" s="3" t="s">
        <v>2922</v>
      </c>
      <c r="BQ473" s="3">
        <v>100000</v>
      </c>
      <c r="BR473" s="3">
        <v>50000</v>
      </c>
      <c r="BS473">
        <v>2000000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 t="s">
        <v>2942</v>
      </c>
      <c r="CA473" t="s">
        <v>2006</v>
      </c>
      <c r="CB473" t="s">
        <v>2006</v>
      </c>
    </row>
    <row r="474" spans="1:80" x14ac:dyDescent="0.25">
      <c r="A474">
        <v>473</v>
      </c>
      <c r="B474" t="s">
        <v>2488</v>
      </c>
      <c r="C474" s="1">
        <v>44657</v>
      </c>
      <c r="D474" s="2">
        <v>12</v>
      </c>
      <c r="E474" t="s">
        <v>4</v>
      </c>
      <c r="F474" t="s">
        <v>1311</v>
      </c>
      <c r="G474">
        <v>1</v>
      </c>
      <c r="H474" s="3">
        <v>2000000</v>
      </c>
      <c r="I474" s="3">
        <v>500000</v>
      </c>
      <c r="J474" s="3">
        <v>0</v>
      </c>
      <c r="K474" s="3">
        <v>0</v>
      </c>
      <c r="L474" s="3" t="s">
        <v>1191</v>
      </c>
      <c r="M474">
        <v>1876961</v>
      </c>
      <c r="N474" t="s">
        <v>855</v>
      </c>
      <c r="P474" t="s">
        <v>332</v>
      </c>
      <c r="Q474" t="s">
        <v>17</v>
      </c>
      <c r="R474">
        <v>29909</v>
      </c>
      <c r="S474" t="s">
        <v>42</v>
      </c>
      <c r="T474" t="s">
        <v>968</v>
      </c>
      <c r="U474">
        <v>0</v>
      </c>
      <c r="V474" t="s">
        <v>1060</v>
      </c>
      <c r="W474" t="s">
        <v>1194</v>
      </c>
      <c r="X474" t="s">
        <v>973</v>
      </c>
      <c r="Y474">
        <v>10000</v>
      </c>
      <c r="Z474" s="2">
        <v>2</v>
      </c>
      <c r="AA474" s="2" t="s">
        <v>1238</v>
      </c>
      <c r="AB474" t="s">
        <v>1238</v>
      </c>
      <c r="AC474">
        <v>715</v>
      </c>
      <c r="AD474" t="s">
        <v>1279</v>
      </c>
      <c r="AE474">
        <v>2</v>
      </c>
      <c r="AF474" t="s">
        <v>1290</v>
      </c>
      <c r="AG474">
        <v>0</v>
      </c>
      <c r="AH474">
        <v>0</v>
      </c>
      <c r="AI474">
        <v>0</v>
      </c>
      <c r="AJ474">
        <v>2022</v>
      </c>
      <c r="AK474" t="s">
        <v>1194</v>
      </c>
      <c r="AL474" t="s">
        <v>1194</v>
      </c>
      <c r="AM474" s="4" t="s">
        <v>1238</v>
      </c>
      <c r="AN474">
        <v>0</v>
      </c>
      <c r="AO474" t="s">
        <v>1315</v>
      </c>
      <c r="AP474">
        <f t="shared" si="14"/>
        <v>0</v>
      </c>
      <c r="AQ474">
        <v>0</v>
      </c>
      <c r="AR474" t="s">
        <v>1993</v>
      </c>
      <c r="AS474" t="s">
        <v>1996</v>
      </c>
      <c r="AT474" t="s">
        <v>1995</v>
      </c>
      <c r="AU474" t="s">
        <v>1996</v>
      </c>
      <c r="AV474" t="s">
        <v>1995</v>
      </c>
      <c r="AW474" t="s">
        <v>1996</v>
      </c>
      <c r="AX474" t="s">
        <v>2006</v>
      </c>
      <c r="AY474" t="s">
        <v>1996</v>
      </c>
      <c r="AZ474">
        <v>2500</v>
      </c>
      <c r="BA474" t="s">
        <v>1194</v>
      </c>
      <c r="BB474" t="s">
        <v>1194</v>
      </c>
      <c r="BC474" s="3">
        <v>4017.1471000000001</v>
      </c>
      <c r="BD474" s="3">
        <v>6442.48</v>
      </c>
      <c r="BE474" s="3">
        <v>0</v>
      </c>
      <c r="BF474" s="3">
        <v>0</v>
      </c>
      <c r="BG474" s="3">
        <v>150</v>
      </c>
      <c r="BH474" s="3">
        <v>0</v>
      </c>
      <c r="BI474" s="3">
        <v>2940</v>
      </c>
      <c r="BJ474" s="3">
        <v>13550</v>
      </c>
      <c r="BK474" s="3">
        <v>1000</v>
      </c>
      <c r="BL474" s="3">
        <v>14550</v>
      </c>
      <c r="BM474" s="2">
        <f t="shared" ca="1" si="15"/>
        <v>1</v>
      </c>
      <c r="BN474" s="3">
        <v>50000</v>
      </c>
      <c r="BO474" s="3">
        <v>100000</v>
      </c>
      <c r="BP474" s="3">
        <v>200000</v>
      </c>
      <c r="BQ474" s="3">
        <v>250000</v>
      </c>
      <c r="BR474" s="3">
        <v>50000</v>
      </c>
      <c r="BS474">
        <v>100000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 t="s">
        <v>2942</v>
      </c>
      <c r="CA474" t="s">
        <v>2006</v>
      </c>
      <c r="CB474" t="s">
        <v>2006</v>
      </c>
    </row>
    <row r="475" spans="1:80" x14ac:dyDescent="0.25">
      <c r="A475">
        <v>474</v>
      </c>
      <c r="B475" t="s">
        <v>2489</v>
      </c>
      <c r="C475" s="1">
        <v>44741</v>
      </c>
      <c r="D475" s="2">
        <v>18</v>
      </c>
      <c r="E475" t="s">
        <v>4</v>
      </c>
      <c r="F475" t="s">
        <v>1311</v>
      </c>
      <c r="G475">
        <v>0</v>
      </c>
      <c r="H475" s="3">
        <v>0</v>
      </c>
      <c r="I475" s="3">
        <v>0</v>
      </c>
      <c r="J475" s="3">
        <v>2990000</v>
      </c>
      <c r="K475" s="3">
        <v>0</v>
      </c>
      <c r="L475" s="3" t="s">
        <v>1192</v>
      </c>
      <c r="M475">
        <v>1879187</v>
      </c>
      <c r="N475" t="s">
        <v>856</v>
      </c>
      <c r="P475" t="s">
        <v>512</v>
      </c>
      <c r="Q475" t="s">
        <v>14</v>
      </c>
      <c r="R475">
        <v>10016</v>
      </c>
      <c r="S475" t="s">
        <v>29</v>
      </c>
      <c r="T475" t="s">
        <v>962</v>
      </c>
      <c r="U475">
        <v>0</v>
      </c>
      <c r="V475" t="s">
        <v>1163</v>
      </c>
      <c r="W475" t="s">
        <v>1194</v>
      </c>
      <c r="X475" t="s">
        <v>973</v>
      </c>
      <c r="Y475">
        <v>25000</v>
      </c>
      <c r="Z475" s="2">
        <v>2</v>
      </c>
      <c r="AA475" s="2" t="s">
        <v>1238</v>
      </c>
      <c r="AB475" t="s">
        <v>1238</v>
      </c>
      <c r="AC475">
        <v>832</v>
      </c>
      <c r="AD475" t="s">
        <v>1281</v>
      </c>
      <c r="AE475">
        <v>1</v>
      </c>
      <c r="AF475" t="s">
        <v>1290</v>
      </c>
      <c r="AG475">
        <v>0</v>
      </c>
      <c r="AH475">
        <v>0</v>
      </c>
      <c r="AI475">
        <v>0</v>
      </c>
      <c r="AJ475">
        <v>2019</v>
      </c>
      <c r="AK475" t="s">
        <v>1194</v>
      </c>
      <c r="AL475" t="s">
        <v>1194</v>
      </c>
      <c r="AM475" s="4" t="s">
        <v>1238</v>
      </c>
      <c r="AN475">
        <v>1</v>
      </c>
      <c r="AO475" t="s">
        <v>1315</v>
      </c>
      <c r="AP475">
        <f t="shared" si="14"/>
        <v>0</v>
      </c>
      <c r="AQ475">
        <v>0</v>
      </c>
      <c r="AR475" t="s">
        <v>1993</v>
      </c>
      <c r="AS475" t="s">
        <v>1996</v>
      </c>
      <c r="AT475" t="s">
        <v>1996</v>
      </c>
      <c r="AU475" t="s">
        <v>1995</v>
      </c>
      <c r="AV475" t="s">
        <v>1995</v>
      </c>
      <c r="AW475" t="s">
        <v>1996</v>
      </c>
      <c r="AX475" t="s">
        <v>2006</v>
      </c>
      <c r="AY475" t="s">
        <v>1996</v>
      </c>
      <c r="AZ475">
        <v>2485</v>
      </c>
      <c r="BA475" t="s">
        <v>1194</v>
      </c>
      <c r="BB475" t="s">
        <v>1194</v>
      </c>
      <c r="BC475" s="3">
        <v>9298.5422999999992</v>
      </c>
      <c r="BD475" s="3">
        <v>1050.71</v>
      </c>
      <c r="BE475" s="3">
        <v>0</v>
      </c>
      <c r="BF475" s="3">
        <v>0</v>
      </c>
      <c r="BG475" s="3">
        <v>0</v>
      </c>
      <c r="BH475" s="3">
        <v>0</v>
      </c>
      <c r="BI475" s="3">
        <v>1685</v>
      </c>
      <c r="BJ475" s="3">
        <v>12034</v>
      </c>
      <c r="BK475" s="3">
        <v>150</v>
      </c>
      <c r="BL475" s="3">
        <v>12184</v>
      </c>
      <c r="BM475" s="2">
        <f t="shared" ca="1" si="15"/>
        <v>5</v>
      </c>
      <c r="BN475" s="3">
        <v>1000000</v>
      </c>
      <c r="BO475" s="3">
        <v>500000</v>
      </c>
      <c r="BP475" s="3">
        <v>200000</v>
      </c>
      <c r="BQ475" s="3">
        <v>500000</v>
      </c>
      <c r="BR475" s="3">
        <v>50000</v>
      </c>
      <c r="BS475">
        <v>2000000</v>
      </c>
      <c r="BT475">
        <v>0</v>
      </c>
      <c r="BU475">
        <v>0</v>
      </c>
      <c r="BV475">
        <v>0</v>
      </c>
      <c r="BW475">
        <v>0</v>
      </c>
      <c r="BX475">
        <v>1</v>
      </c>
      <c r="BY475">
        <v>0</v>
      </c>
      <c r="BZ475" t="s">
        <v>2942</v>
      </c>
      <c r="CA475" t="s">
        <v>2006</v>
      </c>
      <c r="CB475" t="s">
        <v>2946</v>
      </c>
    </row>
    <row r="476" spans="1:80" x14ac:dyDescent="0.25">
      <c r="A476">
        <v>475</v>
      </c>
      <c r="B476" t="s">
        <v>2490</v>
      </c>
      <c r="C476" s="1">
        <v>44672</v>
      </c>
      <c r="D476" s="2">
        <v>12</v>
      </c>
      <c r="E476" t="s">
        <v>4</v>
      </c>
      <c r="F476" t="s">
        <v>1311</v>
      </c>
      <c r="G476">
        <v>1</v>
      </c>
      <c r="H476" s="3">
        <v>2200000</v>
      </c>
      <c r="I476" s="3">
        <v>140000</v>
      </c>
      <c r="J476" s="3">
        <v>350000</v>
      </c>
      <c r="K476" s="3">
        <v>0</v>
      </c>
      <c r="L476" s="3" t="s">
        <v>1191</v>
      </c>
      <c r="M476">
        <v>1876850</v>
      </c>
      <c r="N476" t="s">
        <v>857</v>
      </c>
      <c r="P476" t="s">
        <v>256</v>
      </c>
      <c r="Q476" t="s">
        <v>15</v>
      </c>
      <c r="R476">
        <v>34105</v>
      </c>
      <c r="S476" t="s">
        <v>63</v>
      </c>
      <c r="T476" t="s">
        <v>972</v>
      </c>
      <c r="U476">
        <v>0</v>
      </c>
      <c r="V476" t="s">
        <v>1164</v>
      </c>
      <c r="W476" t="s">
        <v>1194</v>
      </c>
      <c r="X476" t="s">
        <v>973</v>
      </c>
      <c r="Y476">
        <v>25000</v>
      </c>
      <c r="Z476" s="2">
        <v>5</v>
      </c>
      <c r="AA476" s="2" t="s">
        <v>1238</v>
      </c>
      <c r="AB476" t="s">
        <v>1238</v>
      </c>
      <c r="AC476">
        <v>819</v>
      </c>
      <c r="AD476" t="s">
        <v>1280</v>
      </c>
      <c r="AE476">
        <v>3</v>
      </c>
      <c r="AF476" t="s">
        <v>1290</v>
      </c>
      <c r="AG476">
        <v>0</v>
      </c>
      <c r="AH476">
        <v>0</v>
      </c>
      <c r="AI476">
        <v>0</v>
      </c>
      <c r="AJ476">
        <v>1997</v>
      </c>
      <c r="AK476" t="s">
        <v>1194</v>
      </c>
      <c r="AL476">
        <v>2020</v>
      </c>
      <c r="AM476" s="4" t="s">
        <v>1238</v>
      </c>
      <c r="AN476">
        <v>1</v>
      </c>
      <c r="AO476" t="s">
        <v>1315</v>
      </c>
      <c r="AP476">
        <f t="shared" si="14"/>
        <v>0</v>
      </c>
      <c r="AQ476">
        <v>0</v>
      </c>
      <c r="AR476" t="s">
        <v>1993</v>
      </c>
      <c r="AS476" t="s">
        <v>1996</v>
      </c>
      <c r="AT476" t="s">
        <v>1996</v>
      </c>
      <c r="AU476" t="s">
        <v>1995</v>
      </c>
      <c r="AV476" t="s">
        <v>1995</v>
      </c>
      <c r="AW476" t="s">
        <v>1996</v>
      </c>
      <c r="AX476" t="s">
        <v>2008</v>
      </c>
      <c r="AY476" t="s">
        <v>1995</v>
      </c>
      <c r="AZ476">
        <v>3662</v>
      </c>
      <c r="BA476" t="s">
        <v>1194</v>
      </c>
      <c r="BB476" t="s">
        <v>1194</v>
      </c>
      <c r="BC476" s="3">
        <v>4985.6378999999997</v>
      </c>
      <c r="BD476" s="3">
        <v>12920.02</v>
      </c>
      <c r="BE476" s="3">
        <v>0</v>
      </c>
      <c r="BF476" s="3">
        <v>0</v>
      </c>
      <c r="BG476" s="3">
        <v>300</v>
      </c>
      <c r="BH476" s="3">
        <v>0</v>
      </c>
      <c r="BI476" s="3">
        <v>6004</v>
      </c>
      <c r="BJ476" s="3">
        <v>24210</v>
      </c>
      <c r="BK476" s="3">
        <v>825</v>
      </c>
      <c r="BL476" s="3">
        <v>25035</v>
      </c>
      <c r="BM476" s="2">
        <f t="shared" ca="1" si="15"/>
        <v>2</v>
      </c>
      <c r="BN476" s="3">
        <v>50000</v>
      </c>
      <c r="BO476" s="3">
        <v>100000</v>
      </c>
      <c r="BP476" s="3">
        <v>200000</v>
      </c>
      <c r="BQ476" s="3">
        <v>25000</v>
      </c>
      <c r="BR476" s="3">
        <v>250000</v>
      </c>
      <c r="BS476">
        <v>100000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 t="s">
        <v>2940</v>
      </c>
      <c r="CA476" t="s">
        <v>2939</v>
      </c>
      <c r="CB476" t="s">
        <v>2941</v>
      </c>
    </row>
    <row r="477" spans="1:80" x14ac:dyDescent="0.25">
      <c r="A477">
        <v>476</v>
      </c>
      <c r="B477" t="s">
        <v>2491</v>
      </c>
      <c r="C477" s="1">
        <v>44649</v>
      </c>
      <c r="D477" s="2">
        <v>9</v>
      </c>
      <c r="E477" t="s">
        <v>4</v>
      </c>
      <c r="F477" t="s">
        <v>1310</v>
      </c>
      <c r="G477">
        <v>0</v>
      </c>
      <c r="H477" s="3">
        <v>2000000</v>
      </c>
      <c r="I477" s="3">
        <v>100000</v>
      </c>
      <c r="J477" s="3">
        <v>0</v>
      </c>
      <c r="K477" s="3">
        <v>0</v>
      </c>
      <c r="L477" s="3" t="s">
        <v>1191</v>
      </c>
      <c r="M477">
        <v>722874</v>
      </c>
      <c r="N477" t="s">
        <v>858</v>
      </c>
      <c r="P477" t="s">
        <v>859</v>
      </c>
      <c r="Q477" t="s">
        <v>15</v>
      </c>
      <c r="R477">
        <v>33328</v>
      </c>
      <c r="S477" t="s">
        <v>68</v>
      </c>
      <c r="T477" t="s">
        <v>965</v>
      </c>
      <c r="U477">
        <v>0</v>
      </c>
      <c r="V477" t="s">
        <v>1165</v>
      </c>
      <c r="W477" t="s">
        <v>1194</v>
      </c>
      <c r="X477" t="s">
        <v>973</v>
      </c>
      <c r="Y477">
        <v>10000</v>
      </c>
      <c r="Z477" s="2">
        <v>5</v>
      </c>
      <c r="AA477" s="2" t="s">
        <v>1238</v>
      </c>
      <c r="AB477" t="s">
        <v>1238</v>
      </c>
      <c r="AC477">
        <v>854</v>
      </c>
      <c r="AD477" t="s">
        <v>1280</v>
      </c>
      <c r="AE477">
        <v>1</v>
      </c>
      <c r="AF477" t="s">
        <v>1290</v>
      </c>
      <c r="AG477">
        <v>0</v>
      </c>
      <c r="AH477">
        <v>0</v>
      </c>
      <c r="AI477">
        <v>0</v>
      </c>
      <c r="AJ477">
        <v>2003</v>
      </c>
      <c r="AK477" t="s">
        <v>1194</v>
      </c>
      <c r="AL477" t="s">
        <v>1194</v>
      </c>
      <c r="AM477" s="4" t="s">
        <v>1305</v>
      </c>
      <c r="AN477">
        <v>1</v>
      </c>
      <c r="AO477" t="s">
        <v>1315</v>
      </c>
      <c r="AP477">
        <f t="shared" si="14"/>
        <v>0</v>
      </c>
      <c r="AQ477">
        <v>0</v>
      </c>
      <c r="AR477" t="s">
        <v>1993</v>
      </c>
      <c r="AS477" t="s">
        <v>1995</v>
      </c>
      <c r="AT477" t="s">
        <v>1996</v>
      </c>
      <c r="AU477" t="s">
        <v>1995</v>
      </c>
      <c r="AV477" t="s">
        <v>1996</v>
      </c>
      <c r="AW477" t="s">
        <v>1996</v>
      </c>
      <c r="AX477" t="s">
        <v>2007</v>
      </c>
      <c r="AY477" t="s">
        <v>1995</v>
      </c>
      <c r="AZ477">
        <v>3666</v>
      </c>
      <c r="BA477" t="s">
        <v>1194</v>
      </c>
      <c r="BB477" t="s">
        <v>1194</v>
      </c>
      <c r="BC477" s="3">
        <v>4146.4125000000004</v>
      </c>
      <c r="BD477" s="3">
        <v>9216.5400000000009</v>
      </c>
      <c r="BE477" s="3">
        <v>0</v>
      </c>
      <c r="BF477" s="3">
        <v>0</v>
      </c>
      <c r="BG477" s="3">
        <v>300</v>
      </c>
      <c r="BH477" s="3">
        <v>0</v>
      </c>
      <c r="BI477" s="3">
        <v>6287</v>
      </c>
      <c r="BJ477" s="3">
        <v>19950</v>
      </c>
      <c r="BK477" s="3">
        <v>0</v>
      </c>
      <c r="BL477" s="3">
        <v>19950</v>
      </c>
      <c r="BM477" s="2">
        <f t="shared" ca="1" si="15"/>
        <v>4</v>
      </c>
      <c r="BN477" s="3" t="s">
        <v>2916</v>
      </c>
      <c r="BO477" s="3">
        <v>50000</v>
      </c>
      <c r="BP477" s="3">
        <v>50000</v>
      </c>
      <c r="BQ477" s="3">
        <v>25000</v>
      </c>
      <c r="BR477" s="3">
        <v>50000</v>
      </c>
      <c r="BS477">
        <v>100000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 t="s">
        <v>2940</v>
      </c>
      <c r="CA477" t="s">
        <v>2939</v>
      </c>
      <c r="CB477" t="s">
        <v>2941</v>
      </c>
    </row>
    <row r="478" spans="1:80" x14ac:dyDescent="0.25">
      <c r="A478">
        <v>477</v>
      </c>
      <c r="B478" t="s">
        <v>2492</v>
      </c>
      <c r="C478" s="1">
        <v>44662</v>
      </c>
      <c r="D478" s="2">
        <v>12</v>
      </c>
      <c r="E478" t="s">
        <v>4</v>
      </c>
      <c r="F478" t="s">
        <v>1311</v>
      </c>
      <c r="G478">
        <v>0</v>
      </c>
      <c r="H478" s="3">
        <v>3750000</v>
      </c>
      <c r="I478" s="3">
        <v>0</v>
      </c>
      <c r="J478" s="3">
        <v>0</v>
      </c>
      <c r="K478" s="3">
        <v>0</v>
      </c>
      <c r="L478" s="3" t="s">
        <v>1191</v>
      </c>
      <c r="M478">
        <v>1879245</v>
      </c>
      <c r="N478" t="s">
        <v>860</v>
      </c>
      <c r="P478" t="s">
        <v>861</v>
      </c>
      <c r="Q478" t="s">
        <v>19</v>
      </c>
      <c r="R478">
        <v>90254</v>
      </c>
      <c r="S478" t="s">
        <v>46</v>
      </c>
      <c r="T478" t="s">
        <v>977</v>
      </c>
      <c r="U478">
        <v>0</v>
      </c>
      <c r="V478">
        <v>49</v>
      </c>
      <c r="W478" t="s">
        <v>1223</v>
      </c>
      <c r="X478" t="s">
        <v>973</v>
      </c>
      <c r="Y478">
        <v>50000</v>
      </c>
      <c r="Z478" s="2" t="s">
        <v>1194</v>
      </c>
      <c r="AA478" s="2" t="s">
        <v>1238</v>
      </c>
      <c r="AB478" t="s">
        <v>1238</v>
      </c>
      <c r="AC478" t="s">
        <v>1194</v>
      </c>
      <c r="AD478" t="s">
        <v>1279</v>
      </c>
      <c r="AE478">
        <v>2</v>
      </c>
      <c r="AF478" t="s">
        <v>1290</v>
      </c>
      <c r="AG478">
        <v>0</v>
      </c>
      <c r="AH478">
        <v>0</v>
      </c>
      <c r="AI478">
        <v>0</v>
      </c>
      <c r="AJ478">
        <v>2022</v>
      </c>
      <c r="AK478" t="s">
        <v>1194</v>
      </c>
      <c r="AL478" t="s">
        <v>1194</v>
      </c>
      <c r="AM478" s="4" t="s">
        <v>1238</v>
      </c>
      <c r="AN478">
        <v>1</v>
      </c>
      <c r="AO478" t="s">
        <v>1315</v>
      </c>
      <c r="AP478">
        <f t="shared" si="14"/>
        <v>0</v>
      </c>
      <c r="AQ478">
        <v>1</v>
      </c>
      <c r="AR478" t="s">
        <v>1992</v>
      </c>
      <c r="AS478" t="s">
        <v>1996</v>
      </c>
      <c r="AT478" t="s">
        <v>1995</v>
      </c>
      <c r="AU478" t="s">
        <v>1995</v>
      </c>
      <c r="AV478" t="s">
        <v>1995</v>
      </c>
      <c r="AW478" t="s">
        <v>1995</v>
      </c>
      <c r="AX478" t="s">
        <v>1194</v>
      </c>
      <c r="AY478" t="s">
        <v>1996</v>
      </c>
      <c r="AZ478">
        <v>5000</v>
      </c>
      <c r="BA478" t="s">
        <v>1194</v>
      </c>
      <c r="BB478" t="s">
        <v>2014</v>
      </c>
      <c r="BC478" s="3">
        <v>0</v>
      </c>
      <c r="BD478" s="3">
        <v>0</v>
      </c>
      <c r="BE478" s="3">
        <v>14095.23</v>
      </c>
      <c r="BF478" s="3">
        <v>5141.76</v>
      </c>
      <c r="BG478" s="3">
        <v>150</v>
      </c>
      <c r="BH478" s="3">
        <v>0</v>
      </c>
      <c r="BI478" s="3">
        <v>0</v>
      </c>
      <c r="BJ478" s="3">
        <v>19386.990000000002</v>
      </c>
      <c r="BK478" s="3">
        <v>0</v>
      </c>
      <c r="BL478" s="3">
        <v>19386.990000000002</v>
      </c>
      <c r="BM478" s="2">
        <f t="shared" ca="1" si="15"/>
        <v>6</v>
      </c>
      <c r="BN478" s="3">
        <v>1000000</v>
      </c>
      <c r="BO478" s="3">
        <v>2000000</v>
      </c>
      <c r="BP478" s="3">
        <v>50000</v>
      </c>
      <c r="BQ478" s="3">
        <v>100000</v>
      </c>
      <c r="BR478" s="3">
        <v>250000</v>
      </c>
      <c r="BS478">
        <v>100000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 t="s">
        <v>2948</v>
      </c>
      <c r="CA478" t="s">
        <v>1194</v>
      </c>
      <c r="CB478" t="s">
        <v>2949</v>
      </c>
    </row>
    <row r="479" spans="1:80" x14ac:dyDescent="0.25">
      <c r="A479">
        <v>478</v>
      </c>
      <c r="B479" t="s">
        <v>2493</v>
      </c>
      <c r="C479" s="1">
        <v>44721</v>
      </c>
      <c r="D479" s="2">
        <v>18</v>
      </c>
      <c r="E479" t="s">
        <v>4</v>
      </c>
      <c r="F479" t="s">
        <v>1311</v>
      </c>
      <c r="G479">
        <v>0</v>
      </c>
      <c r="H479" s="3">
        <v>5000000</v>
      </c>
      <c r="I479" s="3">
        <v>0</v>
      </c>
      <c r="J479" s="3">
        <v>0</v>
      </c>
      <c r="K479" s="3">
        <v>0</v>
      </c>
      <c r="L479" s="3" t="s">
        <v>1191</v>
      </c>
      <c r="M479">
        <v>1879650</v>
      </c>
      <c r="N479" t="s">
        <v>862</v>
      </c>
      <c r="P479" t="s">
        <v>267</v>
      </c>
      <c r="Q479" t="s">
        <v>19</v>
      </c>
      <c r="R479">
        <v>94027</v>
      </c>
      <c r="S479" t="s">
        <v>66</v>
      </c>
      <c r="T479" t="s">
        <v>975</v>
      </c>
      <c r="U479">
        <v>0</v>
      </c>
      <c r="V479">
        <v>48</v>
      </c>
      <c r="W479" t="s">
        <v>1201</v>
      </c>
      <c r="X479" t="s">
        <v>973</v>
      </c>
      <c r="Y479">
        <v>25000</v>
      </c>
      <c r="Z479" s="2" t="s">
        <v>1194</v>
      </c>
      <c r="AA479" s="2" t="s">
        <v>1238</v>
      </c>
      <c r="AB479" t="s">
        <v>1238</v>
      </c>
      <c r="AC479" t="s">
        <v>1194</v>
      </c>
      <c r="AD479" t="s">
        <v>1279</v>
      </c>
      <c r="AE479">
        <v>2</v>
      </c>
      <c r="AF479" t="s">
        <v>1290</v>
      </c>
      <c r="AG479">
        <v>0</v>
      </c>
      <c r="AH479">
        <v>0</v>
      </c>
      <c r="AI479">
        <v>0</v>
      </c>
      <c r="AJ479">
        <v>2022</v>
      </c>
      <c r="AK479" t="s">
        <v>1194</v>
      </c>
      <c r="AL479" t="s">
        <v>1194</v>
      </c>
      <c r="AM479" s="4" t="s">
        <v>1238</v>
      </c>
      <c r="AN479">
        <v>0</v>
      </c>
      <c r="AO479" t="s">
        <v>1315</v>
      </c>
      <c r="AP479">
        <f t="shared" si="14"/>
        <v>0</v>
      </c>
      <c r="AQ479">
        <v>0</v>
      </c>
      <c r="AR479" t="s">
        <v>1993</v>
      </c>
      <c r="AS479" t="s">
        <v>1995</v>
      </c>
      <c r="AT479" t="s">
        <v>1996</v>
      </c>
      <c r="AU479" t="s">
        <v>1996</v>
      </c>
      <c r="AV479" t="s">
        <v>1996</v>
      </c>
      <c r="AW479" t="s">
        <v>1995</v>
      </c>
      <c r="AX479" t="s">
        <v>1194</v>
      </c>
      <c r="AY479" t="s">
        <v>1996</v>
      </c>
      <c r="AZ479">
        <v>11079</v>
      </c>
      <c r="BA479" t="s">
        <v>1194</v>
      </c>
      <c r="BB479" t="s">
        <v>2014</v>
      </c>
      <c r="BC479" s="3">
        <v>0</v>
      </c>
      <c r="BD479" s="3">
        <v>0</v>
      </c>
      <c r="BE479" s="3">
        <v>26686.58</v>
      </c>
      <c r="BF479" s="3">
        <v>6664.32</v>
      </c>
      <c r="BG479" s="3">
        <v>150</v>
      </c>
      <c r="BH479" s="3">
        <v>0</v>
      </c>
      <c r="BI479" s="3">
        <v>0</v>
      </c>
      <c r="BJ479" s="3">
        <v>33500.9</v>
      </c>
      <c r="BK479" s="3">
        <v>0</v>
      </c>
      <c r="BL479" s="3">
        <v>33500.9</v>
      </c>
      <c r="BM479" s="2">
        <f t="shared" ca="1" si="15"/>
        <v>4</v>
      </c>
      <c r="BN479" s="3">
        <v>1000000</v>
      </c>
      <c r="BO479" s="3">
        <v>250000</v>
      </c>
      <c r="BP479" s="3">
        <v>50000</v>
      </c>
      <c r="BQ479" s="3">
        <v>50000</v>
      </c>
      <c r="BR479" s="3">
        <v>500000</v>
      </c>
      <c r="BS479">
        <v>1000000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0</v>
      </c>
      <c r="BZ479" t="s">
        <v>2950</v>
      </c>
      <c r="CA479" t="s">
        <v>1194</v>
      </c>
      <c r="CB479" t="s">
        <v>2941</v>
      </c>
    </row>
    <row r="480" spans="1:80" x14ac:dyDescent="0.25">
      <c r="A480">
        <v>479</v>
      </c>
      <c r="B480" t="s">
        <v>2494</v>
      </c>
      <c r="C480" s="1">
        <v>44656</v>
      </c>
      <c r="D480" s="2">
        <v>12</v>
      </c>
      <c r="E480" t="s">
        <v>4</v>
      </c>
      <c r="F480" t="s">
        <v>1311</v>
      </c>
      <c r="G480">
        <v>0</v>
      </c>
      <c r="H480" s="3">
        <v>1750000</v>
      </c>
      <c r="I480" s="3">
        <v>300000</v>
      </c>
      <c r="J480" s="3">
        <v>0</v>
      </c>
      <c r="K480" s="3">
        <v>0</v>
      </c>
      <c r="L480" s="3" t="s">
        <v>1191</v>
      </c>
      <c r="M480">
        <v>1882945</v>
      </c>
      <c r="N480" t="s">
        <v>863</v>
      </c>
      <c r="P480" t="s">
        <v>453</v>
      </c>
      <c r="Q480" t="s">
        <v>19</v>
      </c>
      <c r="R480">
        <v>90211</v>
      </c>
      <c r="S480" t="s">
        <v>46</v>
      </c>
      <c r="T480" t="s">
        <v>965</v>
      </c>
      <c r="U480">
        <v>0</v>
      </c>
      <c r="V480">
        <v>34</v>
      </c>
      <c r="W480" t="s">
        <v>1210</v>
      </c>
      <c r="X480" t="s">
        <v>973</v>
      </c>
      <c r="Y480">
        <v>10000</v>
      </c>
      <c r="Z480" s="2" t="s">
        <v>1194</v>
      </c>
      <c r="AA480" s="2" t="s">
        <v>1238</v>
      </c>
      <c r="AB480" t="s">
        <v>1238</v>
      </c>
      <c r="AC480" t="s">
        <v>1194</v>
      </c>
      <c r="AD480" t="s">
        <v>1279</v>
      </c>
      <c r="AE480">
        <v>1</v>
      </c>
      <c r="AF480" t="s">
        <v>1290</v>
      </c>
      <c r="AG480">
        <v>0</v>
      </c>
      <c r="AH480">
        <v>0</v>
      </c>
      <c r="AI480">
        <v>0</v>
      </c>
      <c r="AJ480">
        <v>1926</v>
      </c>
      <c r="AK480">
        <v>2022</v>
      </c>
      <c r="AL480" t="s">
        <v>1194</v>
      </c>
      <c r="AM480" s="4" t="s">
        <v>1238</v>
      </c>
      <c r="AN480">
        <v>1</v>
      </c>
      <c r="AO480" t="s">
        <v>1316</v>
      </c>
      <c r="AP480">
        <f t="shared" si="14"/>
        <v>0</v>
      </c>
      <c r="AQ480">
        <v>0</v>
      </c>
      <c r="AR480" t="s">
        <v>1993</v>
      </c>
      <c r="AS480" t="s">
        <v>1995</v>
      </c>
      <c r="AT480" t="s">
        <v>1996</v>
      </c>
      <c r="AU480" t="s">
        <v>1995</v>
      </c>
      <c r="AV480" t="s">
        <v>1995</v>
      </c>
      <c r="AW480" t="s">
        <v>1996</v>
      </c>
      <c r="AX480" t="s">
        <v>1194</v>
      </c>
      <c r="AY480" t="s">
        <v>1996</v>
      </c>
      <c r="AZ480">
        <v>2110</v>
      </c>
      <c r="BA480" t="s">
        <v>1194</v>
      </c>
      <c r="BB480" t="s">
        <v>2014</v>
      </c>
      <c r="BC480" s="3">
        <v>0</v>
      </c>
      <c r="BD480" s="3">
        <v>0</v>
      </c>
      <c r="BE480" s="3">
        <v>7807.22</v>
      </c>
      <c r="BF480" s="3">
        <v>2568.38</v>
      </c>
      <c r="BG480" s="3">
        <v>150</v>
      </c>
      <c r="BH480" s="3">
        <v>0</v>
      </c>
      <c r="BI480" s="3">
        <v>0</v>
      </c>
      <c r="BJ480" s="3">
        <v>10525.6</v>
      </c>
      <c r="BK480" s="3">
        <v>0</v>
      </c>
      <c r="BL480" s="3">
        <v>10525.6</v>
      </c>
      <c r="BM480" s="2">
        <f t="shared" ca="1" si="15"/>
        <v>5</v>
      </c>
      <c r="BN480" s="3">
        <v>1000000</v>
      </c>
      <c r="BO480" s="3">
        <v>25000</v>
      </c>
      <c r="BP480" s="3">
        <v>50000</v>
      </c>
      <c r="BQ480" s="3">
        <v>50000</v>
      </c>
      <c r="BR480" s="3">
        <v>100000</v>
      </c>
      <c r="BS480">
        <v>250000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 t="s">
        <v>2950</v>
      </c>
      <c r="CA480" t="s">
        <v>1194</v>
      </c>
      <c r="CB480" t="s">
        <v>2941</v>
      </c>
    </row>
    <row r="481" spans="1:80" x14ac:dyDescent="0.25">
      <c r="A481">
        <v>480</v>
      </c>
      <c r="B481" t="s">
        <v>2495</v>
      </c>
      <c r="C481" s="1">
        <v>44713</v>
      </c>
      <c r="D481" s="2">
        <v>18</v>
      </c>
      <c r="E481" t="s">
        <v>4</v>
      </c>
      <c r="F481" t="s">
        <v>1311</v>
      </c>
      <c r="G481">
        <v>1</v>
      </c>
      <c r="H481" s="3">
        <v>1000000</v>
      </c>
      <c r="I481" s="3">
        <v>20000</v>
      </c>
      <c r="J481" s="3">
        <v>0</v>
      </c>
      <c r="K481" s="3">
        <v>20000</v>
      </c>
      <c r="L481" s="3" t="s">
        <v>1191</v>
      </c>
      <c r="M481">
        <v>1890148</v>
      </c>
      <c r="N481" t="s">
        <v>864</v>
      </c>
      <c r="P481" t="s">
        <v>865</v>
      </c>
      <c r="Q481" t="s">
        <v>16</v>
      </c>
      <c r="R481">
        <v>8226</v>
      </c>
      <c r="S481" t="s">
        <v>32</v>
      </c>
      <c r="T481" t="s">
        <v>970</v>
      </c>
      <c r="U481">
        <v>0</v>
      </c>
      <c r="V481" t="s">
        <v>1166</v>
      </c>
      <c r="W481" t="s">
        <v>1194</v>
      </c>
      <c r="X481" t="s">
        <v>973</v>
      </c>
      <c r="Y481">
        <v>2500</v>
      </c>
      <c r="Z481" s="2">
        <v>2</v>
      </c>
      <c r="AA481" s="2" t="s">
        <v>1238</v>
      </c>
      <c r="AB481" t="s">
        <v>1238</v>
      </c>
      <c r="AC481">
        <v>799</v>
      </c>
      <c r="AD481" t="s">
        <v>1279</v>
      </c>
      <c r="AE481">
        <v>3</v>
      </c>
      <c r="AF481" t="s">
        <v>1291</v>
      </c>
      <c r="AG481">
        <v>0</v>
      </c>
      <c r="AH481">
        <v>0</v>
      </c>
      <c r="AI481">
        <v>0</v>
      </c>
      <c r="AJ481">
        <v>2022</v>
      </c>
      <c r="AK481" t="s">
        <v>1194</v>
      </c>
      <c r="AL481" t="s">
        <v>1194</v>
      </c>
      <c r="AM481" s="4" t="s">
        <v>1238</v>
      </c>
      <c r="AN481">
        <v>0</v>
      </c>
      <c r="AO481" t="s">
        <v>1315</v>
      </c>
      <c r="AP481">
        <f t="shared" si="14"/>
        <v>0</v>
      </c>
      <c r="AQ481">
        <v>1</v>
      </c>
      <c r="AR481" t="s">
        <v>1992</v>
      </c>
      <c r="AS481" t="s">
        <v>1995</v>
      </c>
      <c r="AT481" t="s">
        <v>1996</v>
      </c>
      <c r="AU481" t="s">
        <v>1995</v>
      </c>
      <c r="AV481" t="s">
        <v>1996</v>
      </c>
      <c r="AW481" t="s">
        <v>1995</v>
      </c>
      <c r="AX481" t="s">
        <v>2006</v>
      </c>
      <c r="AY481" t="s">
        <v>1996</v>
      </c>
      <c r="AZ481">
        <v>3400</v>
      </c>
      <c r="BA481" t="s">
        <v>1194</v>
      </c>
      <c r="BB481" t="s">
        <v>1194</v>
      </c>
      <c r="BC481" s="3">
        <v>2961.8146000000002</v>
      </c>
      <c r="BD481" s="3">
        <v>1330.42</v>
      </c>
      <c r="BE481" s="3">
        <v>0</v>
      </c>
      <c r="BF481" s="3">
        <v>0</v>
      </c>
      <c r="BG481" s="3">
        <v>120</v>
      </c>
      <c r="BH481" s="3">
        <v>0</v>
      </c>
      <c r="BI481" s="3">
        <v>0</v>
      </c>
      <c r="BJ481" s="3">
        <v>4412</v>
      </c>
      <c r="BK481" s="3">
        <v>0</v>
      </c>
      <c r="BL481" s="3">
        <v>4412</v>
      </c>
      <c r="BM481" s="2">
        <f t="shared" ca="1" si="15"/>
        <v>1</v>
      </c>
      <c r="BN481" s="3" t="s">
        <v>2916</v>
      </c>
      <c r="BO481" s="3">
        <v>50000</v>
      </c>
      <c r="BP481" s="3">
        <v>50000</v>
      </c>
      <c r="BQ481" s="3">
        <v>500000</v>
      </c>
      <c r="BR481" s="3">
        <v>50000</v>
      </c>
      <c r="BS481">
        <v>50000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 t="s">
        <v>2938</v>
      </c>
      <c r="CA481" t="s">
        <v>2006</v>
      </c>
      <c r="CB481" t="s">
        <v>2006</v>
      </c>
    </row>
    <row r="482" spans="1:80" x14ac:dyDescent="0.25">
      <c r="A482">
        <v>481</v>
      </c>
      <c r="B482" t="s">
        <v>2496</v>
      </c>
      <c r="C482" s="1">
        <v>44701</v>
      </c>
      <c r="D482" s="2">
        <v>15</v>
      </c>
      <c r="E482" t="s">
        <v>4</v>
      </c>
      <c r="F482" t="s">
        <v>1311</v>
      </c>
      <c r="G482">
        <v>0</v>
      </c>
      <c r="H482" s="3">
        <v>3200000</v>
      </c>
      <c r="I482" s="3">
        <v>500000</v>
      </c>
      <c r="J482" s="3">
        <v>0</v>
      </c>
      <c r="K482" s="3">
        <v>0</v>
      </c>
      <c r="L482" s="3" t="s">
        <v>1191</v>
      </c>
      <c r="M482">
        <v>1886996</v>
      </c>
      <c r="N482" t="s">
        <v>866</v>
      </c>
      <c r="P482" t="s">
        <v>25</v>
      </c>
      <c r="Q482" t="s">
        <v>13</v>
      </c>
      <c r="R482">
        <v>2554</v>
      </c>
      <c r="S482" t="s">
        <v>25</v>
      </c>
      <c r="T482" t="s">
        <v>963</v>
      </c>
      <c r="U482">
        <v>0</v>
      </c>
      <c r="V482" t="s">
        <v>1167</v>
      </c>
      <c r="W482" t="s">
        <v>1194</v>
      </c>
      <c r="X482" t="s">
        <v>973</v>
      </c>
      <c r="Y482">
        <v>10000</v>
      </c>
      <c r="Z482" s="2">
        <v>2</v>
      </c>
      <c r="AA482" s="2" t="s">
        <v>1238</v>
      </c>
      <c r="AB482" t="s">
        <v>1238</v>
      </c>
      <c r="AC482">
        <v>679</v>
      </c>
      <c r="AD482" t="s">
        <v>1279</v>
      </c>
      <c r="AE482">
        <v>3</v>
      </c>
      <c r="AF482" t="s">
        <v>1290</v>
      </c>
      <c r="AG482">
        <v>0</v>
      </c>
      <c r="AH482">
        <v>0</v>
      </c>
      <c r="AI482">
        <v>0</v>
      </c>
      <c r="AJ482">
        <v>2022</v>
      </c>
      <c r="AK482" t="s">
        <v>1194</v>
      </c>
      <c r="AL482" t="s">
        <v>1194</v>
      </c>
      <c r="AM482" s="4" t="s">
        <v>1238</v>
      </c>
      <c r="AN482">
        <v>1</v>
      </c>
      <c r="AO482" t="s">
        <v>1315</v>
      </c>
      <c r="AP482">
        <f t="shared" si="14"/>
        <v>0</v>
      </c>
      <c r="AQ482">
        <v>1</v>
      </c>
      <c r="AR482" t="s">
        <v>1992</v>
      </c>
      <c r="AS482" t="s">
        <v>1996</v>
      </c>
      <c r="AT482" t="s">
        <v>1995</v>
      </c>
      <c r="AU482" t="s">
        <v>1996</v>
      </c>
      <c r="AV482" t="s">
        <v>1996</v>
      </c>
      <c r="AW482" t="s">
        <v>1996</v>
      </c>
      <c r="AX482" t="s">
        <v>2006</v>
      </c>
      <c r="AY482" t="s">
        <v>1996</v>
      </c>
      <c r="AZ482">
        <v>5390</v>
      </c>
      <c r="BA482" t="s">
        <v>1194</v>
      </c>
      <c r="BB482" t="s">
        <v>1194</v>
      </c>
      <c r="BC482" s="3">
        <v>7007.0555999999997</v>
      </c>
      <c r="BD482" s="3">
        <v>9121.36</v>
      </c>
      <c r="BE482" s="3">
        <v>0</v>
      </c>
      <c r="BF482" s="3">
        <v>0</v>
      </c>
      <c r="BG482" s="3">
        <v>150</v>
      </c>
      <c r="BH482" s="3">
        <v>0</v>
      </c>
      <c r="BI482" s="3">
        <v>402</v>
      </c>
      <c r="BJ482" s="3">
        <v>16680</v>
      </c>
      <c r="BK482" s="3">
        <v>400</v>
      </c>
      <c r="BL482" s="3">
        <v>17080</v>
      </c>
      <c r="BM482" s="2">
        <f t="shared" ca="1" si="15"/>
        <v>2</v>
      </c>
      <c r="BN482" s="3">
        <v>250000</v>
      </c>
      <c r="BO482" s="3">
        <v>50000</v>
      </c>
      <c r="BP482" s="3">
        <v>50000</v>
      </c>
      <c r="BQ482" s="3">
        <v>500000</v>
      </c>
      <c r="BR482" s="3">
        <v>50000</v>
      </c>
      <c r="BS482">
        <v>100000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 t="s">
        <v>2006</v>
      </c>
      <c r="CA482" t="s">
        <v>2006</v>
      </c>
      <c r="CB482" t="s">
        <v>2006</v>
      </c>
    </row>
    <row r="483" spans="1:80" x14ac:dyDescent="0.25">
      <c r="A483">
        <v>482</v>
      </c>
      <c r="B483" t="s">
        <v>2497</v>
      </c>
      <c r="C483" s="1">
        <v>44737</v>
      </c>
      <c r="D483" s="2">
        <v>18</v>
      </c>
      <c r="E483" t="s">
        <v>4</v>
      </c>
      <c r="F483" t="s">
        <v>1311</v>
      </c>
      <c r="G483">
        <v>1</v>
      </c>
      <c r="H483" s="3">
        <v>8326500</v>
      </c>
      <c r="I483" s="3">
        <v>1673500</v>
      </c>
      <c r="J483" s="3">
        <v>0</v>
      </c>
      <c r="K483" s="3">
        <v>0</v>
      </c>
      <c r="L483" s="3" t="s">
        <v>1191</v>
      </c>
      <c r="M483">
        <v>1888900</v>
      </c>
      <c r="N483" t="s">
        <v>867</v>
      </c>
      <c r="P483" t="s">
        <v>868</v>
      </c>
      <c r="Q483" t="s">
        <v>19</v>
      </c>
      <c r="R483">
        <v>94705</v>
      </c>
      <c r="S483" t="s">
        <v>104</v>
      </c>
      <c r="T483" t="s">
        <v>975</v>
      </c>
      <c r="U483">
        <v>0</v>
      </c>
      <c r="V483">
        <v>45</v>
      </c>
      <c r="W483" t="s">
        <v>952</v>
      </c>
      <c r="X483" t="s">
        <v>973</v>
      </c>
      <c r="Y483">
        <v>25000</v>
      </c>
      <c r="Z483" s="2" t="s">
        <v>1194</v>
      </c>
      <c r="AA483" s="2" t="s">
        <v>1238</v>
      </c>
      <c r="AB483" t="s">
        <v>1238</v>
      </c>
      <c r="AC483" t="s">
        <v>1194</v>
      </c>
      <c r="AD483" t="s">
        <v>1279</v>
      </c>
      <c r="AE483">
        <v>1</v>
      </c>
      <c r="AF483" t="s">
        <v>1290</v>
      </c>
      <c r="AG483">
        <v>0</v>
      </c>
      <c r="AH483">
        <v>0</v>
      </c>
      <c r="AI483">
        <v>0</v>
      </c>
      <c r="AJ483">
        <v>2022</v>
      </c>
      <c r="AK483" t="s">
        <v>1194</v>
      </c>
      <c r="AL483" t="s">
        <v>1194</v>
      </c>
      <c r="AM483" s="4" t="s">
        <v>1238</v>
      </c>
      <c r="AN483">
        <v>1</v>
      </c>
      <c r="AO483" t="s">
        <v>1317</v>
      </c>
      <c r="AP483">
        <f t="shared" si="14"/>
        <v>0</v>
      </c>
      <c r="AQ483">
        <v>0</v>
      </c>
      <c r="AR483" t="s">
        <v>1993</v>
      </c>
      <c r="AS483" t="s">
        <v>1996</v>
      </c>
      <c r="AT483" t="s">
        <v>1995</v>
      </c>
      <c r="AU483" t="s">
        <v>1995</v>
      </c>
      <c r="AV483" t="s">
        <v>1995</v>
      </c>
      <c r="AW483" t="s">
        <v>1995</v>
      </c>
      <c r="AX483" t="s">
        <v>1194</v>
      </c>
      <c r="AY483" t="s">
        <v>1996</v>
      </c>
      <c r="AZ483">
        <v>8000</v>
      </c>
      <c r="BA483">
        <v>0</v>
      </c>
      <c r="BB483" t="s">
        <v>2017</v>
      </c>
      <c r="BC483" s="3">
        <v>0</v>
      </c>
      <c r="BD483" s="3">
        <v>0</v>
      </c>
      <c r="BE483" s="3">
        <v>11413.98</v>
      </c>
      <c r="BF483" s="3">
        <v>32866.9</v>
      </c>
      <c r="BG483" s="3">
        <v>150</v>
      </c>
      <c r="BH483" s="3">
        <v>0</v>
      </c>
      <c r="BI483" s="3">
        <v>8500</v>
      </c>
      <c r="BJ483" s="3">
        <v>52930.879999999997</v>
      </c>
      <c r="BK483" s="3">
        <v>0</v>
      </c>
      <c r="BL483" s="3">
        <v>52930.879999999997</v>
      </c>
      <c r="BM483" s="2">
        <f t="shared" ca="1" si="15"/>
        <v>2</v>
      </c>
      <c r="BN483" s="3">
        <v>500000</v>
      </c>
      <c r="BO483" s="3">
        <v>500000</v>
      </c>
      <c r="BP483" s="3">
        <v>50000</v>
      </c>
      <c r="BQ483" s="3">
        <v>25000</v>
      </c>
      <c r="BR483" s="3">
        <v>250000</v>
      </c>
      <c r="BS483">
        <v>250000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 t="s">
        <v>2950</v>
      </c>
      <c r="CA483" t="s">
        <v>1194</v>
      </c>
      <c r="CB483" t="s">
        <v>2949</v>
      </c>
    </row>
    <row r="484" spans="1:80" x14ac:dyDescent="0.25">
      <c r="A484">
        <v>483</v>
      </c>
      <c r="B484" t="s">
        <v>2498</v>
      </c>
      <c r="C484" s="1">
        <v>44673</v>
      </c>
      <c r="D484" s="2">
        <v>12</v>
      </c>
      <c r="E484" t="s">
        <v>4</v>
      </c>
      <c r="F484" t="s">
        <v>1311</v>
      </c>
      <c r="G484">
        <v>0</v>
      </c>
      <c r="H484" s="3">
        <v>1400000</v>
      </c>
      <c r="I484" s="3">
        <v>0</v>
      </c>
      <c r="J484" s="3">
        <v>0</v>
      </c>
      <c r="K484" s="3">
        <v>0</v>
      </c>
      <c r="L484" s="3" t="s">
        <v>1191</v>
      </c>
      <c r="M484">
        <v>1890443</v>
      </c>
      <c r="N484" t="s">
        <v>869</v>
      </c>
      <c r="P484" t="s">
        <v>870</v>
      </c>
      <c r="Q484" t="s">
        <v>16</v>
      </c>
      <c r="R484">
        <v>8008</v>
      </c>
      <c r="S484" t="s">
        <v>70</v>
      </c>
      <c r="T484" t="s">
        <v>970</v>
      </c>
      <c r="U484">
        <v>0</v>
      </c>
      <c r="V484" t="s">
        <v>1146</v>
      </c>
      <c r="W484" t="s">
        <v>1194</v>
      </c>
      <c r="X484" t="s">
        <v>973</v>
      </c>
      <c r="Y484">
        <v>10000</v>
      </c>
      <c r="Z484" s="2">
        <v>2</v>
      </c>
      <c r="AA484" s="2" t="s">
        <v>1238</v>
      </c>
      <c r="AB484" t="s">
        <v>1238</v>
      </c>
      <c r="AC484">
        <v>727</v>
      </c>
      <c r="AD484" t="s">
        <v>1279</v>
      </c>
      <c r="AE484">
        <v>5</v>
      </c>
      <c r="AF484" t="s">
        <v>1291</v>
      </c>
      <c r="AG484">
        <v>0</v>
      </c>
      <c r="AH484">
        <v>0</v>
      </c>
      <c r="AI484">
        <v>0</v>
      </c>
      <c r="AJ484">
        <v>2022</v>
      </c>
      <c r="AK484" t="s">
        <v>1194</v>
      </c>
      <c r="AL484" t="s">
        <v>1194</v>
      </c>
      <c r="AM484" s="4" t="s">
        <v>1238</v>
      </c>
      <c r="AN484">
        <v>0</v>
      </c>
      <c r="AO484" t="s">
        <v>1316</v>
      </c>
      <c r="AP484">
        <f t="shared" si="14"/>
        <v>0</v>
      </c>
      <c r="AQ484">
        <v>0</v>
      </c>
      <c r="AR484" t="s">
        <v>1993</v>
      </c>
      <c r="AS484" t="s">
        <v>1995</v>
      </c>
      <c r="AT484" t="s">
        <v>1995</v>
      </c>
      <c r="AU484" t="s">
        <v>1995</v>
      </c>
      <c r="AV484" t="s">
        <v>1995</v>
      </c>
      <c r="AW484" t="s">
        <v>1995</v>
      </c>
      <c r="AX484" t="s">
        <v>2006</v>
      </c>
      <c r="AY484" t="s">
        <v>1996</v>
      </c>
      <c r="AZ484">
        <v>2400</v>
      </c>
      <c r="BA484" t="s">
        <v>1194</v>
      </c>
      <c r="BB484" t="s">
        <v>1194</v>
      </c>
      <c r="BC484" s="3">
        <v>2850.7840000000001</v>
      </c>
      <c r="BD484" s="3">
        <v>3702.45</v>
      </c>
      <c r="BE484" s="3">
        <v>0</v>
      </c>
      <c r="BF484" s="3">
        <v>0</v>
      </c>
      <c r="BG484" s="3">
        <v>150</v>
      </c>
      <c r="BH484" s="3">
        <v>0</v>
      </c>
      <c r="BI484" s="3">
        <v>1005</v>
      </c>
      <c r="BJ484" s="3">
        <v>7708</v>
      </c>
      <c r="BK484" s="3">
        <v>150</v>
      </c>
      <c r="BL484" s="3">
        <v>7858</v>
      </c>
      <c r="BM484" s="2">
        <f t="shared" ca="1" si="15"/>
        <v>4</v>
      </c>
      <c r="BN484" s="3">
        <v>2000000</v>
      </c>
      <c r="BO484" s="3">
        <v>2000000</v>
      </c>
      <c r="BP484" s="3">
        <v>50000</v>
      </c>
      <c r="BQ484" s="3">
        <v>1000000</v>
      </c>
      <c r="BR484" s="3">
        <v>500000</v>
      </c>
      <c r="BS484">
        <v>1000000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 t="s">
        <v>2942</v>
      </c>
      <c r="CA484" t="s">
        <v>2006</v>
      </c>
      <c r="CB484" t="s">
        <v>2006</v>
      </c>
    </row>
    <row r="485" spans="1:80" x14ac:dyDescent="0.25">
      <c r="A485">
        <v>484</v>
      </c>
      <c r="B485" t="s">
        <v>2499</v>
      </c>
      <c r="C485" s="1">
        <v>44677</v>
      </c>
      <c r="D485" s="2">
        <v>12</v>
      </c>
      <c r="E485" t="s">
        <v>5</v>
      </c>
      <c r="F485" t="s">
        <v>1310</v>
      </c>
      <c r="G485">
        <v>0</v>
      </c>
      <c r="H485" s="3">
        <v>5000000</v>
      </c>
      <c r="I485" s="3">
        <v>0</v>
      </c>
      <c r="J485" s="3">
        <v>0</v>
      </c>
      <c r="K485" s="3">
        <v>0</v>
      </c>
      <c r="L485" s="3" t="s">
        <v>1191</v>
      </c>
      <c r="M485">
        <v>1893871</v>
      </c>
      <c r="N485" t="s">
        <v>871</v>
      </c>
      <c r="P485" t="s">
        <v>872</v>
      </c>
      <c r="Q485" t="s">
        <v>15</v>
      </c>
      <c r="R485">
        <v>33021</v>
      </c>
      <c r="S485" t="s">
        <v>68</v>
      </c>
      <c r="T485" t="s">
        <v>972</v>
      </c>
      <c r="U485">
        <v>0</v>
      </c>
      <c r="V485" t="s">
        <v>1168</v>
      </c>
      <c r="W485" t="s">
        <v>1194</v>
      </c>
      <c r="X485" t="s">
        <v>973</v>
      </c>
      <c r="Y485">
        <v>250000</v>
      </c>
      <c r="Z485" s="2">
        <v>25</v>
      </c>
      <c r="AA485" s="2" t="s">
        <v>1238</v>
      </c>
      <c r="AB485" t="s">
        <v>1238</v>
      </c>
      <c r="AC485">
        <v>746</v>
      </c>
      <c r="AD485" t="s">
        <v>1280</v>
      </c>
      <c r="AE485">
        <v>1</v>
      </c>
      <c r="AF485" t="s">
        <v>1290</v>
      </c>
      <c r="AG485">
        <v>0</v>
      </c>
      <c r="AH485">
        <v>0</v>
      </c>
      <c r="AI485">
        <v>0</v>
      </c>
      <c r="AJ485">
        <v>1987</v>
      </c>
      <c r="AK485">
        <v>2022</v>
      </c>
      <c r="AL485">
        <v>2022</v>
      </c>
      <c r="AM485" s="4" t="s">
        <v>1304</v>
      </c>
      <c r="AN485">
        <v>1</v>
      </c>
      <c r="AO485" t="s">
        <v>1315</v>
      </c>
      <c r="AP485">
        <f t="shared" si="14"/>
        <v>0</v>
      </c>
      <c r="AQ485">
        <v>1</v>
      </c>
      <c r="AR485" t="s">
        <v>1992</v>
      </c>
      <c r="AS485" t="s">
        <v>1995</v>
      </c>
      <c r="AT485" t="s">
        <v>1996</v>
      </c>
      <c r="AU485" t="s">
        <v>1995</v>
      </c>
      <c r="AV485" t="s">
        <v>1995</v>
      </c>
      <c r="AW485" t="s">
        <v>1995</v>
      </c>
      <c r="AX485" t="s">
        <v>2007</v>
      </c>
      <c r="AY485" t="s">
        <v>1995</v>
      </c>
      <c r="AZ485">
        <v>10800</v>
      </c>
      <c r="BA485" t="s">
        <v>1194</v>
      </c>
      <c r="BB485" t="s">
        <v>1194</v>
      </c>
      <c r="BC485" s="3">
        <v>4359.7829000000002</v>
      </c>
      <c r="BD485" s="3">
        <v>5762.47</v>
      </c>
      <c r="BE485" s="3">
        <v>0</v>
      </c>
      <c r="BF485" s="3">
        <v>0</v>
      </c>
      <c r="BG485" s="3">
        <v>300</v>
      </c>
      <c r="BH485" s="3">
        <v>0</v>
      </c>
      <c r="BI485" s="3">
        <v>24928</v>
      </c>
      <c r="BJ485" s="3">
        <v>35350</v>
      </c>
      <c r="BK485" s="3">
        <v>400</v>
      </c>
      <c r="BL485" s="3">
        <v>35750</v>
      </c>
      <c r="BM485" s="2">
        <f t="shared" ca="1" si="15"/>
        <v>0</v>
      </c>
      <c r="BN485" s="3">
        <v>100000</v>
      </c>
      <c r="BO485" s="3">
        <v>25000</v>
      </c>
      <c r="BP485" s="3" t="s">
        <v>2922</v>
      </c>
      <c r="BQ485" s="3">
        <v>250000</v>
      </c>
      <c r="BR485" s="3">
        <v>500000</v>
      </c>
      <c r="BS485">
        <v>2000000</v>
      </c>
      <c r="BT485">
        <v>0</v>
      </c>
      <c r="BU485">
        <v>0</v>
      </c>
      <c r="BV485">
        <v>1</v>
      </c>
      <c r="BW485">
        <v>0</v>
      </c>
      <c r="BX485">
        <v>0</v>
      </c>
      <c r="BY485">
        <v>0</v>
      </c>
      <c r="BZ485" t="s">
        <v>2938</v>
      </c>
      <c r="CA485" t="s">
        <v>2939</v>
      </c>
      <c r="CB485" t="s">
        <v>2941</v>
      </c>
    </row>
    <row r="486" spans="1:80" x14ac:dyDescent="0.25">
      <c r="A486">
        <v>485</v>
      </c>
      <c r="B486" t="s">
        <v>2500</v>
      </c>
      <c r="C486" s="1">
        <v>44671</v>
      </c>
      <c r="D486" s="2">
        <v>12</v>
      </c>
      <c r="E486" t="s">
        <v>4</v>
      </c>
      <c r="F486" t="s">
        <v>1311</v>
      </c>
      <c r="G486">
        <v>1</v>
      </c>
      <c r="H486" s="3">
        <v>2758000</v>
      </c>
      <c r="I486" s="3">
        <v>495000</v>
      </c>
      <c r="J486" s="3">
        <v>0</v>
      </c>
      <c r="K486" s="3">
        <v>0</v>
      </c>
      <c r="L486" s="3" t="s">
        <v>1191</v>
      </c>
      <c r="M486">
        <v>1894086</v>
      </c>
      <c r="N486" t="s">
        <v>873</v>
      </c>
      <c r="P486" t="s">
        <v>811</v>
      </c>
      <c r="Q486" t="s">
        <v>14</v>
      </c>
      <c r="R486">
        <v>11932</v>
      </c>
      <c r="S486" t="s">
        <v>26</v>
      </c>
      <c r="T486" t="s">
        <v>962</v>
      </c>
      <c r="U486">
        <v>0</v>
      </c>
      <c r="V486" t="s">
        <v>1155</v>
      </c>
      <c r="W486" t="s">
        <v>1194</v>
      </c>
      <c r="X486" t="s">
        <v>973</v>
      </c>
      <c r="Y486">
        <v>10000</v>
      </c>
      <c r="Z486" s="2">
        <v>2</v>
      </c>
      <c r="AA486" s="2" t="s">
        <v>1238</v>
      </c>
      <c r="AB486" t="s">
        <v>1238</v>
      </c>
      <c r="AC486">
        <v>821</v>
      </c>
      <c r="AD486" t="s">
        <v>1279</v>
      </c>
      <c r="AE486">
        <v>4</v>
      </c>
      <c r="AF486" t="s">
        <v>1290</v>
      </c>
      <c r="AG486">
        <v>0</v>
      </c>
      <c r="AH486">
        <v>0</v>
      </c>
      <c r="AI486">
        <v>0</v>
      </c>
      <c r="AJ486">
        <v>2022</v>
      </c>
      <c r="AK486" t="s">
        <v>1194</v>
      </c>
      <c r="AL486" t="s">
        <v>1194</v>
      </c>
      <c r="AM486" s="4" t="s">
        <v>1238</v>
      </c>
      <c r="AN486">
        <v>0</v>
      </c>
      <c r="AO486" t="s">
        <v>1315</v>
      </c>
      <c r="AP486">
        <f t="shared" si="14"/>
        <v>0</v>
      </c>
      <c r="AQ486">
        <v>0</v>
      </c>
      <c r="AR486" t="s">
        <v>1993</v>
      </c>
      <c r="AS486" t="s">
        <v>1995</v>
      </c>
      <c r="AT486" t="s">
        <v>1996</v>
      </c>
      <c r="AU486" t="s">
        <v>1995</v>
      </c>
      <c r="AV486" t="s">
        <v>1995</v>
      </c>
      <c r="AW486" t="s">
        <v>1996</v>
      </c>
      <c r="AX486" t="s">
        <v>2006</v>
      </c>
      <c r="AY486" t="s">
        <v>1996</v>
      </c>
      <c r="AZ486">
        <v>4500</v>
      </c>
      <c r="BA486" t="s">
        <v>1194</v>
      </c>
      <c r="BB486" t="s">
        <v>1194</v>
      </c>
      <c r="BC486" s="3">
        <v>7344.8393999999998</v>
      </c>
      <c r="BD486" s="3">
        <v>3751.69</v>
      </c>
      <c r="BE486" s="3">
        <v>0</v>
      </c>
      <c r="BF486" s="3">
        <v>0</v>
      </c>
      <c r="BG486" s="3">
        <v>150</v>
      </c>
      <c r="BH486" s="3">
        <v>0</v>
      </c>
      <c r="BI486" s="3">
        <v>3717.27</v>
      </c>
      <c r="BJ486" s="3">
        <v>14964</v>
      </c>
      <c r="BK486" s="3">
        <v>150</v>
      </c>
      <c r="BL486" s="3">
        <v>15114</v>
      </c>
      <c r="BM486" s="2">
        <f t="shared" ca="1" si="15"/>
        <v>1</v>
      </c>
      <c r="BN486" s="3">
        <v>100000</v>
      </c>
      <c r="BO486" s="3">
        <v>1000000</v>
      </c>
      <c r="BP486" s="3">
        <v>100000</v>
      </c>
      <c r="BQ486" s="3">
        <v>50000</v>
      </c>
      <c r="BR486" s="3">
        <v>500000</v>
      </c>
      <c r="BS486">
        <v>50000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 t="s">
        <v>2942</v>
      </c>
      <c r="CA486" t="s">
        <v>2006</v>
      </c>
      <c r="CB486" t="s">
        <v>2006</v>
      </c>
    </row>
    <row r="487" spans="1:80" x14ac:dyDescent="0.25">
      <c r="A487">
        <v>486</v>
      </c>
      <c r="B487" t="s">
        <v>2501</v>
      </c>
      <c r="C487" s="1">
        <v>44862</v>
      </c>
      <c r="D487" s="2">
        <v>30</v>
      </c>
      <c r="E487" t="s">
        <v>4</v>
      </c>
      <c r="F487" t="s">
        <v>1311</v>
      </c>
      <c r="G487">
        <v>0</v>
      </c>
      <c r="H487" s="3">
        <v>1400000</v>
      </c>
      <c r="I487" s="3">
        <v>50000</v>
      </c>
      <c r="J487" s="3">
        <v>0</v>
      </c>
      <c r="K487" s="3">
        <v>0</v>
      </c>
      <c r="L487" s="3" t="s">
        <v>1191</v>
      </c>
      <c r="M487">
        <v>1892622</v>
      </c>
      <c r="N487" t="s">
        <v>874</v>
      </c>
      <c r="P487" t="s">
        <v>163</v>
      </c>
      <c r="Q487" t="s">
        <v>18</v>
      </c>
      <c r="R487">
        <v>78703</v>
      </c>
      <c r="S487" t="s">
        <v>39</v>
      </c>
      <c r="T487" t="s">
        <v>973</v>
      </c>
      <c r="U487">
        <v>0</v>
      </c>
      <c r="V487">
        <v>1000</v>
      </c>
      <c r="W487" t="s">
        <v>1195</v>
      </c>
      <c r="X487" t="s">
        <v>973</v>
      </c>
      <c r="Y487">
        <v>10000</v>
      </c>
      <c r="Z487" s="2" t="s">
        <v>1194</v>
      </c>
      <c r="AA487" s="2">
        <v>0</v>
      </c>
      <c r="AB487" t="s">
        <v>1238</v>
      </c>
      <c r="AC487">
        <v>851</v>
      </c>
      <c r="AD487" t="s">
        <v>1284</v>
      </c>
      <c r="AE487">
        <v>1</v>
      </c>
      <c r="AF487" t="s">
        <v>1290</v>
      </c>
      <c r="AG487">
        <v>0</v>
      </c>
      <c r="AH487">
        <v>0</v>
      </c>
      <c r="AI487">
        <v>0</v>
      </c>
      <c r="AJ487">
        <v>2010</v>
      </c>
      <c r="AK487" t="s">
        <v>1194</v>
      </c>
      <c r="AL487" t="s">
        <v>1194</v>
      </c>
      <c r="AM487" s="4" t="s">
        <v>1238</v>
      </c>
      <c r="AN487">
        <v>1</v>
      </c>
      <c r="AO487" t="s">
        <v>1315</v>
      </c>
      <c r="AP487">
        <f t="shared" si="14"/>
        <v>0</v>
      </c>
      <c r="AQ487">
        <v>1</v>
      </c>
      <c r="AR487" t="s">
        <v>1992</v>
      </c>
      <c r="AS487" t="s">
        <v>1995</v>
      </c>
      <c r="AT487" t="s">
        <v>1995</v>
      </c>
      <c r="AU487" t="s">
        <v>1996</v>
      </c>
      <c r="AV487" t="s">
        <v>1996</v>
      </c>
      <c r="AW487" t="s">
        <v>1996</v>
      </c>
      <c r="AX487" t="s">
        <v>2006</v>
      </c>
      <c r="AY487" t="s">
        <v>1996</v>
      </c>
      <c r="AZ487">
        <v>2952</v>
      </c>
      <c r="BA487" t="s">
        <v>1194</v>
      </c>
      <c r="BB487" t="s">
        <v>1194</v>
      </c>
      <c r="BC487" s="3">
        <v>4956.4831000000004</v>
      </c>
      <c r="BD487" s="3">
        <v>1898.21</v>
      </c>
      <c r="BE487" s="3">
        <v>0</v>
      </c>
      <c r="BF487" s="3">
        <v>0</v>
      </c>
      <c r="BG487" s="3">
        <v>150</v>
      </c>
      <c r="BH487" s="3">
        <v>0</v>
      </c>
      <c r="BI487" s="3">
        <v>3580</v>
      </c>
      <c r="BJ487" s="3">
        <v>10585</v>
      </c>
      <c r="BK487" s="3">
        <v>0</v>
      </c>
      <c r="BL487" s="3">
        <v>10585</v>
      </c>
      <c r="BM487" s="2">
        <f t="shared" ca="1" si="15"/>
        <v>2</v>
      </c>
      <c r="BN487" s="3">
        <v>1000000</v>
      </c>
      <c r="BO487" s="3">
        <v>25000</v>
      </c>
      <c r="BP487" s="3">
        <v>100000</v>
      </c>
      <c r="BQ487" s="3">
        <v>50000</v>
      </c>
      <c r="BR487" s="3">
        <v>250000</v>
      </c>
      <c r="BS487">
        <v>1000000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 t="s">
        <v>2942</v>
      </c>
      <c r="CA487" t="s">
        <v>2006</v>
      </c>
      <c r="CB487" t="s">
        <v>2006</v>
      </c>
    </row>
    <row r="488" spans="1:80" x14ac:dyDescent="0.25">
      <c r="A488">
        <v>487</v>
      </c>
      <c r="B488" t="s">
        <v>2502</v>
      </c>
      <c r="C488" s="1">
        <v>44671</v>
      </c>
      <c r="D488" s="2">
        <v>12</v>
      </c>
      <c r="E488" t="s">
        <v>4</v>
      </c>
      <c r="F488" t="s">
        <v>1311</v>
      </c>
      <c r="G488">
        <v>1</v>
      </c>
      <c r="H488" s="3">
        <v>2000000</v>
      </c>
      <c r="I488" s="3">
        <v>100000</v>
      </c>
      <c r="J488" s="3">
        <v>0</v>
      </c>
      <c r="K488" s="3">
        <v>0</v>
      </c>
      <c r="L488" s="3" t="s">
        <v>1191</v>
      </c>
      <c r="M488">
        <v>1893733</v>
      </c>
      <c r="N488" t="s">
        <v>875</v>
      </c>
      <c r="P488" t="s">
        <v>876</v>
      </c>
      <c r="Q488" t="s">
        <v>16</v>
      </c>
      <c r="R488">
        <v>7928</v>
      </c>
      <c r="S488" t="s">
        <v>98</v>
      </c>
      <c r="T488" t="s">
        <v>973</v>
      </c>
      <c r="U488">
        <v>0</v>
      </c>
      <c r="V488" t="s">
        <v>1144</v>
      </c>
      <c r="W488" t="s">
        <v>1194</v>
      </c>
      <c r="X488" t="s">
        <v>973</v>
      </c>
      <c r="Y488">
        <v>10000</v>
      </c>
      <c r="Z488" s="2" t="s">
        <v>1194</v>
      </c>
      <c r="AA488" s="2" t="s">
        <v>1238</v>
      </c>
      <c r="AB488" t="s">
        <v>1238</v>
      </c>
      <c r="AC488">
        <v>777</v>
      </c>
      <c r="AD488" t="s">
        <v>1279</v>
      </c>
      <c r="AE488">
        <v>3</v>
      </c>
      <c r="AF488" t="s">
        <v>1290</v>
      </c>
      <c r="AG488">
        <v>0</v>
      </c>
      <c r="AH488">
        <v>0</v>
      </c>
      <c r="AI488">
        <v>0</v>
      </c>
      <c r="AJ488">
        <v>1949</v>
      </c>
      <c r="AK488">
        <v>2022</v>
      </c>
      <c r="AL488">
        <v>2022</v>
      </c>
      <c r="AM488" s="4" t="s">
        <v>1238</v>
      </c>
      <c r="AN488">
        <v>0</v>
      </c>
      <c r="AO488" t="s">
        <v>1315</v>
      </c>
      <c r="AP488">
        <f t="shared" si="14"/>
        <v>0</v>
      </c>
      <c r="AQ488">
        <v>0</v>
      </c>
      <c r="AR488" t="s">
        <v>1993</v>
      </c>
      <c r="AS488" t="s">
        <v>1996</v>
      </c>
      <c r="AT488" t="s">
        <v>1995</v>
      </c>
      <c r="AU488" t="s">
        <v>1995</v>
      </c>
      <c r="AV488" t="s">
        <v>1996</v>
      </c>
      <c r="AW488" t="s">
        <v>1996</v>
      </c>
      <c r="AX488" t="s">
        <v>2006</v>
      </c>
      <c r="AY488" t="s">
        <v>1996</v>
      </c>
      <c r="AZ488">
        <v>4224</v>
      </c>
      <c r="BA488" t="s">
        <v>1194</v>
      </c>
      <c r="BB488" t="s">
        <v>1194</v>
      </c>
      <c r="BC488" s="3">
        <v>3974.37</v>
      </c>
      <c r="BD488" s="3">
        <v>504.55</v>
      </c>
      <c r="BE488" s="3">
        <v>0</v>
      </c>
      <c r="BF488" s="3">
        <v>0</v>
      </c>
      <c r="BG488" s="3">
        <v>150</v>
      </c>
      <c r="BH488" s="3">
        <v>0</v>
      </c>
      <c r="BI488" s="3">
        <v>3770</v>
      </c>
      <c r="BJ488" s="3">
        <v>8399</v>
      </c>
      <c r="BK488" s="3">
        <v>150</v>
      </c>
      <c r="BL488" s="3">
        <v>8549</v>
      </c>
      <c r="BM488" s="2">
        <f t="shared" ca="1" si="15"/>
        <v>3</v>
      </c>
      <c r="BN488" s="3">
        <v>100000</v>
      </c>
      <c r="BO488" s="3">
        <v>500000</v>
      </c>
      <c r="BP488" s="3" t="s">
        <v>2922</v>
      </c>
      <c r="BQ488" s="3">
        <v>25000</v>
      </c>
      <c r="BR488" s="3">
        <v>1000000</v>
      </c>
      <c r="BS488">
        <v>250000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 t="s">
        <v>2942</v>
      </c>
      <c r="CA488" t="s">
        <v>2006</v>
      </c>
      <c r="CB488" t="s">
        <v>2006</v>
      </c>
    </row>
    <row r="489" spans="1:80" x14ac:dyDescent="0.25">
      <c r="A489">
        <v>488</v>
      </c>
      <c r="B489" t="s">
        <v>2503</v>
      </c>
      <c r="C489" s="1">
        <v>44900</v>
      </c>
      <c r="D489" s="2">
        <v>36</v>
      </c>
      <c r="E489" t="s">
        <v>4</v>
      </c>
      <c r="F489" t="s">
        <v>1311</v>
      </c>
      <c r="G489">
        <v>1</v>
      </c>
      <c r="H489" s="3">
        <v>900000</v>
      </c>
      <c r="I489" s="3">
        <v>0</v>
      </c>
      <c r="J489" s="3">
        <v>0</v>
      </c>
      <c r="K489" s="3">
        <v>0</v>
      </c>
      <c r="L489" s="3" t="s">
        <v>1191</v>
      </c>
      <c r="M489">
        <v>1896217</v>
      </c>
      <c r="N489" t="s">
        <v>877</v>
      </c>
      <c r="P489" t="s">
        <v>878</v>
      </c>
      <c r="Q489" t="s">
        <v>23</v>
      </c>
      <c r="R489">
        <v>36561</v>
      </c>
      <c r="S489" t="s">
        <v>43</v>
      </c>
      <c r="T489" t="s">
        <v>979</v>
      </c>
      <c r="U489">
        <v>1</v>
      </c>
      <c r="V489" t="s">
        <v>1169</v>
      </c>
      <c r="W489" t="s">
        <v>1195</v>
      </c>
      <c r="X489" t="s">
        <v>1309</v>
      </c>
      <c r="Y489">
        <v>10000</v>
      </c>
      <c r="Z489" s="2">
        <v>10</v>
      </c>
      <c r="AA489" s="2">
        <v>0</v>
      </c>
      <c r="AB489" t="s">
        <v>1238</v>
      </c>
      <c r="AC489">
        <v>790</v>
      </c>
      <c r="AD489" t="s">
        <v>1279</v>
      </c>
      <c r="AE489">
        <v>2</v>
      </c>
      <c r="AF489" t="s">
        <v>1291</v>
      </c>
      <c r="AG489">
        <v>0</v>
      </c>
      <c r="AH489">
        <v>0</v>
      </c>
      <c r="AI489">
        <v>0</v>
      </c>
      <c r="AJ489">
        <v>1995</v>
      </c>
      <c r="AK489" t="s">
        <v>1194</v>
      </c>
      <c r="AL489">
        <v>2005</v>
      </c>
      <c r="AM489" s="4" t="s">
        <v>1238</v>
      </c>
      <c r="AN489">
        <v>1</v>
      </c>
      <c r="AO489" t="s">
        <v>1315</v>
      </c>
      <c r="AP489">
        <f t="shared" si="14"/>
        <v>0</v>
      </c>
      <c r="AQ489">
        <v>1</v>
      </c>
      <c r="AR489" t="s">
        <v>1992</v>
      </c>
      <c r="AS489" t="s">
        <v>1996</v>
      </c>
      <c r="AT489" t="s">
        <v>1996</v>
      </c>
      <c r="AU489" t="s">
        <v>1995</v>
      </c>
      <c r="AV489" t="s">
        <v>1995</v>
      </c>
      <c r="AW489" t="s">
        <v>1995</v>
      </c>
      <c r="AX489" t="s">
        <v>2006</v>
      </c>
      <c r="AY489" t="s">
        <v>1996</v>
      </c>
      <c r="AZ489">
        <v>2456</v>
      </c>
      <c r="BA489" t="s">
        <v>1194</v>
      </c>
      <c r="BB489" t="s">
        <v>1194</v>
      </c>
      <c r="BC489" s="3">
        <v>2076.6736000000001</v>
      </c>
      <c r="BD489" s="3">
        <v>11011.06</v>
      </c>
      <c r="BE489" s="3">
        <v>0</v>
      </c>
      <c r="BF489" s="3">
        <v>0</v>
      </c>
      <c r="BG489" s="3">
        <v>150</v>
      </c>
      <c r="BH489" s="3">
        <v>0</v>
      </c>
      <c r="BI489" s="3">
        <v>2512</v>
      </c>
      <c r="BJ489" s="3">
        <v>15750</v>
      </c>
      <c r="BK489" s="3">
        <v>150</v>
      </c>
      <c r="BL489" s="3">
        <v>15900</v>
      </c>
      <c r="BM489" s="2">
        <f t="shared" ca="1" si="15"/>
        <v>5</v>
      </c>
      <c r="BN489" s="3">
        <v>250000</v>
      </c>
      <c r="BO489" s="3">
        <v>20000</v>
      </c>
      <c r="BP489" s="3" t="s">
        <v>2922</v>
      </c>
      <c r="BQ489" s="3">
        <v>1000000</v>
      </c>
      <c r="BR489" s="3">
        <v>500000</v>
      </c>
      <c r="BS489">
        <v>2000000</v>
      </c>
      <c r="BT489">
        <v>0</v>
      </c>
      <c r="BU489">
        <v>0</v>
      </c>
      <c r="BV489">
        <v>0</v>
      </c>
      <c r="BW489">
        <v>0</v>
      </c>
      <c r="BX489">
        <v>1</v>
      </c>
      <c r="BY489">
        <v>0</v>
      </c>
      <c r="BZ489" t="s">
        <v>2943</v>
      </c>
      <c r="CA489" t="s">
        <v>2006</v>
      </c>
      <c r="CB489" t="s">
        <v>2945</v>
      </c>
    </row>
    <row r="490" spans="1:80" x14ac:dyDescent="0.25">
      <c r="A490">
        <v>489</v>
      </c>
      <c r="B490" t="s">
        <v>2504</v>
      </c>
      <c r="C490" s="1">
        <v>44879</v>
      </c>
      <c r="D490" s="2">
        <v>33</v>
      </c>
      <c r="E490" t="s">
        <v>4</v>
      </c>
      <c r="F490" t="s">
        <v>1311</v>
      </c>
      <c r="G490">
        <v>0</v>
      </c>
      <c r="H490" s="3">
        <v>2198030</v>
      </c>
      <c r="I490" s="3">
        <v>2880</v>
      </c>
      <c r="J490" s="3">
        <v>0</v>
      </c>
      <c r="K490" s="3">
        <v>0</v>
      </c>
      <c r="L490" s="3" t="s">
        <v>1191</v>
      </c>
      <c r="M490">
        <v>1923897</v>
      </c>
      <c r="N490" t="s">
        <v>879</v>
      </c>
      <c r="P490" t="s">
        <v>880</v>
      </c>
      <c r="Q490" t="s">
        <v>14</v>
      </c>
      <c r="R490">
        <v>10577</v>
      </c>
      <c r="S490" t="s">
        <v>36</v>
      </c>
      <c r="T490" t="s">
        <v>962</v>
      </c>
      <c r="U490">
        <v>0</v>
      </c>
      <c r="V490" t="s">
        <v>1170</v>
      </c>
      <c r="W490" t="s">
        <v>1194</v>
      </c>
      <c r="X490" t="s">
        <v>973</v>
      </c>
      <c r="Y490">
        <v>10000</v>
      </c>
      <c r="Z490" s="2">
        <v>2.0000181979999998</v>
      </c>
      <c r="AA490" s="2" t="s">
        <v>1238</v>
      </c>
      <c r="AB490" t="s">
        <v>1238</v>
      </c>
      <c r="AC490">
        <v>852</v>
      </c>
      <c r="AD490" t="s">
        <v>1279</v>
      </c>
      <c r="AE490">
        <v>3</v>
      </c>
      <c r="AF490" t="s">
        <v>1290</v>
      </c>
      <c r="AG490">
        <v>0</v>
      </c>
      <c r="AH490">
        <v>0</v>
      </c>
      <c r="AI490">
        <v>0</v>
      </c>
      <c r="AJ490">
        <v>1953</v>
      </c>
      <c r="AK490" t="s">
        <v>1194</v>
      </c>
      <c r="AL490" t="s">
        <v>1194</v>
      </c>
      <c r="AM490" s="4" t="s">
        <v>1238</v>
      </c>
      <c r="AN490">
        <v>0</v>
      </c>
      <c r="AO490" t="s">
        <v>1315</v>
      </c>
      <c r="AP490">
        <f t="shared" si="14"/>
        <v>0</v>
      </c>
      <c r="AQ490">
        <v>0</v>
      </c>
      <c r="AR490" t="s">
        <v>1993</v>
      </c>
      <c r="AS490" t="s">
        <v>1995</v>
      </c>
      <c r="AT490" t="s">
        <v>1995</v>
      </c>
      <c r="AU490" t="s">
        <v>1996</v>
      </c>
      <c r="AV490" t="s">
        <v>1995</v>
      </c>
      <c r="AW490" t="s">
        <v>1995</v>
      </c>
      <c r="AX490" t="s">
        <v>2006</v>
      </c>
      <c r="AY490" t="s">
        <v>1996</v>
      </c>
      <c r="AZ490">
        <v>3476</v>
      </c>
      <c r="BA490" t="s">
        <v>1194</v>
      </c>
      <c r="BB490" t="s">
        <v>1194</v>
      </c>
      <c r="BC490" s="3">
        <v>5978.7114000000001</v>
      </c>
      <c r="BD490" s="3">
        <v>1670.6</v>
      </c>
      <c r="BE490" s="3">
        <v>0</v>
      </c>
      <c r="BF490" s="3">
        <v>0</v>
      </c>
      <c r="BG490" s="3">
        <v>150</v>
      </c>
      <c r="BH490" s="3">
        <v>0</v>
      </c>
      <c r="BI490" s="3">
        <v>3866</v>
      </c>
      <c r="BJ490" s="3">
        <v>11665</v>
      </c>
      <c r="BK490" s="3">
        <v>0</v>
      </c>
      <c r="BL490" s="3">
        <v>11665</v>
      </c>
      <c r="BM490" s="2">
        <f t="shared" ca="1" si="15"/>
        <v>1</v>
      </c>
      <c r="BN490" s="3">
        <v>500000</v>
      </c>
      <c r="BO490" s="3">
        <v>100000</v>
      </c>
      <c r="BP490" s="3">
        <v>100000</v>
      </c>
      <c r="BQ490" s="3">
        <v>100000</v>
      </c>
      <c r="BR490" s="3">
        <v>250000</v>
      </c>
      <c r="BS490">
        <v>1000000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 t="s">
        <v>2942</v>
      </c>
      <c r="CA490" t="s">
        <v>2006</v>
      </c>
      <c r="CB490" t="s">
        <v>2945</v>
      </c>
    </row>
    <row r="491" spans="1:80" x14ac:dyDescent="0.25">
      <c r="A491">
        <v>490</v>
      </c>
      <c r="B491" t="s">
        <v>2505</v>
      </c>
      <c r="C491" s="1">
        <v>44672</v>
      </c>
      <c r="D491" s="2">
        <v>12</v>
      </c>
      <c r="E491" t="s">
        <v>4</v>
      </c>
      <c r="F491" t="s">
        <v>1311</v>
      </c>
      <c r="G491">
        <v>1</v>
      </c>
      <c r="H491" s="3">
        <v>2063800</v>
      </c>
      <c r="I491" s="3">
        <v>50000</v>
      </c>
      <c r="J491" s="3">
        <v>0</v>
      </c>
      <c r="K491" s="3">
        <v>0</v>
      </c>
      <c r="L491" s="3" t="s">
        <v>1191</v>
      </c>
      <c r="M491">
        <v>1078197</v>
      </c>
      <c r="N491" t="s">
        <v>881</v>
      </c>
      <c r="P491" t="s">
        <v>381</v>
      </c>
      <c r="Q491" t="s">
        <v>14</v>
      </c>
      <c r="R491">
        <v>10580</v>
      </c>
      <c r="S491" t="s">
        <v>36</v>
      </c>
      <c r="T491" t="s">
        <v>962</v>
      </c>
      <c r="U491">
        <v>0</v>
      </c>
      <c r="V491" t="s">
        <v>1171</v>
      </c>
      <c r="W491" t="s">
        <v>1194</v>
      </c>
      <c r="X491" t="s">
        <v>973</v>
      </c>
      <c r="Y491">
        <v>10000</v>
      </c>
      <c r="Z491" s="2">
        <v>2</v>
      </c>
      <c r="AA491" s="2" t="s">
        <v>1238</v>
      </c>
      <c r="AB491" t="s">
        <v>1238</v>
      </c>
      <c r="AC491">
        <v>761</v>
      </c>
      <c r="AD491" t="s">
        <v>1279</v>
      </c>
      <c r="AE491">
        <v>4</v>
      </c>
      <c r="AF491" t="s">
        <v>1291</v>
      </c>
      <c r="AG491">
        <v>1</v>
      </c>
      <c r="AH491">
        <v>0</v>
      </c>
      <c r="AI491">
        <v>1</v>
      </c>
      <c r="AJ491">
        <v>1970</v>
      </c>
      <c r="AK491">
        <v>1999</v>
      </c>
      <c r="AL491">
        <v>2006</v>
      </c>
      <c r="AM491" s="4" t="s">
        <v>1238</v>
      </c>
      <c r="AN491">
        <v>0</v>
      </c>
      <c r="AO491" t="s">
        <v>1315</v>
      </c>
      <c r="AP491">
        <f t="shared" si="14"/>
        <v>1</v>
      </c>
      <c r="AQ491">
        <v>1</v>
      </c>
      <c r="AR491" t="s">
        <v>1992</v>
      </c>
      <c r="AS491" t="s">
        <v>1995</v>
      </c>
      <c r="AT491" t="s">
        <v>1995</v>
      </c>
      <c r="AU491" t="s">
        <v>1996</v>
      </c>
      <c r="AV491" t="s">
        <v>1995</v>
      </c>
      <c r="AW491" t="s">
        <v>1995</v>
      </c>
      <c r="AX491" t="s">
        <v>2006</v>
      </c>
      <c r="AY491" t="s">
        <v>1996</v>
      </c>
      <c r="AZ491">
        <v>2853</v>
      </c>
      <c r="BA491" t="s">
        <v>1194</v>
      </c>
      <c r="BB491" t="s">
        <v>1194</v>
      </c>
      <c r="BC491" s="3">
        <v>8542.8181000000004</v>
      </c>
      <c r="BD491" s="3">
        <v>3385.69</v>
      </c>
      <c r="BE491" s="3">
        <v>0</v>
      </c>
      <c r="BF491" s="3">
        <v>0</v>
      </c>
      <c r="BG491" s="3">
        <v>150</v>
      </c>
      <c r="BH491" s="3">
        <v>0</v>
      </c>
      <c r="BI491" s="3">
        <v>2506.71</v>
      </c>
      <c r="BJ491" s="3">
        <v>14585</v>
      </c>
      <c r="BK491" s="3">
        <v>150</v>
      </c>
      <c r="BL491" s="3">
        <v>14735</v>
      </c>
      <c r="BM491" s="2">
        <f t="shared" ca="1" si="15"/>
        <v>1</v>
      </c>
      <c r="BN491" s="3" t="s">
        <v>2916</v>
      </c>
      <c r="BO491" s="3">
        <v>25000</v>
      </c>
      <c r="BP491" s="3">
        <v>100000</v>
      </c>
      <c r="BQ491" s="3">
        <v>100000</v>
      </c>
      <c r="BR491" s="3">
        <v>50000</v>
      </c>
      <c r="BS491">
        <v>100000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 t="s">
        <v>2942</v>
      </c>
      <c r="CA491" t="s">
        <v>2006</v>
      </c>
      <c r="CB491" t="s">
        <v>2006</v>
      </c>
    </row>
    <row r="492" spans="1:80" x14ac:dyDescent="0.25">
      <c r="A492">
        <v>491</v>
      </c>
      <c r="B492" t="s">
        <v>2506</v>
      </c>
      <c r="C492" s="1">
        <v>44784</v>
      </c>
      <c r="D492" s="2">
        <v>24</v>
      </c>
      <c r="E492" t="s">
        <v>4</v>
      </c>
      <c r="F492" t="s">
        <v>1311</v>
      </c>
      <c r="G492">
        <v>0</v>
      </c>
      <c r="H492" s="3">
        <v>2000000</v>
      </c>
      <c r="I492" s="3">
        <v>500000</v>
      </c>
      <c r="J492" s="3">
        <v>0</v>
      </c>
      <c r="K492" s="3">
        <v>0</v>
      </c>
      <c r="L492" s="3" t="s">
        <v>1191</v>
      </c>
      <c r="M492">
        <v>1967457</v>
      </c>
      <c r="N492" t="s">
        <v>882</v>
      </c>
      <c r="P492" t="s">
        <v>316</v>
      </c>
      <c r="Q492" t="s">
        <v>19</v>
      </c>
      <c r="R492">
        <v>92264</v>
      </c>
      <c r="S492" t="s">
        <v>76</v>
      </c>
      <c r="T492" t="s">
        <v>965</v>
      </c>
      <c r="U492">
        <v>0</v>
      </c>
      <c r="V492">
        <v>22</v>
      </c>
      <c r="W492" t="s">
        <v>1202</v>
      </c>
      <c r="X492" t="s">
        <v>973</v>
      </c>
      <c r="Y492">
        <v>10000</v>
      </c>
      <c r="Z492" s="2" t="s">
        <v>1194</v>
      </c>
      <c r="AA492" s="2" t="s">
        <v>1238</v>
      </c>
      <c r="AB492" t="s">
        <v>1238</v>
      </c>
      <c r="AC492" t="s">
        <v>1194</v>
      </c>
      <c r="AD492" t="s">
        <v>1279</v>
      </c>
      <c r="AE492">
        <v>3</v>
      </c>
      <c r="AF492" t="s">
        <v>1290</v>
      </c>
      <c r="AG492">
        <v>0</v>
      </c>
      <c r="AH492">
        <v>0</v>
      </c>
      <c r="AI492">
        <v>0</v>
      </c>
      <c r="AJ492">
        <v>1980</v>
      </c>
      <c r="AK492" t="s">
        <v>1194</v>
      </c>
      <c r="AL492" t="s">
        <v>1194</v>
      </c>
      <c r="AM492" s="4" t="s">
        <v>1238</v>
      </c>
      <c r="AN492">
        <v>1</v>
      </c>
      <c r="AO492" t="s">
        <v>1315</v>
      </c>
      <c r="AP492">
        <f t="shared" si="14"/>
        <v>0</v>
      </c>
      <c r="AQ492">
        <v>1</v>
      </c>
      <c r="AR492" t="s">
        <v>1992</v>
      </c>
      <c r="AS492" t="s">
        <v>1995</v>
      </c>
      <c r="AT492" t="s">
        <v>1996</v>
      </c>
      <c r="AU492" t="s">
        <v>1996</v>
      </c>
      <c r="AV492" t="s">
        <v>1996</v>
      </c>
      <c r="AW492" t="s">
        <v>1996</v>
      </c>
      <c r="AX492" t="s">
        <v>1194</v>
      </c>
      <c r="AY492" t="s">
        <v>1996</v>
      </c>
      <c r="AZ492">
        <v>5457</v>
      </c>
      <c r="BA492">
        <v>2</v>
      </c>
      <c r="BB492" t="s">
        <v>2016</v>
      </c>
      <c r="BC492" s="3">
        <v>0</v>
      </c>
      <c r="BD492" s="3">
        <v>0</v>
      </c>
      <c r="BE492" s="3">
        <v>5937.89</v>
      </c>
      <c r="BF492" s="3">
        <v>4178.3</v>
      </c>
      <c r="BG492" s="3">
        <v>150</v>
      </c>
      <c r="BH492" s="3">
        <v>0</v>
      </c>
      <c r="BI492" s="3">
        <v>8484</v>
      </c>
      <c r="BJ492" s="3">
        <v>18750.189999999999</v>
      </c>
      <c r="BK492" s="3">
        <v>0</v>
      </c>
      <c r="BL492" s="3">
        <v>18750.189999999999</v>
      </c>
      <c r="BM492" s="2">
        <f t="shared" ca="1" si="15"/>
        <v>1</v>
      </c>
      <c r="BN492" s="3">
        <v>50000</v>
      </c>
      <c r="BO492" s="3">
        <v>100000</v>
      </c>
      <c r="BP492" s="3">
        <v>50000</v>
      </c>
      <c r="BQ492" s="3">
        <v>25000</v>
      </c>
      <c r="BR492" s="3">
        <v>100000</v>
      </c>
      <c r="BS492">
        <v>250000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 t="s">
        <v>2948</v>
      </c>
      <c r="CA492" t="s">
        <v>1194</v>
      </c>
      <c r="CB492" t="s">
        <v>2949</v>
      </c>
    </row>
    <row r="493" spans="1:80" x14ac:dyDescent="0.25">
      <c r="A493">
        <v>492</v>
      </c>
      <c r="B493" t="s">
        <v>2507</v>
      </c>
      <c r="C493" s="1">
        <v>44762</v>
      </c>
      <c r="D493" s="2">
        <v>21</v>
      </c>
      <c r="E493" t="s">
        <v>4</v>
      </c>
      <c r="F493" t="s">
        <v>1311</v>
      </c>
      <c r="G493">
        <v>0</v>
      </c>
      <c r="H493" s="3">
        <v>1700000</v>
      </c>
      <c r="I493" s="3">
        <v>300000</v>
      </c>
      <c r="J493" s="3">
        <v>0</v>
      </c>
      <c r="K493" s="3">
        <v>0</v>
      </c>
      <c r="L493" s="3" t="s">
        <v>1191</v>
      </c>
      <c r="M493">
        <v>1902552</v>
      </c>
      <c r="N493" t="s">
        <v>883</v>
      </c>
      <c r="P493" t="s">
        <v>884</v>
      </c>
      <c r="Q493" t="s">
        <v>14</v>
      </c>
      <c r="R493">
        <v>11743</v>
      </c>
      <c r="S493" t="s">
        <v>26</v>
      </c>
      <c r="T493" t="s">
        <v>963</v>
      </c>
      <c r="U493">
        <v>0</v>
      </c>
      <c r="V493" t="s">
        <v>1172</v>
      </c>
      <c r="W493" t="s">
        <v>1194</v>
      </c>
      <c r="X493" t="s">
        <v>973</v>
      </c>
      <c r="Y493">
        <v>10000</v>
      </c>
      <c r="Z493" s="2">
        <v>2</v>
      </c>
      <c r="AA493" s="2" t="s">
        <v>1238</v>
      </c>
      <c r="AB493" t="s">
        <v>1238</v>
      </c>
      <c r="AC493">
        <v>723</v>
      </c>
      <c r="AD493" t="s">
        <v>1279</v>
      </c>
      <c r="AE493">
        <v>3</v>
      </c>
      <c r="AF493" t="s">
        <v>1290</v>
      </c>
      <c r="AG493">
        <v>0</v>
      </c>
      <c r="AH493">
        <v>0</v>
      </c>
      <c r="AI493">
        <v>0</v>
      </c>
      <c r="AJ493">
        <v>2022</v>
      </c>
      <c r="AK493" t="s">
        <v>1194</v>
      </c>
      <c r="AL493" t="s">
        <v>1194</v>
      </c>
      <c r="AM493" s="4" t="s">
        <v>1238</v>
      </c>
      <c r="AN493">
        <v>0</v>
      </c>
      <c r="AO493" t="s">
        <v>1315</v>
      </c>
      <c r="AP493">
        <f t="shared" si="14"/>
        <v>0</v>
      </c>
      <c r="AQ493">
        <v>0</v>
      </c>
      <c r="AR493" t="s">
        <v>1993</v>
      </c>
      <c r="AS493" t="s">
        <v>1996</v>
      </c>
      <c r="AT493" t="s">
        <v>1995</v>
      </c>
      <c r="AU493" t="s">
        <v>1995</v>
      </c>
      <c r="AV493" t="s">
        <v>1995</v>
      </c>
      <c r="AW493" t="s">
        <v>1995</v>
      </c>
      <c r="AX493" t="s">
        <v>2006</v>
      </c>
      <c r="AY493" t="s">
        <v>1996</v>
      </c>
      <c r="AZ493">
        <v>4500</v>
      </c>
      <c r="BA493" t="s">
        <v>1194</v>
      </c>
      <c r="BB493" t="s">
        <v>1194</v>
      </c>
      <c r="BC493" s="3">
        <v>7567.8001999999997</v>
      </c>
      <c r="BD493" s="3">
        <v>3249.94</v>
      </c>
      <c r="BE493" s="3">
        <v>0</v>
      </c>
      <c r="BF493" s="3">
        <v>0</v>
      </c>
      <c r="BG493" s="3">
        <v>0</v>
      </c>
      <c r="BH493" s="3">
        <v>0</v>
      </c>
      <c r="BI493" s="3">
        <v>-218</v>
      </c>
      <c r="BJ493" s="3">
        <v>10600</v>
      </c>
      <c r="BK493" s="3">
        <v>150</v>
      </c>
      <c r="BL493" s="3">
        <v>10750</v>
      </c>
      <c r="BM493" s="2">
        <f t="shared" ca="1" si="15"/>
        <v>0</v>
      </c>
      <c r="BN493" s="3">
        <v>50000</v>
      </c>
      <c r="BO493" s="3">
        <v>25000</v>
      </c>
      <c r="BP493" s="3">
        <v>50000</v>
      </c>
      <c r="BQ493" s="3">
        <v>1000000</v>
      </c>
      <c r="BR493" s="3">
        <v>50000</v>
      </c>
      <c r="BS493">
        <v>50000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 t="s">
        <v>2942</v>
      </c>
      <c r="CA493" t="s">
        <v>2006</v>
      </c>
      <c r="CB493" t="s">
        <v>2006</v>
      </c>
    </row>
    <row r="494" spans="1:80" x14ac:dyDescent="0.25">
      <c r="A494">
        <v>493</v>
      </c>
      <c r="B494" t="s">
        <v>2508</v>
      </c>
      <c r="C494" s="1">
        <v>44735</v>
      </c>
      <c r="D494" s="2">
        <v>18</v>
      </c>
      <c r="E494" t="s">
        <v>4</v>
      </c>
      <c r="F494" t="s">
        <v>1311</v>
      </c>
      <c r="G494">
        <v>0</v>
      </c>
      <c r="H494" s="3">
        <v>2200000</v>
      </c>
      <c r="I494" s="3">
        <v>200000</v>
      </c>
      <c r="J494" s="3">
        <v>0</v>
      </c>
      <c r="K494" s="3">
        <v>0</v>
      </c>
      <c r="L494" s="3" t="s">
        <v>1191</v>
      </c>
      <c r="M494">
        <v>1909389</v>
      </c>
      <c r="N494" t="s">
        <v>885</v>
      </c>
      <c r="P494" t="s">
        <v>886</v>
      </c>
      <c r="Q494" t="s">
        <v>13</v>
      </c>
      <c r="R494">
        <v>1354</v>
      </c>
      <c r="S494" t="s">
        <v>105</v>
      </c>
      <c r="T494" t="s">
        <v>973</v>
      </c>
      <c r="U494">
        <v>0</v>
      </c>
      <c r="V494" t="s">
        <v>1173</v>
      </c>
      <c r="W494" t="s">
        <v>1194</v>
      </c>
      <c r="X494" t="s">
        <v>973</v>
      </c>
      <c r="Y494">
        <v>10000</v>
      </c>
      <c r="Z494" s="2" t="s">
        <v>1194</v>
      </c>
      <c r="AA494" s="2" t="s">
        <v>1238</v>
      </c>
      <c r="AB494" t="s">
        <v>1238</v>
      </c>
      <c r="AC494">
        <v>727</v>
      </c>
      <c r="AD494" t="s">
        <v>1279</v>
      </c>
      <c r="AE494">
        <v>8</v>
      </c>
      <c r="AF494" t="s">
        <v>1290</v>
      </c>
      <c r="AG494">
        <v>0</v>
      </c>
      <c r="AH494">
        <v>0</v>
      </c>
      <c r="AI494">
        <v>0</v>
      </c>
      <c r="AJ494">
        <v>2022</v>
      </c>
      <c r="AK494" t="s">
        <v>1194</v>
      </c>
      <c r="AL494" t="s">
        <v>1194</v>
      </c>
      <c r="AM494" s="4" t="s">
        <v>1238</v>
      </c>
      <c r="AN494">
        <v>1</v>
      </c>
      <c r="AO494" t="s">
        <v>1315</v>
      </c>
      <c r="AP494">
        <f t="shared" si="14"/>
        <v>0</v>
      </c>
      <c r="AQ494">
        <v>1</v>
      </c>
      <c r="AR494" t="s">
        <v>1992</v>
      </c>
      <c r="AS494" t="s">
        <v>1996</v>
      </c>
      <c r="AT494" t="s">
        <v>1995</v>
      </c>
      <c r="AU494" t="s">
        <v>1996</v>
      </c>
      <c r="AV494" t="s">
        <v>1995</v>
      </c>
      <c r="AW494" t="s">
        <v>1995</v>
      </c>
      <c r="AX494" t="s">
        <v>2006</v>
      </c>
      <c r="AY494" t="s">
        <v>1996</v>
      </c>
      <c r="AZ494">
        <v>4500</v>
      </c>
      <c r="BA494" t="s">
        <v>1194</v>
      </c>
      <c r="BB494" t="s">
        <v>1194</v>
      </c>
      <c r="BC494" s="3">
        <v>5795.1102000000001</v>
      </c>
      <c r="BD494" s="3">
        <v>1060.51</v>
      </c>
      <c r="BE494" s="3">
        <v>0</v>
      </c>
      <c r="BF494" s="3">
        <v>0</v>
      </c>
      <c r="BG494" s="3">
        <v>0</v>
      </c>
      <c r="BH494" s="3">
        <v>0</v>
      </c>
      <c r="BI494" s="3">
        <v>2050</v>
      </c>
      <c r="BJ494" s="3">
        <v>8906</v>
      </c>
      <c r="BK494" s="3">
        <v>0</v>
      </c>
      <c r="BL494" s="3">
        <v>8906</v>
      </c>
      <c r="BM494" s="2">
        <f t="shared" ca="1" si="15"/>
        <v>1</v>
      </c>
      <c r="BN494" s="3">
        <v>2000000</v>
      </c>
      <c r="BO494" s="3">
        <v>500000</v>
      </c>
      <c r="BP494" s="3">
        <v>50000</v>
      </c>
      <c r="BQ494" s="3">
        <v>50000</v>
      </c>
      <c r="BR494" s="3">
        <v>50000</v>
      </c>
      <c r="BS494" t="s">
        <v>2916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 t="s">
        <v>2942</v>
      </c>
      <c r="CA494" t="s">
        <v>2006</v>
      </c>
      <c r="CB494" t="s">
        <v>2006</v>
      </c>
    </row>
    <row r="495" spans="1:80" x14ac:dyDescent="0.25">
      <c r="A495">
        <v>494</v>
      </c>
      <c r="B495" t="s">
        <v>2509</v>
      </c>
      <c r="C495" s="1">
        <v>44728</v>
      </c>
      <c r="D495" s="2">
        <v>18</v>
      </c>
      <c r="E495" t="s">
        <v>4</v>
      </c>
      <c r="F495" t="s">
        <v>1311</v>
      </c>
      <c r="G495">
        <v>1</v>
      </c>
      <c r="H495" s="3">
        <v>2500000</v>
      </c>
      <c r="I495" s="3">
        <v>0</v>
      </c>
      <c r="J495" s="3">
        <v>0</v>
      </c>
      <c r="K495" s="3">
        <v>0</v>
      </c>
      <c r="L495" s="3" t="s">
        <v>1191</v>
      </c>
      <c r="M495">
        <v>1914496</v>
      </c>
      <c r="N495" t="s">
        <v>887</v>
      </c>
      <c r="P495" t="s">
        <v>888</v>
      </c>
      <c r="Q495" t="s">
        <v>16</v>
      </c>
      <c r="R495">
        <v>7030</v>
      </c>
      <c r="S495" t="s">
        <v>106</v>
      </c>
      <c r="T495" t="s">
        <v>968</v>
      </c>
      <c r="U495">
        <v>0</v>
      </c>
      <c r="V495" t="s">
        <v>1174</v>
      </c>
      <c r="W495" t="s">
        <v>1194</v>
      </c>
      <c r="X495" t="s">
        <v>973</v>
      </c>
      <c r="Y495">
        <v>25000</v>
      </c>
      <c r="Z495" s="2">
        <v>2</v>
      </c>
      <c r="AA495" s="2" t="s">
        <v>1238</v>
      </c>
      <c r="AB495" t="s">
        <v>1238</v>
      </c>
      <c r="AC495">
        <v>702</v>
      </c>
      <c r="AD495" t="s">
        <v>1280</v>
      </c>
      <c r="AE495">
        <v>2</v>
      </c>
      <c r="AF495" t="s">
        <v>1290</v>
      </c>
      <c r="AG495">
        <v>0</v>
      </c>
      <c r="AH495">
        <v>0</v>
      </c>
      <c r="AI495">
        <v>0</v>
      </c>
      <c r="AJ495">
        <v>1901</v>
      </c>
      <c r="AK495">
        <v>2022</v>
      </c>
      <c r="AL495">
        <v>2022</v>
      </c>
      <c r="AM495" s="4" t="s">
        <v>1238</v>
      </c>
      <c r="AN495">
        <v>1</v>
      </c>
      <c r="AO495" t="s">
        <v>1315</v>
      </c>
      <c r="AP495">
        <f t="shared" si="14"/>
        <v>0</v>
      </c>
      <c r="AQ495">
        <v>0</v>
      </c>
      <c r="AR495" t="s">
        <v>1993</v>
      </c>
      <c r="AS495" t="s">
        <v>1995</v>
      </c>
      <c r="AT495" t="s">
        <v>1996</v>
      </c>
      <c r="AU495" t="s">
        <v>1995</v>
      </c>
      <c r="AV495" t="s">
        <v>1995</v>
      </c>
      <c r="AW495" t="s">
        <v>1995</v>
      </c>
      <c r="AX495" t="s">
        <v>2006</v>
      </c>
      <c r="AY495" t="s">
        <v>1996</v>
      </c>
      <c r="AZ495">
        <v>4000</v>
      </c>
      <c r="BA495" t="s">
        <v>1194</v>
      </c>
      <c r="BB495" t="s">
        <v>1194</v>
      </c>
      <c r="BC495" s="3">
        <v>4570.6833999999999</v>
      </c>
      <c r="BD495" s="3">
        <v>1457.53</v>
      </c>
      <c r="BE495" s="3">
        <v>0</v>
      </c>
      <c r="BF495" s="3">
        <v>0</v>
      </c>
      <c r="BG495" s="3">
        <v>150</v>
      </c>
      <c r="BH495" s="3">
        <v>0</v>
      </c>
      <c r="BI495" s="3">
        <v>4325</v>
      </c>
      <c r="BJ495" s="3">
        <v>10503</v>
      </c>
      <c r="BK495" s="3">
        <v>0</v>
      </c>
      <c r="BL495" s="3">
        <v>10503</v>
      </c>
      <c r="BM495" s="2">
        <f t="shared" ca="1" si="15"/>
        <v>1</v>
      </c>
      <c r="BN495" s="3">
        <v>250000</v>
      </c>
      <c r="BO495" s="3">
        <v>1000000</v>
      </c>
      <c r="BP495" s="3">
        <v>100000</v>
      </c>
      <c r="BQ495" s="3">
        <v>50000</v>
      </c>
      <c r="BR495" s="3">
        <v>500000</v>
      </c>
      <c r="BS495">
        <v>100000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 t="s">
        <v>2942</v>
      </c>
      <c r="CA495" t="s">
        <v>2006</v>
      </c>
      <c r="CB495" t="s">
        <v>2946</v>
      </c>
    </row>
    <row r="496" spans="1:80" x14ac:dyDescent="0.25">
      <c r="A496">
        <v>495</v>
      </c>
      <c r="B496" t="s">
        <v>2510</v>
      </c>
      <c r="C496" s="1">
        <v>44720</v>
      </c>
      <c r="D496" s="2">
        <v>18</v>
      </c>
      <c r="E496" t="s">
        <v>4</v>
      </c>
      <c r="F496" t="s">
        <v>1311</v>
      </c>
      <c r="G496">
        <v>1</v>
      </c>
      <c r="H496" s="3">
        <v>4000000</v>
      </c>
      <c r="I496" s="3">
        <v>800000</v>
      </c>
      <c r="J496" s="3">
        <v>0</v>
      </c>
      <c r="K496" s="3">
        <v>0</v>
      </c>
      <c r="L496" s="3" t="s">
        <v>1191</v>
      </c>
      <c r="M496">
        <v>1917254</v>
      </c>
      <c r="N496" t="s">
        <v>889</v>
      </c>
      <c r="P496" t="s">
        <v>288</v>
      </c>
      <c r="Q496" t="s">
        <v>16</v>
      </c>
      <c r="R496">
        <v>8738</v>
      </c>
      <c r="S496" t="s">
        <v>70</v>
      </c>
      <c r="T496" t="s">
        <v>970</v>
      </c>
      <c r="U496">
        <v>1</v>
      </c>
      <c r="V496" t="s">
        <v>1175</v>
      </c>
      <c r="W496" t="s">
        <v>1194</v>
      </c>
      <c r="X496" t="s">
        <v>1309</v>
      </c>
      <c r="Y496">
        <v>10000</v>
      </c>
      <c r="Z496" s="2">
        <v>2</v>
      </c>
      <c r="AA496" s="2" t="s">
        <v>1238</v>
      </c>
      <c r="AB496" t="s">
        <v>1238</v>
      </c>
      <c r="AC496">
        <v>691</v>
      </c>
      <c r="AD496" t="s">
        <v>1279</v>
      </c>
      <c r="AE496">
        <v>4</v>
      </c>
      <c r="AF496" t="s">
        <v>1292</v>
      </c>
      <c r="AG496">
        <v>0</v>
      </c>
      <c r="AH496">
        <v>0</v>
      </c>
      <c r="AI496">
        <v>0</v>
      </c>
      <c r="AJ496">
        <v>2022</v>
      </c>
      <c r="AK496" t="s">
        <v>1194</v>
      </c>
      <c r="AL496" t="s">
        <v>1194</v>
      </c>
      <c r="AM496" s="4" t="s">
        <v>1238</v>
      </c>
      <c r="AN496">
        <v>1</v>
      </c>
      <c r="AO496" t="s">
        <v>1317</v>
      </c>
      <c r="AP496">
        <f t="shared" si="14"/>
        <v>0</v>
      </c>
      <c r="AQ496">
        <v>1</v>
      </c>
      <c r="AR496" t="s">
        <v>1992</v>
      </c>
      <c r="AS496" t="s">
        <v>1995</v>
      </c>
      <c r="AT496" t="s">
        <v>1995</v>
      </c>
      <c r="AU496" t="s">
        <v>1995</v>
      </c>
      <c r="AV496" t="s">
        <v>1995</v>
      </c>
      <c r="AW496" t="s">
        <v>1995</v>
      </c>
      <c r="AX496" t="s">
        <v>2006</v>
      </c>
      <c r="AY496" t="s">
        <v>1996</v>
      </c>
      <c r="AZ496">
        <v>10000</v>
      </c>
      <c r="BA496" t="s">
        <v>1194</v>
      </c>
      <c r="BB496" t="s">
        <v>1194</v>
      </c>
      <c r="BC496" s="3">
        <v>10211.1818</v>
      </c>
      <c r="BD496" s="3">
        <v>5152</v>
      </c>
      <c r="BE496" s="3">
        <v>0</v>
      </c>
      <c r="BF496" s="3">
        <v>0</v>
      </c>
      <c r="BG496" s="3">
        <v>150</v>
      </c>
      <c r="BH496" s="3">
        <v>0</v>
      </c>
      <c r="BI496" s="3">
        <v>5606</v>
      </c>
      <c r="BJ496" s="3">
        <v>21119</v>
      </c>
      <c r="BK496" s="3">
        <v>150</v>
      </c>
      <c r="BL496" s="3">
        <v>21269</v>
      </c>
      <c r="BM496" s="2">
        <f t="shared" ca="1" si="15"/>
        <v>2</v>
      </c>
      <c r="BN496" s="3">
        <v>1000000</v>
      </c>
      <c r="BO496" s="3">
        <v>250000</v>
      </c>
      <c r="BP496" s="3" t="s">
        <v>2922</v>
      </c>
      <c r="BQ496" s="3">
        <v>1000000</v>
      </c>
      <c r="BR496" s="3">
        <v>250000</v>
      </c>
      <c r="BS496">
        <v>250000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 t="s">
        <v>2942</v>
      </c>
      <c r="CA496" t="s">
        <v>2006</v>
      </c>
      <c r="CB496" t="s">
        <v>2006</v>
      </c>
    </row>
    <row r="497" spans="1:80" x14ac:dyDescent="0.25">
      <c r="A497">
        <v>496</v>
      </c>
      <c r="B497" t="s">
        <v>2511</v>
      </c>
      <c r="C497" s="1">
        <v>44872</v>
      </c>
      <c r="D497" s="2">
        <v>33</v>
      </c>
      <c r="E497" t="s">
        <v>4</v>
      </c>
      <c r="F497" t="s">
        <v>1311</v>
      </c>
      <c r="G497">
        <v>0</v>
      </c>
      <c r="H497" s="3">
        <v>2500000</v>
      </c>
      <c r="I497" s="3">
        <v>25000</v>
      </c>
      <c r="J497" s="3">
        <v>250000</v>
      </c>
      <c r="K497" s="3">
        <v>0</v>
      </c>
      <c r="L497" s="3" t="s">
        <v>1191</v>
      </c>
      <c r="M497">
        <v>1918547</v>
      </c>
      <c r="N497" t="s">
        <v>890</v>
      </c>
      <c r="P497" t="s">
        <v>130</v>
      </c>
      <c r="Q497" t="s">
        <v>17</v>
      </c>
      <c r="R497">
        <v>29482</v>
      </c>
      <c r="S497" t="s">
        <v>31</v>
      </c>
      <c r="T497" t="s">
        <v>969</v>
      </c>
      <c r="U497">
        <v>0</v>
      </c>
      <c r="V497" t="s">
        <v>992</v>
      </c>
      <c r="W497" t="s">
        <v>1194</v>
      </c>
      <c r="X497" t="s">
        <v>973</v>
      </c>
      <c r="Y497">
        <v>10000</v>
      </c>
      <c r="Z497" s="2">
        <v>5</v>
      </c>
      <c r="AA497" s="2" t="s">
        <v>1238</v>
      </c>
      <c r="AB497" t="s">
        <v>1238</v>
      </c>
      <c r="AC497">
        <v>837</v>
      </c>
      <c r="AD497" t="s">
        <v>1279</v>
      </c>
      <c r="AE497">
        <v>1</v>
      </c>
      <c r="AF497" t="s">
        <v>1291</v>
      </c>
      <c r="AG497">
        <v>0</v>
      </c>
      <c r="AH497">
        <v>0</v>
      </c>
      <c r="AI497">
        <v>0</v>
      </c>
      <c r="AJ497">
        <v>2008</v>
      </c>
      <c r="AK497" t="s">
        <v>1194</v>
      </c>
      <c r="AL497" t="s">
        <v>1194</v>
      </c>
      <c r="AM497" s="4" t="s">
        <v>1238</v>
      </c>
      <c r="AN497">
        <v>0</v>
      </c>
      <c r="AO497" t="s">
        <v>1317</v>
      </c>
      <c r="AP497">
        <f t="shared" si="14"/>
        <v>0</v>
      </c>
      <c r="AQ497">
        <v>1</v>
      </c>
      <c r="AR497" t="s">
        <v>1992</v>
      </c>
      <c r="AS497" t="s">
        <v>1996</v>
      </c>
      <c r="AT497" t="s">
        <v>1996</v>
      </c>
      <c r="AU497" t="s">
        <v>1995</v>
      </c>
      <c r="AV497" t="s">
        <v>1996</v>
      </c>
      <c r="AW497" t="s">
        <v>1995</v>
      </c>
      <c r="AX497" t="s">
        <v>2006</v>
      </c>
      <c r="AY497" t="s">
        <v>1996</v>
      </c>
      <c r="AZ497">
        <v>3958</v>
      </c>
      <c r="BA497" t="s">
        <v>1194</v>
      </c>
      <c r="BB497" t="s">
        <v>1194</v>
      </c>
      <c r="BC497" s="3">
        <v>5331.0488999999998</v>
      </c>
      <c r="BD497" s="3">
        <v>10853.49</v>
      </c>
      <c r="BE497" s="3">
        <v>0</v>
      </c>
      <c r="BF497" s="3">
        <v>0</v>
      </c>
      <c r="BG497" s="3">
        <v>150</v>
      </c>
      <c r="BH497" s="3">
        <v>0</v>
      </c>
      <c r="BI497" s="3">
        <v>7252</v>
      </c>
      <c r="BJ497" s="3">
        <v>23587</v>
      </c>
      <c r="BK497" s="3">
        <v>150</v>
      </c>
      <c r="BL497" s="3">
        <v>23737</v>
      </c>
      <c r="BM497" s="2">
        <f t="shared" ca="1" si="15"/>
        <v>5</v>
      </c>
      <c r="BN497" s="3">
        <v>100000</v>
      </c>
      <c r="BO497" s="3">
        <v>100000</v>
      </c>
      <c r="BP497" s="3">
        <v>100000</v>
      </c>
      <c r="BQ497" s="3">
        <v>1000000</v>
      </c>
      <c r="BR497" s="3">
        <v>250000</v>
      </c>
      <c r="BS497">
        <v>2000000</v>
      </c>
      <c r="BT497">
        <v>0</v>
      </c>
      <c r="BU497">
        <v>0</v>
      </c>
      <c r="BV497">
        <v>0</v>
      </c>
      <c r="BW497">
        <v>0</v>
      </c>
      <c r="BX497">
        <v>1</v>
      </c>
      <c r="BY497">
        <v>0</v>
      </c>
      <c r="BZ497" t="s">
        <v>2943</v>
      </c>
      <c r="CA497" t="s">
        <v>2944</v>
      </c>
      <c r="CB497" t="s">
        <v>2941</v>
      </c>
    </row>
    <row r="498" spans="1:80" x14ac:dyDescent="0.25">
      <c r="A498">
        <v>497</v>
      </c>
      <c r="B498" t="s">
        <v>2512</v>
      </c>
      <c r="C498" s="1">
        <v>44720</v>
      </c>
      <c r="D498" s="2">
        <v>18</v>
      </c>
      <c r="E498" t="s">
        <v>4</v>
      </c>
      <c r="F498" t="s">
        <v>1311</v>
      </c>
      <c r="G498">
        <v>0</v>
      </c>
      <c r="H498" s="3">
        <v>0</v>
      </c>
      <c r="I498" s="3">
        <v>0</v>
      </c>
      <c r="J498" s="3">
        <v>1850000</v>
      </c>
      <c r="K498" s="3">
        <v>0</v>
      </c>
      <c r="L498" s="3" t="s">
        <v>1192</v>
      </c>
      <c r="M498">
        <v>1930142</v>
      </c>
      <c r="N498" t="s">
        <v>891</v>
      </c>
      <c r="O498" t="s">
        <v>892</v>
      </c>
      <c r="P498" t="s">
        <v>29</v>
      </c>
      <c r="Q498" t="s">
        <v>14</v>
      </c>
      <c r="R498">
        <v>10023</v>
      </c>
      <c r="S498" t="s">
        <v>29</v>
      </c>
      <c r="T498" t="s">
        <v>968</v>
      </c>
      <c r="U498">
        <v>0</v>
      </c>
      <c r="V498" t="s">
        <v>990</v>
      </c>
      <c r="W498" t="s">
        <v>1194</v>
      </c>
      <c r="X498" t="s">
        <v>973</v>
      </c>
      <c r="Y498">
        <v>100000</v>
      </c>
      <c r="Z498" s="2">
        <v>10</v>
      </c>
      <c r="AA498" s="2" t="s">
        <v>1238</v>
      </c>
      <c r="AB498" t="s">
        <v>1238</v>
      </c>
      <c r="AC498">
        <v>823</v>
      </c>
      <c r="AD498" t="s">
        <v>1280</v>
      </c>
      <c r="AE498">
        <v>1</v>
      </c>
      <c r="AF498" t="s">
        <v>1290</v>
      </c>
      <c r="AG498">
        <v>0</v>
      </c>
      <c r="AH498">
        <v>0</v>
      </c>
      <c r="AI498">
        <v>0</v>
      </c>
      <c r="AJ498">
        <v>1902</v>
      </c>
      <c r="AK498" t="s">
        <v>1194</v>
      </c>
      <c r="AL498" t="s">
        <v>1194</v>
      </c>
      <c r="AM498" s="4" t="s">
        <v>1238</v>
      </c>
      <c r="AN498">
        <v>1</v>
      </c>
      <c r="AO498" t="s">
        <v>1316</v>
      </c>
      <c r="AP498">
        <f t="shared" si="14"/>
        <v>0</v>
      </c>
      <c r="AQ498">
        <v>0</v>
      </c>
      <c r="AR498" t="s">
        <v>1993</v>
      </c>
      <c r="AS498" t="s">
        <v>1995</v>
      </c>
      <c r="AT498" t="s">
        <v>1995</v>
      </c>
      <c r="AU498" t="s">
        <v>1995</v>
      </c>
      <c r="AV498" t="s">
        <v>1996</v>
      </c>
      <c r="AW498" t="s">
        <v>1995</v>
      </c>
      <c r="AX498" t="s">
        <v>2006</v>
      </c>
      <c r="AY498" t="s">
        <v>1996</v>
      </c>
      <c r="AZ498">
        <v>2800</v>
      </c>
      <c r="BA498" t="s">
        <v>1194</v>
      </c>
      <c r="BB498" t="s">
        <v>1194</v>
      </c>
      <c r="BC498" s="3">
        <v>6793.0497999999998</v>
      </c>
      <c r="BD498" s="3">
        <v>992.47</v>
      </c>
      <c r="BE498" s="3">
        <v>0</v>
      </c>
      <c r="BF498" s="3">
        <v>0</v>
      </c>
      <c r="BG498" s="3">
        <v>0</v>
      </c>
      <c r="BH498" s="3">
        <v>0</v>
      </c>
      <c r="BI498" s="3">
        <v>1464</v>
      </c>
      <c r="BJ498" s="3">
        <v>9250</v>
      </c>
      <c r="BK498" s="3">
        <v>0</v>
      </c>
      <c r="BL498" s="3">
        <v>9250</v>
      </c>
      <c r="BM498" s="2">
        <f t="shared" ca="1" si="15"/>
        <v>3</v>
      </c>
      <c r="BN498" s="3">
        <v>1000000</v>
      </c>
      <c r="BO498" s="3">
        <v>500000</v>
      </c>
      <c r="BP498" s="3">
        <v>100000</v>
      </c>
      <c r="BQ498" s="3">
        <v>50000</v>
      </c>
      <c r="BR498" s="3">
        <v>500000</v>
      </c>
      <c r="BS498">
        <v>2000000</v>
      </c>
      <c r="BT498">
        <v>0</v>
      </c>
      <c r="BU498">
        <v>0</v>
      </c>
      <c r="BV498">
        <v>0</v>
      </c>
      <c r="BW498">
        <v>0</v>
      </c>
      <c r="BX498">
        <v>1</v>
      </c>
      <c r="BY498">
        <v>0</v>
      </c>
      <c r="BZ498" t="s">
        <v>2942</v>
      </c>
      <c r="CA498" t="s">
        <v>2006</v>
      </c>
      <c r="CB498" t="s">
        <v>2946</v>
      </c>
    </row>
    <row r="499" spans="1:80" x14ac:dyDescent="0.25">
      <c r="A499">
        <v>498</v>
      </c>
      <c r="B499" t="s">
        <v>2513</v>
      </c>
      <c r="C499" s="1">
        <v>44750</v>
      </c>
      <c r="D499" s="2">
        <v>21</v>
      </c>
      <c r="E499" t="s">
        <v>4</v>
      </c>
      <c r="F499" t="s">
        <v>1311</v>
      </c>
      <c r="G499">
        <v>0</v>
      </c>
      <c r="H499" s="3">
        <v>2100000</v>
      </c>
      <c r="I499" s="3">
        <v>50000</v>
      </c>
      <c r="J499" s="3">
        <v>0</v>
      </c>
      <c r="K499" s="3">
        <v>0</v>
      </c>
      <c r="L499" s="3" t="s">
        <v>1191</v>
      </c>
      <c r="M499">
        <v>1922367</v>
      </c>
      <c r="N499" t="s">
        <v>893</v>
      </c>
      <c r="P499" t="s">
        <v>271</v>
      </c>
      <c r="Q499" t="s">
        <v>14</v>
      </c>
      <c r="R499">
        <v>11230</v>
      </c>
      <c r="S499" t="s">
        <v>67</v>
      </c>
      <c r="T499" t="s">
        <v>962</v>
      </c>
      <c r="U499">
        <v>0</v>
      </c>
      <c r="V499" t="s">
        <v>1176</v>
      </c>
      <c r="W499" t="s">
        <v>1194</v>
      </c>
      <c r="X499" t="s">
        <v>973</v>
      </c>
      <c r="Y499">
        <v>10000</v>
      </c>
      <c r="Z499" s="2">
        <v>2</v>
      </c>
      <c r="AA499" s="2" t="s">
        <v>1238</v>
      </c>
      <c r="AB499" t="s">
        <v>1238</v>
      </c>
      <c r="AC499">
        <v>742</v>
      </c>
      <c r="AD499" t="s">
        <v>1279</v>
      </c>
      <c r="AE499">
        <v>1</v>
      </c>
      <c r="AF499" t="s">
        <v>1290</v>
      </c>
      <c r="AG499">
        <v>0</v>
      </c>
      <c r="AH499">
        <v>0</v>
      </c>
      <c r="AI499">
        <v>0</v>
      </c>
      <c r="AJ499">
        <v>1920</v>
      </c>
      <c r="AK499">
        <v>2022</v>
      </c>
      <c r="AL499" t="s">
        <v>1194</v>
      </c>
      <c r="AM499" s="4" t="s">
        <v>1238</v>
      </c>
      <c r="AN499">
        <v>1</v>
      </c>
      <c r="AO499" t="s">
        <v>1317</v>
      </c>
      <c r="AP499">
        <f t="shared" si="14"/>
        <v>0</v>
      </c>
      <c r="AQ499">
        <v>1</v>
      </c>
      <c r="AR499" t="s">
        <v>1992</v>
      </c>
      <c r="AS499" t="s">
        <v>1996</v>
      </c>
      <c r="AT499" t="s">
        <v>1996</v>
      </c>
      <c r="AU499" t="s">
        <v>1996</v>
      </c>
      <c r="AV499" t="s">
        <v>1996</v>
      </c>
      <c r="AW499" t="s">
        <v>1996</v>
      </c>
      <c r="AX499" t="s">
        <v>2006</v>
      </c>
      <c r="AY499" t="s">
        <v>1996</v>
      </c>
      <c r="AZ499">
        <v>3731</v>
      </c>
      <c r="BA499" t="s">
        <v>1194</v>
      </c>
      <c r="BB499" t="s">
        <v>1194</v>
      </c>
      <c r="BC499" s="3">
        <v>10589.0494</v>
      </c>
      <c r="BD499" s="3">
        <v>1816.25</v>
      </c>
      <c r="BE499" s="3">
        <v>0</v>
      </c>
      <c r="BF499" s="3">
        <v>0</v>
      </c>
      <c r="BG499" s="3">
        <v>150</v>
      </c>
      <c r="BH499" s="3">
        <v>0</v>
      </c>
      <c r="BI499" s="3">
        <v>343</v>
      </c>
      <c r="BJ499" s="3">
        <v>12898</v>
      </c>
      <c r="BK499" s="3">
        <v>0</v>
      </c>
      <c r="BL499" s="3">
        <v>12898</v>
      </c>
      <c r="BM499" s="2">
        <f t="shared" ca="1" si="15"/>
        <v>4</v>
      </c>
      <c r="BN499" s="3">
        <v>50000</v>
      </c>
      <c r="BO499" s="3">
        <v>100000</v>
      </c>
      <c r="BP499" s="3">
        <v>100000</v>
      </c>
      <c r="BQ499" s="3">
        <v>1000000</v>
      </c>
      <c r="BR499" s="3">
        <v>100000</v>
      </c>
      <c r="BS499">
        <v>100000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 t="s">
        <v>2942</v>
      </c>
      <c r="CA499" t="s">
        <v>2006</v>
      </c>
      <c r="CB499" t="s">
        <v>2006</v>
      </c>
    </row>
    <row r="500" spans="1:80" x14ac:dyDescent="0.25">
      <c r="A500">
        <v>499</v>
      </c>
      <c r="B500" t="s">
        <v>2514</v>
      </c>
      <c r="C500" s="1">
        <v>44708</v>
      </c>
      <c r="D500" s="2">
        <v>15</v>
      </c>
      <c r="E500" t="s">
        <v>4</v>
      </c>
      <c r="F500" t="s">
        <v>1311</v>
      </c>
      <c r="G500">
        <v>0</v>
      </c>
      <c r="H500" s="3">
        <v>5307315</v>
      </c>
      <c r="I500" s="3">
        <v>6625239</v>
      </c>
      <c r="J500" s="3">
        <v>0</v>
      </c>
      <c r="K500" s="3">
        <v>0</v>
      </c>
      <c r="L500" s="3" t="s">
        <v>1191</v>
      </c>
      <c r="M500">
        <v>1106994</v>
      </c>
      <c r="N500" t="s">
        <v>894</v>
      </c>
      <c r="P500" t="s">
        <v>895</v>
      </c>
      <c r="Q500" t="s">
        <v>19</v>
      </c>
      <c r="R500">
        <v>92210</v>
      </c>
      <c r="S500" t="s">
        <v>76</v>
      </c>
      <c r="T500" t="s">
        <v>965</v>
      </c>
      <c r="U500">
        <v>0</v>
      </c>
      <c r="V500">
        <v>23</v>
      </c>
      <c r="W500" t="s">
        <v>1202</v>
      </c>
      <c r="X500" t="s">
        <v>973</v>
      </c>
      <c r="Y500">
        <v>25000</v>
      </c>
      <c r="Z500" s="2" t="s">
        <v>1194</v>
      </c>
      <c r="AA500" s="2" t="s">
        <v>1238</v>
      </c>
      <c r="AB500" t="s">
        <v>1238</v>
      </c>
      <c r="AC500" t="s">
        <v>1194</v>
      </c>
      <c r="AD500" t="s">
        <v>1279</v>
      </c>
      <c r="AE500">
        <v>3</v>
      </c>
      <c r="AF500" t="s">
        <v>1290</v>
      </c>
      <c r="AG500">
        <v>0</v>
      </c>
      <c r="AH500">
        <v>0</v>
      </c>
      <c r="AI500">
        <v>0</v>
      </c>
      <c r="AJ500">
        <v>1989</v>
      </c>
      <c r="AK500" t="s">
        <v>1194</v>
      </c>
      <c r="AL500" t="s">
        <v>1194</v>
      </c>
      <c r="AM500" s="4" t="s">
        <v>1238</v>
      </c>
      <c r="AN500">
        <v>1</v>
      </c>
      <c r="AO500" t="s">
        <v>1315</v>
      </c>
      <c r="AP500">
        <f t="shared" si="14"/>
        <v>0</v>
      </c>
      <c r="AQ500">
        <v>0</v>
      </c>
      <c r="AR500" t="s">
        <v>1993</v>
      </c>
      <c r="AS500" t="s">
        <v>1995</v>
      </c>
      <c r="AT500" t="s">
        <v>1996</v>
      </c>
      <c r="AU500" t="s">
        <v>1996</v>
      </c>
      <c r="AV500" t="s">
        <v>1996</v>
      </c>
      <c r="AW500" t="s">
        <v>1996</v>
      </c>
      <c r="AX500" t="s">
        <v>1194</v>
      </c>
      <c r="AY500" t="s">
        <v>1996</v>
      </c>
      <c r="AZ500">
        <v>12369</v>
      </c>
      <c r="BA500">
        <v>3</v>
      </c>
      <c r="BB500" t="s">
        <v>2016</v>
      </c>
      <c r="BC500" s="3">
        <v>0</v>
      </c>
      <c r="BD500" s="3">
        <v>0</v>
      </c>
      <c r="BE500" s="3">
        <v>20459.830000000002</v>
      </c>
      <c r="BF500" s="3">
        <v>9156.6299999999992</v>
      </c>
      <c r="BG500" s="3">
        <v>150</v>
      </c>
      <c r="BH500" s="3">
        <v>0</v>
      </c>
      <c r="BI500" s="3">
        <v>53761.88</v>
      </c>
      <c r="BJ500" s="3">
        <v>83528.34</v>
      </c>
      <c r="BK500" s="3">
        <v>0</v>
      </c>
      <c r="BL500" s="3">
        <v>83528.34</v>
      </c>
      <c r="BM500" s="2">
        <f t="shared" ca="1" si="15"/>
        <v>0</v>
      </c>
      <c r="BN500" s="3">
        <v>1000000</v>
      </c>
      <c r="BO500" s="3">
        <v>250000</v>
      </c>
      <c r="BP500" s="3">
        <v>200000</v>
      </c>
      <c r="BQ500" s="3">
        <v>100000</v>
      </c>
      <c r="BR500" s="3">
        <v>2000000</v>
      </c>
      <c r="BS500">
        <v>100000</v>
      </c>
      <c r="BT500">
        <v>0</v>
      </c>
      <c r="BU500">
        <v>0</v>
      </c>
      <c r="BV500">
        <v>0</v>
      </c>
      <c r="BW500">
        <v>1</v>
      </c>
      <c r="BX500">
        <v>0</v>
      </c>
      <c r="BY500">
        <v>0</v>
      </c>
      <c r="BZ500" t="s">
        <v>2948</v>
      </c>
      <c r="CA500" t="s">
        <v>1194</v>
      </c>
      <c r="CB500" t="s">
        <v>2949</v>
      </c>
    </row>
    <row r="501" spans="1:80" x14ac:dyDescent="0.25">
      <c r="A501">
        <v>500</v>
      </c>
      <c r="B501" t="s">
        <v>2515</v>
      </c>
      <c r="C501" s="1">
        <v>44735</v>
      </c>
      <c r="D501" s="2">
        <v>18</v>
      </c>
      <c r="E501" t="s">
        <v>4</v>
      </c>
      <c r="F501" t="s">
        <v>1311</v>
      </c>
      <c r="G501">
        <v>1</v>
      </c>
      <c r="H501" s="3">
        <v>4200000</v>
      </c>
      <c r="I501" s="3">
        <v>420000</v>
      </c>
      <c r="J501" s="3">
        <v>0</v>
      </c>
      <c r="K501" s="3">
        <v>0</v>
      </c>
      <c r="L501" s="3" t="s">
        <v>1191</v>
      </c>
      <c r="M501">
        <v>1936346</v>
      </c>
      <c r="N501" t="s">
        <v>896</v>
      </c>
      <c r="P501" t="s">
        <v>403</v>
      </c>
      <c r="Q501" t="s">
        <v>14</v>
      </c>
      <c r="R501">
        <v>11976</v>
      </c>
      <c r="S501" t="s">
        <v>26</v>
      </c>
      <c r="T501" t="s">
        <v>962</v>
      </c>
      <c r="U501">
        <v>0</v>
      </c>
      <c r="V501" t="s">
        <v>1076</v>
      </c>
      <c r="W501" t="s">
        <v>1194</v>
      </c>
      <c r="X501" t="s">
        <v>973</v>
      </c>
      <c r="Y501">
        <v>10000</v>
      </c>
      <c r="Z501" s="2">
        <v>2</v>
      </c>
      <c r="AA501" s="2" t="s">
        <v>1238</v>
      </c>
      <c r="AB501" t="s">
        <v>1238</v>
      </c>
      <c r="AC501">
        <v>803</v>
      </c>
      <c r="AD501" t="s">
        <v>1279</v>
      </c>
      <c r="AE501">
        <v>3</v>
      </c>
      <c r="AF501" t="s">
        <v>1290</v>
      </c>
      <c r="AG501">
        <v>0</v>
      </c>
      <c r="AH501">
        <v>0</v>
      </c>
      <c r="AI501">
        <v>0</v>
      </c>
      <c r="AJ501">
        <v>2022</v>
      </c>
      <c r="AK501" t="s">
        <v>1194</v>
      </c>
      <c r="AL501" t="s">
        <v>1194</v>
      </c>
      <c r="AM501" s="4" t="s">
        <v>1238</v>
      </c>
      <c r="AN501">
        <v>0</v>
      </c>
      <c r="AO501" t="s">
        <v>1317</v>
      </c>
      <c r="AP501">
        <f t="shared" si="14"/>
        <v>0</v>
      </c>
      <c r="AQ501">
        <v>0</v>
      </c>
      <c r="AR501" t="s">
        <v>1993</v>
      </c>
      <c r="AS501" t="s">
        <v>1996</v>
      </c>
      <c r="AT501" t="s">
        <v>1995</v>
      </c>
      <c r="AU501" t="s">
        <v>1996</v>
      </c>
      <c r="AV501" t="s">
        <v>1996</v>
      </c>
      <c r="AW501" t="s">
        <v>1996</v>
      </c>
      <c r="AX501" t="s">
        <v>2006</v>
      </c>
      <c r="AY501" t="s">
        <v>1996</v>
      </c>
      <c r="AZ501">
        <v>5747</v>
      </c>
      <c r="BA501" t="s">
        <v>1194</v>
      </c>
      <c r="BB501" t="s">
        <v>1194</v>
      </c>
      <c r="BC501" s="3">
        <v>10312.452799999999</v>
      </c>
      <c r="BD501" s="3">
        <v>8931.27</v>
      </c>
      <c r="BE501" s="3">
        <v>0</v>
      </c>
      <c r="BF501" s="3">
        <v>0</v>
      </c>
      <c r="BG501" s="3">
        <v>0</v>
      </c>
      <c r="BH501" s="3">
        <v>0</v>
      </c>
      <c r="BI501" s="3">
        <v>11489</v>
      </c>
      <c r="BJ501" s="3">
        <v>30733</v>
      </c>
      <c r="BK501" s="3">
        <v>0</v>
      </c>
      <c r="BL501" s="3">
        <v>30733</v>
      </c>
      <c r="BM501" s="2">
        <f t="shared" ca="1" si="15"/>
        <v>0</v>
      </c>
      <c r="BN501" s="3" t="s">
        <v>2916</v>
      </c>
      <c r="BO501" s="3">
        <v>100000</v>
      </c>
      <c r="BP501" s="3">
        <v>50000</v>
      </c>
      <c r="BQ501" s="3">
        <v>50000</v>
      </c>
      <c r="BR501" s="3">
        <v>1000000</v>
      </c>
      <c r="BS501">
        <v>1000000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 t="s">
        <v>2942</v>
      </c>
      <c r="CA501" t="s">
        <v>2006</v>
      </c>
      <c r="CB501" t="s">
        <v>2006</v>
      </c>
    </row>
    <row r="502" spans="1:80" x14ac:dyDescent="0.25">
      <c r="A502">
        <v>501</v>
      </c>
      <c r="B502" t="s">
        <v>2516</v>
      </c>
      <c r="C502" s="1">
        <v>44770</v>
      </c>
      <c r="D502" s="2">
        <v>21</v>
      </c>
      <c r="E502" t="s">
        <v>4</v>
      </c>
      <c r="F502" t="s">
        <v>1311</v>
      </c>
      <c r="G502">
        <v>0</v>
      </c>
      <c r="H502" s="3">
        <v>4500000</v>
      </c>
      <c r="I502" s="3">
        <v>0</v>
      </c>
      <c r="J502" s="3">
        <v>0</v>
      </c>
      <c r="K502" s="3">
        <v>0</v>
      </c>
      <c r="L502" s="3" t="s">
        <v>1191</v>
      </c>
      <c r="M502">
        <v>1945624</v>
      </c>
      <c r="N502" t="s">
        <v>897</v>
      </c>
      <c r="P502" t="s">
        <v>898</v>
      </c>
      <c r="Q502" t="s">
        <v>14</v>
      </c>
      <c r="R502">
        <v>10506</v>
      </c>
      <c r="S502" t="s">
        <v>36</v>
      </c>
      <c r="T502" t="s">
        <v>968</v>
      </c>
      <c r="U502">
        <v>0</v>
      </c>
      <c r="V502" t="s">
        <v>1177</v>
      </c>
      <c r="W502" t="s">
        <v>1194</v>
      </c>
      <c r="X502" t="s">
        <v>973</v>
      </c>
      <c r="Y502">
        <v>10000</v>
      </c>
      <c r="Z502" s="2">
        <v>2</v>
      </c>
      <c r="AA502" s="2" t="s">
        <v>1238</v>
      </c>
      <c r="AB502" t="s">
        <v>1238</v>
      </c>
      <c r="AC502">
        <v>796</v>
      </c>
      <c r="AD502" t="s">
        <v>1279</v>
      </c>
      <c r="AE502">
        <v>4</v>
      </c>
      <c r="AF502" t="s">
        <v>1290</v>
      </c>
      <c r="AG502">
        <v>0</v>
      </c>
      <c r="AH502">
        <v>0</v>
      </c>
      <c r="AI502">
        <v>0</v>
      </c>
      <c r="AJ502">
        <v>1940</v>
      </c>
      <c r="AK502" t="s">
        <v>1194</v>
      </c>
      <c r="AL502">
        <v>2005</v>
      </c>
      <c r="AM502" s="4" t="s">
        <v>1238</v>
      </c>
      <c r="AN502">
        <v>1</v>
      </c>
      <c r="AO502" t="s">
        <v>1315</v>
      </c>
      <c r="AP502">
        <f t="shared" si="14"/>
        <v>0</v>
      </c>
      <c r="AQ502">
        <v>0</v>
      </c>
      <c r="AR502" t="s">
        <v>1993</v>
      </c>
      <c r="AS502" t="s">
        <v>1995</v>
      </c>
      <c r="AT502" t="s">
        <v>1995</v>
      </c>
      <c r="AU502" t="s">
        <v>1996</v>
      </c>
      <c r="AV502" t="s">
        <v>1995</v>
      </c>
      <c r="AW502" t="s">
        <v>1995</v>
      </c>
      <c r="AX502" t="s">
        <v>2006</v>
      </c>
      <c r="AY502" t="s">
        <v>1996</v>
      </c>
      <c r="AZ502">
        <v>6500</v>
      </c>
      <c r="BA502" t="s">
        <v>1194</v>
      </c>
      <c r="BB502" t="s">
        <v>1194</v>
      </c>
      <c r="BC502" s="3">
        <v>14666.851500000001</v>
      </c>
      <c r="BD502" s="3">
        <v>1922.72</v>
      </c>
      <c r="BE502" s="3">
        <v>0</v>
      </c>
      <c r="BF502" s="3">
        <v>0</v>
      </c>
      <c r="BG502" s="3">
        <v>0</v>
      </c>
      <c r="BH502" s="3">
        <v>0</v>
      </c>
      <c r="BI502" s="3">
        <v>5910</v>
      </c>
      <c r="BJ502" s="3">
        <v>22500</v>
      </c>
      <c r="BK502" s="3">
        <v>0</v>
      </c>
      <c r="BL502" s="3">
        <v>22500</v>
      </c>
      <c r="BM502" s="2">
        <f t="shared" ca="1" si="15"/>
        <v>5</v>
      </c>
      <c r="BN502" s="3">
        <v>100000</v>
      </c>
      <c r="BO502" s="3">
        <v>2000000</v>
      </c>
      <c r="BP502" s="3">
        <v>100000</v>
      </c>
      <c r="BQ502" s="3">
        <v>500000</v>
      </c>
      <c r="BR502" s="3">
        <v>500000</v>
      </c>
      <c r="BS502">
        <v>50000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0</v>
      </c>
      <c r="BZ502" t="s">
        <v>2006</v>
      </c>
      <c r="CA502" t="s">
        <v>2006</v>
      </c>
      <c r="CB502" t="s">
        <v>2945</v>
      </c>
    </row>
    <row r="503" spans="1:80" x14ac:dyDescent="0.25">
      <c r="A503">
        <v>502</v>
      </c>
      <c r="B503" t="s">
        <v>2517</v>
      </c>
      <c r="C503" s="1">
        <v>44762</v>
      </c>
      <c r="D503" s="2">
        <v>21</v>
      </c>
      <c r="E503" t="s">
        <v>4</v>
      </c>
      <c r="F503" t="s">
        <v>1311</v>
      </c>
      <c r="G503">
        <v>1</v>
      </c>
      <c r="H503" s="3">
        <v>3700000</v>
      </c>
      <c r="I503" s="3">
        <v>370000</v>
      </c>
      <c r="J503" s="3">
        <v>0</v>
      </c>
      <c r="K503" s="3">
        <v>0</v>
      </c>
      <c r="L503" s="3" t="s">
        <v>1191</v>
      </c>
      <c r="M503">
        <v>1946212</v>
      </c>
      <c r="N503" t="s">
        <v>899</v>
      </c>
      <c r="P503" t="s">
        <v>900</v>
      </c>
      <c r="Q503" t="s">
        <v>15</v>
      </c>
      <c r="R503">
        <v>32461</v>
      </c>
      <c r="S503" t="s">
        <v>71</v>
      </c>
      <c r="T503" t="s">
        <v>964</v>
      </c>
      <c r="U503">
        <v>1</v>
      </c>
      <c r="V503" t="s">
        <v>1051</v>
      </c>
      <c r="W503" t="s">
        <v>1194</v>
      </c>
      <c r="X503" t="s">
        <v>1309</v>
      </c>
      <c r="Y503">
        <v>100000</v>
      </c>
      <c r="Z503" s="2">
        <v>25</v>
      </c>
      <c r="AA503" s="2" t="s">
        <v>1238</v>
      </c>
      <c r="AB503" t="s">
        <v>1238</v>
      </c>
      <c r="AC503">
        <v>605</v>
      </c>
      <c r="AD503" t="s">
        <v>1279</v>
      </c>
      <c r="AE503">
        <v>3</v>
      </c>
      <c r="AF503" t="s">
        <v>1290</v>
      </c>
      <c r="AG503">
        <v>0</v>
      </c>
      <c r="AH503">
        <v>0</v>
      </c>
      <c r="AI503">
        <v>0</v>
      </c>
      <c r="AJ503">
        <v>2021</v>
      </c>
      <c r="AK503" t="s">
        <v>1194</v>
      </c>
      <c r="AL503" t="s">
        <v>1194</v>
      </c>
      <c r="AM503" s="4" t="s">
        <v>1238</v>
      </c>
      <c r="AN503">
        <v>0</v>
      </c>
      <c r="AO503" t="s">
        <v>1315</v>
      </c>
      <c r="AP503">
        <f t="shared" si="14"/>
        <v>0</v>
      </c>
      <c r="AQ503">
        <v>1</v>
      </c>
      <c r="AR503" t="s">
        <v>1992</v>
      </c>
      <c r="AS503" t="s">
        <v>1995</v>
      </c>
      <c r="AT503" t="s">
        <v>1996</v>
      </c>
      <c r="AU503" t="s">
        <v>1996</v>
      </c>
      <c r="AV503" t="s">
        <v>1996</v>
      </c>
      <c r="AW503" t="s">
        <v>1996</v>
      </c>
      <c r="AX503" t="s">
        <v>2007</v>
      </c>
      <c r="AY503" t="s">
        <v>1995</v>
      </c>
      <c r="AZ503">
        <v>4772</v>
      </c>
      <c r="BA503" t="s">
        <v>1194</v>
      </c>
      <c r="BB503" t="s">
        <v>1194</v>
      </c>
      <c r="BC503" s="3">
        <v>6134.7267000000002</v>
      </c>
      <c r="BD503" s="3">
        <v>8866.15</v>
      </c>
      <c r="BE503" s="3">
        <v>0</v>
      </c>
      <c r="BF503" s="3">
        <v>0</v>
      </c>
      <c r="BG503" s="3">
        <v>300</v>
      </c>
      <c r="BH503" s="3">
        <v>0</v>
      </c>
      <c r="BI503" s="3">
        <v>30144</v>
      </c>
      <c r="BJ503" s="3">
        <v>45445</v>
      </c>
      <c r="BK503" s="3">
        <v>1456.04</v>
      </c>
      <c r="BL503" s="3">
        <v>46901.04</v>
      </c>
      <c r="BM503" s="2">
        <f t="shared" ca="1" si="15"/>
        <v>1</v>
      </c>
      <c r="BN503" s="3">
        <v>1000000</v>
      </c>
      <c r="BO503" s="3">
        <v>100000</v>
      </c>
      <c r="BP503" s="3">
        <v>100000</v>
      </c>
      <c r="BQ503" s="3">
        <v>250000</v>
      </c>
      <c r="BR503" s="3">
        <v>1000000</v>
      </c>
      <c r="BS503">
        <v>2000000</v>
      </c>
      <c r="BT503">
        <v>0</v>
      </c>
      <c r="BU503">
        <v>0</v>
      </c>
      <c r="BV503">
        <v>0</v>
      </c>
      <c r="BW503">
        <v>0</v>
      </c>
      <c r="BX503">
        <v>1</v>
      </c>
      <c r="BY503">
        <v>0</v>
      </c>
      <c r="BZ503" t="s">
        <v>2940</v>
      </c>
      <c r="CA503" t="s">
        <v>2939</v>
      </c>
      <c r="CB503" t="s">
        <v>2945</v>
      </c>
    </row>
    <row r="504" spans="1:80" x14ac:dyDescent="0.25">
      <c r="A504">
        <v>503</v>
      </c>
      <c r="B504" t="s">
        <v>2518</v>
      </c>
      <c r="C504" s="1">
        <v>44757</v>
      </c>
      <c r="D504" s="2">
        <v>21</v>
      </c>
      <c r="E504" t="s">
        <v>4</v>
      </c>
      <c r="F504" t="s">
        <v>1311</v>
      </c>
      <c r="G504">
        <v>1</v>
      </c>
      <c r="H504" s="3">
        <v>5500000</v>
      </c>
      <c r="I504" s="3">
        <v>0</v>
      </c>
      <c r="J504" s="3">
        <v>0</v>
      </c>
      <c r="K504" s="3">
        <v>0</v>
      </c>
      <c r="L504" s="3" t="s">
        <v>1191</v>
      </c>
      <c r="M504">
        <v>1948319</v>
      </c>
      <c r="N504" t="s">
        <v>901</v>
      </c>
      <c r="P504" t="s">
        <v>902</v>
      </c>
      <c r="Q504" t="s">
        <v>16</v>
      </c>
      <c r="R504">
        <v>7740</v>
      </c>
      <c r="S504" t="s">
        <v>52</v>
      </c>
      <c r="T504" t="s">
        <v>970</v>
      </c>
      <c r="U504">
        <v>1</v>
      </c>
      <c r="V504" t="s">
        <v>1178</v>
      </c>
      <c r="W504" t="s">
        <v>1194</v>
      </c>
      <c r="X504" t="s">
        <v>1309</v>
      </c>
      <c r="Y504">
        <v>10000</v>
      </c>
      <c r="Z504" s="2">
        <v>2</v>
      </c>
      <c r="AA504" s="2" t="s">
        <v>1238</v>
      </c>
      <c r="AB504" t="s">
        <v>1238</v>
      </c>
      <c r="AC504">
        <v>692</v>
      </c>
      <c r="AD504" t="s">
        <v>1279</v>
      </c>
      <c r="AE504">
        <v>3</v>
      </c>
      <c r="AF504" t="s">
        <v>1290</v>
      </c>
      <c r="AG504">
        <v>0</v>
      </c>
      <c r="AH504">
        <v>0</v>
      </c>
      <c r="AI504">
        <v>0</v>
      </c>
      <c r="AJ504">
        <v>2022</v>
      </c>
      <c r="AK504" t="s">
        <v>1194</v>
      </c>
      <c r="AL504" t="s">
        <v>1194</v>
      </c>
      <c r="AM504" s="4" t="s">
        <v>1238</v>
      </c>
      <c r="AN504">
        <v>0</v>
      </c>
      <c r="AO504" t="s">
        <v>1315</v>
      </c>
      <c r="AP504">
        <f t="shared" si="14"/>
        <v>0</v>
      </c>
      <c r="AQ504">
        <v>1</v>
      </c>
      <c r="AR504" t="s">
        <v>1992</v>
      </c>
      <c r="AS504" t="s">
        <v>1996</v>
      </c>
      <c r="AT504" t="s">
        <v>1995</v>
      </c>
      <c r="AU504" t="s">
        <v>1995</v>
      </c>
      <c r="AV504" t="s">
        <v>1995</v>
      </c>
      <c r="AW504" t="s">
        <v>1996</v>
      </c>
      <c r="AX504" t="s">
        <v>2006</v>
      </c>
      <c r="AY504" t="s">
        <v>1996</v>
      </c>
      <c r="AZ504">
        <v>6700</v>
      </c>
      <c r="BA504" t="s">
        <v>1194</v>
      </c>
      <c r="BB504" t="s">
        <v>1194</v>
      </c>
      <c r="BC504" s="3">
        <v>9805.0480000000007</v>
      </c>
      <c r="BD504" s="3">
        <v>5317.96</v>
      </c>
      <c r="BE504" s="3">
        <v>0</v>
      </c>
      <c r="BF504" s="3">
        <v>0</v>
      </c>
      <c r="BG504" s="3">
        <v>0</v>
      </c>
      <c r="BH504" s="3">
        <v>0</v>
      </c>
      <c r="BI504" s="3">
        <v>9627</v>
      </c>
      <c r="BJ504" s="3">
        <v>24750</v>
      </c>
      <c r="BK504" s="3">
        <v>0</v>
      </c>
      <c r="BL504" s="3">
        <v>24750</v>
      </c>
      <c r="BM504" s="2">
        <f t="shared" ca="1" si="15"/>
        <v>3</v>
      </c>
      <c r="BN504" s="3">
        <v>1000000</v>
      </c>
      <c r="BO504" s="3">
        <v>250000</v>
      </c>
      <c r="BP504" s="3">
        <v>100000</v>
      </c>
      <c r="BQ504" s="3">
        <v>2000000</v>
      </c>
      <c r="BR504" s="3">
        <v>2000000</v>
      </c>
      <c r="BS504">
        <v>250000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 t="s">
        <v>2942</v>
      </c>
      <c r="CA504" t="s">
        <v>2006</v>
      </c>
      <c r="CB504" t="s">
        <v>2006</v>
      </c>
    </row>
    <row r="505" spans="1:80" x14ac:dyDescent="0.25">
      <c r="A505">
        <v>504</v>
      </c>
      <c r="B505" t="s">
        <v>2519</v>
      </c>
      <c r="C505" s="1">
        <v>44791</v>
      </c>
      <c r="D505" s="2">
        <v>24</v>
      </c>
      <c r="E505" t="s">
        <v>4</v>
      </c>
      <c r="F505" t="s">
        <v>1311</v>
      </c>
      <c r="G505">
        <v>1</v>
      </c>
      <c r="H505" s="3">
        <v>0</v>
      </c>
      <c r="I505" s="3">
        <v>0</v>
      </c>
      <c r="J505" s="3">
        <v>875550</v>
      </c>
      <c r="K505" s="3">
        <v>0</v>
      </c>
      <c r="L505" s="3" t="s">
        <v>1192</v>
      </c>
      <c r="M505">
        <v>1960736</v>
      </c>
      <c r="N505" t="s">
        <v>903</v>
      </c>
      <c r="O505" t="s">
        <v>904</v>
      </c>
      <c r="P505" t="s">
        <v>29</v>
      </c>
      <c r="Q505" t="s">
        <v>14</v>
      </c>
      <c r="R505">
        <v>10028</v>
      </c>
      <c r="S505" t="s">
        <v>29</v>
      </c>
      <c r="T505" t="s">
        <v>968</v>
      </c>
      <c r="U505">
        <v>0</v>
      </c>
      <c r="V505" t="s">
        <v>1000</v>
      </c>
      <c r="W505" t="s">
        <v>1194</v>
      </c>
      <c r="X505" t="s">
        <v>973</v>
      </c>
      <c r="Y505">
        <v>10000</v>
      </c>
      <c r="Z505" s="2">
        <v>2</v>
      </c>
      <c r="AA505" s="2" t="s">
        <v>1238</v>
      </c>
      <c r="AB505" t="s">
        <v>1238</v>
      </c>
      <c r="AC505">
        <v>825</v>
      </c>
      <c r="AD505" t="s">
        <v>1281</v>
      </c>
      <c r="AE505">
        <v>1</v>
      </c>
      <c r="AF505" t="s">
        <v>1290</v>
      </c>
      <c r="AG505">
        <v>0</v>
      </c>
      <c r="AH505">
        <v>0</v>
      </c>
      <c r="AI505">
        <v>0</v>
      </c>
      <c r="AJ505">
        <v>1971</v>
      </c>
      <c r="AK505" t="s">
        <v>1194</v>
      </c>
      <c r="AL505" t="s">
        <v>1194</v>
      </c>
      <c r="AM505" s="4" t="s">
        <v>1238</v>
      </c>
      <c r="AN505">
        <v>0</v>
      </c>
      <c r="AO505" t="s">
        <v>1315</v>
      </c>
      <c r="AP505">
        <f t="shared" si="14"/>
        <v>0</v>
      </c>
      <c r="AQ505">
        <v>1</v>
      </c>
      <c r="AR505" t="s">
        <v>1992</v>
      </c>
      <c r="AS505" t="s">
        <v>1995</v>
      </c>
      <c r="AT505" t="s">
        <v>1995</v>
      </c>
      <c r="AU505" t="s">
        <v>1995</v>
      </c>
      <c r="AV505" t="s">
        <v>1995</v>
      </c>
      <c r="AW505" t="s">
        <v>1995</v>
      </c>
      <c r="AX505" t="s">
        <v>2006</v>
      </c>
      <c r="AY505" t="s">
        <v>1996</v>
      </c>
      <c r="AZ505">
        <v>1400</v>
      </c>
      <c r="BA505" t="s">
        <v>1194</v>
      </c>
      <c r="BB505" t="s">
        <v>1194</v>
      </c>
      <c r="BC505" s="3">
        <v>3494.1646999999998</v>
      </c>
      <c r="BD505" s="3">
        <v>769.22</v>
      </c>
      <c r="BE505" s="3">
        <v>0</v>
      </c>
      <c r="BF505" s="3">
        <v>0</v>
      </c>
      <c r="BG505" s="3">
        <v>150</v>
      </c>
      <c r="BH505" s="3">
        <v>0</v>
      </c>
      <c r="BI505" s="3">
        <v>567</v>
      </c>
      <c r="BJ505" s="3">
        <v>4980</v>
      </c>
      <c r="BK505" s="3">
        <v>0</v>
      </c>
      <c r="BL505" s="3">
        <v>4980</v>
      </c>
      <c r="BM505" s="2">
        <f t="shared" ca="1" si="15"/>
        <v>4</v>
      </c>
      <c r="BN505" s="3">
        <v>50000</v>
      </c>
      <c r="BO505" s="3">
        <v>1000000</v>
      </c>
      <c r="BP505" s="3">
        <v>50000</v>
      </c>
      <c r="BQ505" s="3">
        <v>1000000</v>
      </c>
      <c r="BR505" s="3">
        <v>50000</v>
      </c>
      <c r="BS505">
        <v>250000</v>
      </c>
      <c r="BT505">
        <v>0</v>
      </c>
      <c r="BU505">
        <v>0</v>
      </c>
      <c r="BV505">
        <v>0</v>
      </c>
      <c r="BW505">
        <v>0</v>
      </c>
      <c r="BX505">
        <v>1</v>
      </c>
      <c r="BY505">
        <v>0</v>
      </c>
      <c r="BZ505" t="s">
        <v>2942</v>
      </c>
      <c r="CA505" t="s">
        <v>2006</v>
      </c>
      <c r="CB505" t="s">
        <v>2946</v>
      </c>
    </row>
    <row r="506" spans="1:80" x14ac:dyDescent="0.25">
      <c r="A506">
        <v>505</v>
      </c>
      <c r="B506" t="s">
        <v>2520</v>
      </c>
      <c r="C506" s="1">
        <v>44900</v>
      </c>
      <c r="D506" s="2">
        <v>36</v>
      </c>
      <c r="E506" t="s">
        <v>4</v>
      </c>
      <c r="F506" t="s">
        <v>1311</v>
      </c>
      <c r="G506">
        <v>1</v>
      </c>
      <c r="H506" s="3">
        <v>2000000</v>
      </c>
      <c r="I506" s="3">
        <v>150000</v>
      </c>
      <c r="J506" s="3">
        <v>0</v>
      </c>
      <c r="K506" s="3">
        <v>0</v>
      </c>
      <c r="L506" s="3" t="s">
        <v>1191</v>
      </c>
      <c r="M506">
        <v>1952315</v>
      </c>
      <c r="N506" t="s">
        <v>905</v>
      </c>
      <c r="P506" t="s">
        <v>111</v>
      </c>
      <c r="Q506" t="s">
        <v>14</v>
      </c>
      <c r="R506">
        <v>11937</v>
      </c>
      <c r="S506" t="s">
        <v>26</v>
      </c>
      <c r="T506" t="s">
        <v>962</v>
      </c>
      <c r="U506">
        <v>0</v>
      </c>
      <c r="V506" t="s">
        <v>1005</v>
      </c>
      <c r="W506" t="s">
        <v>1194</v>
      </c>
      <c r="X506" t="s">
        <v>973</v>
      </c>
      <c r="Y506">
        <v>10000</v>
      </c>
      <c r="Z506" s="2">
        <v>2</v>
      </c>
      <c r="AA506" s="2" t="s">
        <v>1238</v>
      </c>
      <c r="AB506" t="s">
        <v>1238</v>
      </c>
      <c r="AC506">
        <v>738</v>
      </c>
      <c r="AD506" t="s">
        <v>1279</v>
      </c>
      <c r="AE506">
        <v>3</v>
      </c>
      <c r="AF506" t="s">
        <v>1290</v>
      </c>
      <c r="AG506">
        <v>0</v>
      </c>
      <c r="AH506">
        <v>0</v>
      </c>
      <c r="AI506">
        <v>0</v>
      </c>
      <c r="AJ506">
        <v>2022</v>
      </c>
      <c r="AK506" t="s">
        <v>1194</v>
      </c>
      <c r="AL506" t="s">
        <v>1194</v>
      </c>
      <c r="AM506" s="4" t="s">
        <v>1238</v>
      </c>
      <c r="AN506">
        <v>1</v>
      </c>
      <c r="AO506" t="s">
        <v>1315</v>
      </c>
      <c r="AP506">
        <f t="shared" si="14"/>
        <v>0</v>
      </c>
      <c r="AQ506">
        <v>0</v>
      </c>
      <c r="AR506" t="s">
        <v>1993</v>
      </c>
      <c r="AS506" t="s">
        <v>1995</v>
      </c>
      <c r="AT506" t="s">
        <v>1996</v>
      </c>
      <c r="AU506" t="s">
        <v>1996</v>
      </c>
      <c r="AV506" t="s">
        <v>1996</v>
      </c>
      <c r="AW506" t="s">
        <v>1995</v>
      </c>
      <c r="AX506" t="s">
        <v>2006</v>
      </c>
      <c r="AY506" t="s">
        <v>1996</v>
      </c>
      <c r="AZ506">
        <v>4000</v>
      </c>
      <c r="BA506" t="s">
        <v>1194</v>
      </c>
      <c r="BB506" t="s">
        <v>1194</v>
      </c>
      <c r="BC506" s="3">
        <v>5769.4612999999999</v>
      </c>
      <c r="BD506" s="3">
        <v>5209.3599999999997</v>
      </c>
      <c r="BE506" s="3">
        <v>0</v>
      </c>
      <c r="BF506" s="3">
        <v>0</v>
      </c>
      <c r="BG506" s="3">
        <v>150</v>
      </c>
      <c r="BH506" s="3">
        <v>0</v>
      </c>
      <c r="BI506" s="3">
        <v>1771</v>
      </c>
      <c r="BJ506" s="3">
        <v>12900</v>
      </c>
      <c r="BK506" s="3">
        <v>300</v>
      </c>
      <c r="BL506" s="3">
        <v>13200</v>
      </c>
      <c r="BM506" s="2">
        <f t="shared" ca="1" si="15"/>
        <v>1</v>
      </c>
      <c r="BN506" s="3">
        <v>100000</v>
      </c>
      <c r="BO506" s="3">
        <v>1000000</v>
      </c>
      <c r="BP506" s="3">
        <v>50000</v>
      </c>
      <c r="BQ506" s="3">
        <v>25000</v>
      </c>
      <c r="BR506" s="3" t="s">
        <v>2916</v>
      </c>
      <c r="BS506">
        <v>500000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 t="s">
        <v>2942</v>
      </c>
      <c r="CA506" t="s">
        <v>2006</v>
      </c>
      <c r="CB506" t="s">
        <v>2006</v>
      </c>
    </row>
    <row r="507" spans="1:80" x14ac:dyDescent="0.25">
      <c r="A507">
        <v>506</v>
      </c>
      <c r="B507" t="s">
        <v>2521</v>
      </c>
      <c r="C507" s="1">
        <v>44774</v>
      </c>
      <c r="D507" s="2">
        <v>24</v>
      </c>
      <c r="E507" t="s">
        <v>4</v>
      </c>
      <c r="F507" t="s">
        <v>1311</v>
      </c>
      <c r="G507">
        <v>1</v>
      </c>
      <c r="H507" s="3">
        <v>5500000</v>
      </c>
      <c r="I507" s="3">
        <v>50000</v>
      </c>
      <c r="J507" s="3">
        <v>0</v>
      </c>
      <c r="K507" s="3">
        <v>0</v>
      </c>
      <c r="L507" s="3" t="s">
        <v>1191</v>
      </c>
      <c r="M507">
        <v>1953376</v>
      </c>
      <c r="N507" t="s">
        <v>906</v>
      </c>
      <c r="P507" t="s">
        <v>827</v>
      </c>
      <c r="Q507" t="s">
        <v>17</v>
      </c>
      <c r="R507">
        <v>29455</v>
      </c>
      <c r="S507" t="s">
        <v>31</v>
      </c>
      <c r="T507" t="s">
        <v>962</v>
      </c>
      <c r="U507">
        <v>0</v>
      </c>
      <c r="V507" t="s">
        <v>1179</v>
      </c>
      <c r="W507" t="s">
        <v>1194</v>
      </c>
      <c r="X507" t="s">
        <v>973</v>
      </c>
      <c r="Y507">
        <v>50000</v>
      </c>
      <c r="Z507" s="2">
        <v>5</v>
      </c>
      <c r="AA507" s="2" t="s">
        <v>1238</v>
      </c>
      <c r="AB507" t="s">
        <v>1238</v>
      </c>
      <c r="AC507">
        <v>759</v>
      </c>
      <c r="AD507" t="s">
        <v>1279</v>
      </c>
      <c r="AE507">
        <v>2</v>
      </c>
      <c r="AF507" t="s">
        <v>1290</v>
      </c>
      <c r="AG507">
        <v>0</v>
      </c>
      <c r="AH507">
        <v>0</v>
      </c>
      <c r="AI507">
        <v>0</v>
      </c>
      <c r="AJ507">
        <v>2021</v>
      </c>
      <c r="AK507" t="s">
        <v>1194</v>
      </c>
      <c r="AL507" t="s">
        <v>1194</v>
      </c>
      <c r="AM507" s="4" t="s">
        <v>1238</v>
      </c>
      <c r="AN507">
        <v>1</v>
      </c>
      <c r="AO507" t="s">
        <v>1316</v>
      </c>
      <c r="AP507">
        <f t="shared" si="14"/>
        <v>0</v>
      </c>
      <c r="AQ507">
        <v>1</v>
      </c>
      <c r="AR507" t="s">
        <v>1992</v>
      </c>
      <c r="AS507" t="s">
        <v>1996</v>
      </c>
      <c r="AT507" t="s">
        <v>1995</v>
      </c>
      <c r="AU507" t="s">
        <v>1995</v>
      </c>
      <c r="AV507" t="s">
        <v>1995</v>
      </c>
      <c r="AW507" t="s">
        <v>1995</v>
      </c>
      <c r="AX507" t="s">
        <v>2006</v>
      </c>
      <c r="AY507" t="s">
        <v>1996</v>
      </c>
      <c r="AZ507">
        <v>5500</v>
      </c>
      <c r="BA507" t="s">
        <v>1194</v>
      </c>
      <c r="BB507" t="s">
        <v>1194</v>
      </c>
      <c r="BC507" s="3">
        <v>5636.4651000000003</v>
      </c>
      <c r="BD507" s="3">
        <v>11944.87</v>
      </c>
      <c r="BE507" s="3">
        <v>0</v>
      </c>
      <c r="BF507" s="3">
        <v>0</v>
      </c>
      <c r="BG507" s="3">
        <v>150</v>
      </c>
      <c r="BH507" s="3">
        <v>0</v>
      </c>
      <c r="BI507" s="3">
        <v>112694</v>
      </c>
      <c r="BJ507" s="3">
        <v>130425</v>
      </c>
      <c r="BK507" s="3">
        <v>400</v>
      </c>
      <c r="BL507" s="3">
        <v>130825</v>
      </c>
      <c r="BM507" s="2">
        <f t="shared" ca="1" si="15"/>
        <v>3</v>
      </c>
      <c r="BN507" s="3">
        <v>2000000</v>
      </c>
      <c r="BO507" s="3">
        <v>50000</v>
      </c>
      <c r="BP507" s="3">
        <v>50000</v>
      </c>
      <c r="BQ507" s="3">
        <v>2000000</v>
      </c>
      <c r="BR507" s="3">
        <v>2000000</v>
      </c>
      <c r="BS507">
        <v>100000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 t="s">
        <v>2943</v>
      </c>
      <c r="CA507" t="s">
        <v>2006</v>
      </c>
      <c r="CB507" t="s">
        <v>2945</v>
      </c>
    </row>
    <row r="508" spans="1:80" x14ac:dyDescent="0.25">
      <c r="A508">
        <v>507</v>
      </c>
      <c r="B508" t="s">
        <v>2522</v>
      </c>
      <c r="C508" s="1">
        <v>44764</v>
      </c>
      <c r="D508" s="2">
        <v>21</v>
      </c>
      <c r="E508" t="s">
        <v>4</v>
      </c>
      <c r="F508" t="s">
        <v>1311</v>
      </c>
      <c r="G508">
        <v>0</v>
      </c>
      <c r="H508" s="3">
        <v>5500000</v>
      </c>
      <c r="I508" s="3">
        <v>1000000</v>
      </c>
      <c r="J508" s="3">
        <v>0</v>
      </c>
      <c r="K508" s="3">
        <v>0</v>
      </c>
      <c r="L508" s="3" t="s">
        <v>1191</v>
      </c>
      <c r="M508">
        <v>1908140</v>
      </c>
      <c r="N508" t="s">
        <v>907</v>
      </c>
      <c r="P508" t="s">
        <v>908</v>
      </c>
      <c r="Q508" t="s">
        <v>19</v>
      </c>
      <c r="R508">
        <v>92649</v>
      </c>
      <c r="S508" t="s">
        <v>37</v>
      </c>
      <c r="T508" t="s">
        <v>974</v>
      </c>
      <c r="U508">
        <v>0</v>
      </c>
      <c r="V508">
        <v>7</v>
      </c>
      <c r="W508" t="s">
        <v>1217</v>
      </c>
      <c r="X508" t="s">
        <v>973</v>
      </c>
      <c r="Y508">
        <v>25000</v>
      </c>
      <c r="Z508" s="2" t="s">
        <v>1194</v>
      </c>
      <c r="AA508" s="2" t="s">
        <v>1238</v>
      </c>
      <c r="AB508" t="s">
        <v>1238</v>
      </c>
      <c r="AC508" t="s">
        <v>1194</v>
      </c>
      <c r="AD508" t="s">
        <v>1279</v>
      </c>
      <c r="AE508">
        <v>1</v>
      </c>
      <c r="AF508" t="s">
        <v>1290</v>
      </c>
      <c r="AG508">
        <v>0</v>
      </c>
      <c r="AH508">
        <v>0</v>
      </c>
      <c r="AI508">
        <v>0</v>
      </c>
      <c r="AJ508">
        <v>2003</v>
      </c>
      <c r="AK508">
        <v>2022</v>
      </c>
      <c r="AL508" t="s">
        <v>1194</v>
      </c>
      <c r="AM508" s="4" t="s">
        <v>1238</v>
      </c>
      <c r="AN508">
        <v>1</v>
      </c>
      <c r="AO508" t="s">
        <v>1317</v>
      </c>
      <c r="AP508">
        <f t="shared" si="14"/>
        <v>0</v>
      </c>
      <c r="AQ508">
        <v>1</v>
      </c>
      <c r="AR508" t="s">
        <v>1992</v>
      </c>
      <c r="AS508" t="s">
        <v>1995</v>
      </c>
      <c r="AT508" t="s">
        <v>1995</v>
      </c>
      <c r="AU508" t="s">
        <v>1995</v>
      </c>
      <c r="AV508" t="s">
        <v>1996</v>
      </c>
      <c r="AW508" t="s">
        <v>1996</v>
      </c>
      <c r="AX508" t="s">
        <v>1194</v>
      </c>
      <c r="AY508" t="s">
        <v>1996</v>
      </c>
      <c r="AZ508">
        <v>4776</v>
      </c>
      <c r="BA508" t="s">
        <v>1194</v>
      </c>
      <c r="BB508" t="s">
        <v>2014</v>
      </c>
      <c r="BC508" s="3">
        <v>0</v>
      </c>
      <c r="BD508" s="3">
        <v>0</v>
      </c>
      <c r="BE508" s="3">
        <v>7982.22</v>
      </c>
      <c r="BF508" s="3">
        <v>7213.94</v>
      </c>
      <c r="BG508" s="3">
        <v>150</v>
      </c>
      <c r="BH508" s="3">
        <v>0</v>
      </c>
      <c r="BI508" s="3">
        <v>38404</v>
      </c>
      <c r="BJ508" s="3">
        <v>53750.16</v>
      </c>
      <c r="BK508" s="3">
        <v>0</v>
      </c>
      <c r="BL508" s="3">
        <v>53750.16</v>
      </c>
      <c r="BM508" s="2">
        <f t="shared" ca="1" si="15"/>
        <v>2</v>
      </c>
      <c r="BN508" s="3">
        <v>100000</v>
      </c>
      <c r="BO508" s="3">
        <v>100000</v>
      </c>
      <c r="BP508" s="3">
        <v>200000</v>
      </c>
      <c r="BQ508" s="3">
        <v>500000</v>
      </c>
      <c r="BR508" s="3">
        <v>2000000</v>
      </c>
      <c r="BS508">
        <v>100000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 t="s">
        <v>2948</v>
      </c>
      <c r="CA508" t="s">
        <v>1194</v>
      </c>
      <c r="CB508" t="s">
        <v>2941</v>
      </c>
    </row>
    <row r="509" spans="1:80" x14ac:dyDescent="0.25">
      <c r="A509">
        <v>508</v>
      </c>
      <c r="B509" t="s">
        <v>2523</v>
      </c>
      <c r="C509" s="1">
        <v>44774</v>
      </c>
      <c r="D509" s="2">
        <v>24</v>
      </c>
      <c r="E509" t="s">
        <v>4</v>
      </c>
      <c r="F509" t="s">
        <v>1311</v>
      </c>
      <c r="G509">
        <v>1</v>
      </c>
      <c r="H509" s="3">
        <v>1700000</v>
      </c>
      <c r="I509" s="3">
        <v>350000</v>
      </c>
      <c r="J509" s="3">
        <v>250000</v>
      </c>
      <c r="K509" s="3">
        <v>0</v>
      </c>
      <c r="L509" s="3" t="s">
        <v>1191</v>
      </c>
      <c r="M509">
        <v>1164474</v>
      </c>
      <c r="N509" t="s">
        <v>909</v>
      </c>
      <c r="P509" t="s">
        <v>910</v>
      </c>
      <c r="Q509" t="s">
        <v>22</v>
      </c>
      <c r="R509">
        <v>70115</v>
      </c>
      <c r="S509" t="s">
        <v>107</v>
      </c>
      <c r="T509" t="s">
        <v>980</v>
      </c>
      <c r="U509">
        <v>0</v>
      </c>
      <c r="V509">
        <v>400</v>
      </c>
      <c r="W509" t="s">
        <v>1195</v>
      </c>
      <c r="X509" t="s">
        <v>973</v>
      </c>
      <c r="Y509">
        <v>100000</v>
      </c>
      <c r="Z509" s="2">
        <v>10</v>
      </c>
      <c r="AA509" s="2">
        <v>0</v>
      </c>
      <c r="AB509" t="s">
        <v>1238</v>
      </c>
      <c r="AC509">
        <v>785</v>
      </c>
      <c r="AD509" t="s">
        <v>1279</v>
      </c>
      <c r="AE509">
        <v>1</v>
      </c>
      <c r="AF509" t="s">
        <v>1290</v>
      </c>
      <c r="AG509">
        <v>0</v>
      </c>
      <c r="AH509">
        <v>1</v>
      </c>
      <c r="AI509">
        <v>1</v>
      </c>
      <c r="AJ509">
        <v>1890</v>
      </c>
      <c r="AK509">
        <v>2019</v>
      </c>
      <c r="AL509">
        <v>2006</v>
      </c>
      <c r="AM509" s="4" t="s">
        <v>1238</v>
      </c>
      <c r="AN509">
        <v>1</v>
      </c>
      <c r="AO509" t="s">
        <v>1316</v>
      </c>
      <c r="AP509">
        <f t="shared" si="14"/>
        <v>1</v>
      </c>
      <c r="AQ509">
        <v>1</v>
      </c>
      <c r="AR509" t="s">
        <v>1992</v>
      </c>
      <c r="AS509" t="s">
        <v>1996</v>
      </c>
      <c r="AT509" t="s">
        <v>1996</v>
      </c>
      <c r="AU509" t="s">
        <v>1995</v>
      </c>
      <c r="AV509" t="s">
        <v>1995</v>
      </c>
      <c r="AW509" t="s">
        <v>1996</v>
      </c>
      <c r="AX509" t="s">
        <v>2003</v>
      </c>
      <c r="AY509" t="s">
        <v>1996</v>
      </c>
      <c r="AZ509">
        <v>3784</v>
      </c>
      <c r="BA509" t="s">
        <v>1194</v>
      </c>
      <c r="BB509" t="s">
        <v>1194</v>
      </c>
      <c r="BC509" s="3">
        <v>2577.8625000000002</v>
      </c>
      <c r="BD509" s="3">
        <v>15102.73</v>
      </c>
      <c r="BE509" s="3">
        <v>0</v>
      </c>
      <c r="BF509" s="3">
        <v>0</v>
      </c>
      <c r="BG509" s="3">
        <v>150</v>
      </c>
      <c r="BH509" s="3">
        <v>0</v>
      </c>
      <c r="BI509" s="3">
        <v>16019</v>
      </c>
      <c r="BJ509" s="3">
        <v>33850</v>
      </c>
      <c r="BK509" s="3">
        <v>0</v>
      </c>
      <c r="BL509" s="3">
        <v>33850</v>
      </c>
      <c r="BM509" s="2">
        <f t="shared" ca="1" si="15"/>
        <v>4</v>
      </c>
      <c r="BN509" s="3" t="s">
        <v>2916</v>
      </c>
      <c r="BO509" s="3">
        <v>1000000</v>
      </c>
      <c r="BP509" s="3">
        <v>50000</v>
      </c>
      <c r="BQ509" s="3">
        <v>25000</v>
      </c>
      <c r="BR509" s="3">
        <v>50000</v>
      </c>
      <c r="BS509">
        <v>250000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 t="s">
        <v>2942</v>
      </c>
      <c r="CA509" t="s">
        <v>2006</v>
      </c>
      <c r="CB509" t="s">
        <v>2945</v>
      </c>
    </row>
    <row r="510" spans="1:80" x14ac:dyDescent="0.25">
      <c r="A510">
        <v>509</v>
      </c>
      <c r="B510" t="s">
        <v>2524</v>
      </c>
      <c r="C510" s="1">
        <v>44806</v>
      </c>
      <c r="D510" s="2">
        <v>27</v>
      </c>
      <c r="E510" t="s">
        <v>4</v>
      </c>
      <c r="F510" t="s">
        <v>1311</v>
      </c>
      <c r="G510">
        <v>0</v>
      </c>
      <c r="H510" s="3">
        <v>2700000</v>
      </c>
      <c r="I510" s="3">
        <v>0</v>
      </c>
      <c r="J510" s="3">
        <v>0</v>
      </c>
      <c r="K510" s="3">
        <v>0</v>
      </c>
      <c r="L510" s="3" t="s">
        <v>1191</v>
      </c>
      <c r="M510">
        <v>1959268</v>
      </c>
      <c r="N510" t="s">
        <v>911</v>
      </c>
      <c r="O510" t="s">
        <v>912</v>
      </c>
      <c r="P510" t="s">
        <v>94</v>
      </c>
      <c r="Q510" t="s">
        <v>17</v>
      </c>
      <c r="R510">
        <v>29440</v>
      </c>
      <c r="S510" t="s">
        <v>94</v>
      </c>
      <c r="T510" t="s">
        <v>969</v>
      </c>
      <c r="U510">
        <v>0</v>
      </c>
      <c r="V510" t="s">
        <v>1119</v>
      </c>
      <c r="W510" t="s">
        <v>1194</v>
      </c>
      <c r="X510" t="s">
        <v>973</v>
      </c>
      <c r="Y510">
        <v>10000</v>
      </c>
      <c r="Z510" s="2">
        <v>5</v>
      </c>
      <c r="AA510" s="2" t="s">
        <v>1238</v>
      </c>
      <c r="AB510" t="s">
        <v>1238</v>
      </c>
      <c r="AC510">
        <v>851</v>
      </c>
      <c r="AD510" t="s">
        <v>1279</v>
      </c>
      <c r="AE510">
        <v>2</v>
      </c>
      <c r="AF510" t="s">
        <v>1291</v>
      </c>
      <c r="AG510">
        <v>0</v>
      </c>
      <c r="AH510">
        <v>0</v>
      </c>
      <c r="AI510">
        <v>0</v>
      </c>
      <c r="AJ510">
        <v>2022</v>
      </c>
      <c r="AK510" t="s">
        <v>1194</v>
      </c>
      <c r="AL510" t="s">
        <v>1194</v>
      </c>
      <c r="AM510" s="4" t="s">
        <v>1238</v>
      </c>
      <c r="AN510">
        <v>0</v>
      </c>
      <c r="AO510" t="s">
        <v>1316</v>
      </c>
      <c r="AP510">
        <f t="shared" si="14"/>
        <v>0</v>
      </c>
      <c r="AQ510">
        <v>0</v>
      </c>
      <c r="AR510" t="s">
        <v>1993</v>
      </c>
      <c r="AS510" t="s">
        <v>1995</v>
      </c>
      <c r="AT510" t="s">
        <v>1996</v>
      </c>
      <c r="AU510" t="s">
        <v>1996</v>
      </c>
      <c r="AV510" t="s">
        <v>1995</v>
      </c>
      <c r="AW510" t="s">
        <v>1996</v>
      </c>
      <c r="AX510" t="s">
        <v>2006</v>
      </c>
      <c r="AY510" t="s">
        <v>1996</v>
      </c>
      <c r="AZ510">
        <v>4500</v>
      </c>
      <c r="BA510" t="s">
        <v>1194</v>
      </c>
      <c r="BB510" t="s">
        <v>1194</v>
      </c>
      <c r="BC510" s="3">
        <v>4085.4389999999999</v>
      </c>
      <c r="BD510" s="3">
        <v>9436.2199999999993</v>
      </c>
      <c r="BE510" s="3">
        <v>0</v>
      </c>
      <c r="BF510" s="3">
        <v>0</v>
      </c>
      <c r="BG510" s="3">
        <v>150</v>
      </c>
      <c r="BH510" s="3">
        <v>0</v>
      </c>
      <c r="BI510" s="3">
        <v>1258</v>
      </c>
      <c r="BJ510" s="3">
        <v>14930</v>
      </c>
      <c r="BK510" s="3">
        <v>300</v>
      </c>
      <c r="BL510" s="3">
        <v>15230</v>
      </c>
      <c r="BM510" s="2">
        <f t="shared" ca="1" si="15"/>
        <v>3</v>
      </c>
      <c r="BN510" s="3">
        <v>100000</v>
      </c>
      <c r="BO510" s="3">
        <v>100000</v>
      </c>
      <c r="BP510" s="3">
        <v>100000</v>
      </c>
      <c r="BQ510" s="3">
        <v>25000</v>
      </c>
      <c r="BR510" s="3">
        <v>100000</v>
      </c>
      <c r="BS510">
        <v>50000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 t="s">
        <v>2943</v>
      </c>
      <c r="CA510" t="s">
        <v>2006</v>
      </c>
      <c r="CB510" t="s">
        <v>2945</v>
      </c>
    </row>
    <row r="511" spans="1:80" x14ac:dyDescent="0.25">
      <c r="A511">
        <v>510</v>
      </c>
      <c r="B511" t="s">
        <v>2525</v>
      </c>
      <c r="C511" s="1">
        <v>44949</v>
      </c>
      <c r="D511" s="2">
        <v>3</v>
      </c>
      <c r="E511" t="s">
        <v>4</v>
      </c>
      <c r="F511" t="s">
        <v>1310</v>
      </c>
      <c r="G511">
        <v>0</v>
      </c>
      <c r="H511" s="3">
        <v>2000000</v>
      </c>
      <c r="I511" s="3">
        <v>250000</v>
      </c>
      <c r="J511" s="3">
        <v>0</v>
      </c>
      <c r="K511" s="3">
        <v>0</v>
      </c>
      <c r="L511" s="3" t="s">
        <v>1191</v>
      </c>
      <c r="M511">
        <v>2039423</v>
      </c>
      <c r="N511" t="s">
        <v>913</v>
      </c>
      <c r="P511" t="s">
        <v>914</v>
      </c>
      <c r="Q511" t="s">
        <v>16</v>
      </c>
      <c r="R511">
        <v>7737</v>
      </c>
      <c r="S511" t="s">
        <v>52</v>
      </c>
      <c r="T511" t="s">
        <v>970</v>
      </c>
      <c r="U511">
        <v>1</v>
      </c>
      <c r="V511" t="s">
        <v>1180</v>
      </c>
      <c r="W511" t="s">
        <v>1194</v>
      </c>
      <c r="X511" t="s">
        <v>1309</v>
      </c>
      <c r="Y511">
        <v>10000</v>
      </c>
      <c r="Z511" s="2">
        <v>2</v>
      </c>
      <c r="AA511" s="2" t="s">
        <v>1238</v>
      </c>
      <c r="AB511" t="s">
        <v>1238</v>
      </c>
      <c r="AC511">
        <v>1</v>
      </c>
      <c r="AD511" t="s">
        <v>1280</v>
      </c>
      <c r="AE511">
        <v>4</v>
      </c>
      <c r="AF511" t="s">
        <v>1291</v>
      </c>
      <c r="AG511">
        <v>0</v>
      </c>
      <c r="AH511">
        <v>0</v>
      </c>
      <c r="AI511">
        <v>0</v>
      </c>
      <c r="AJ511">
        <v>2022</v>
      </c>
      <c r="AK511" t="s">
        <v>1194</v>
      </c>
      <c r="AL511" t="s">
        <v>1194</v>
      </c>
      <c r="AM511" s="4" t="s">
        <v>1304</v>
      </c>
      <c r="AN511">
        <v>0</v>
      </c>
      <c r="AO511" t="s">
        <v>1316</v>
      </c>
      <c r="AP511">
        <f t="shared" si="14"/>
        <v>0</v>
      </c>
      <c r="AQ511">
        <v>0</v>
      </c>
      <c r="AR511" t="s">
        <v>1993</v>
      </c>
      <c r="AS511" t="s">
        <v>1995</v>
      </c>
      <c r="AT511" t="s">
        <v>1996</v>
      </c>
      <c r="AU511" t="s">
        <v>1995</v>
      </c>
      <c r="AV511" t="s">
        <v>1995</v>
      </c>
      <c r="AW511" t="s">
        <v>1995</v>
      </c>
      <c r="AX511" t="s">
        <v>2006</v>
      </c>
      <c r="AY511" t="s">
        <v>1996</v>
      </c>
      <c r="AZ511">
        <v>4500</v>
      </c>
      <c r="BA511" t="s">
        <v>1194</v>
      </c>
      <c r="BB511" t="s">
        <v>1194</v>
      </c>
      <c r="BC511" s="3">
        <v>3768.1651000000002</v>
      </c>
      <c r="BD511" s="3">
        <v>1459.77</v>
      </c>
      <c r="BE511" s="3">
        <v>0</v>
      </c>
      <c r="BF511" s="3">
        <v>0</v>
      </c>
      <c r="BG511" s="3">
        <v>150</v>
      </c>
      <c r="BH511" s="3">
        <v>0</v>
      </c>
      <c r="BI511" s="3">
        <v>4522</v>
      </c>
      <c r="BJ511" s="3">
        <v>9900</v>
      </c>
      <c r="BK511" s="3">
        <v>0</v>
      </c>
      <c r="BL511" s="3">
        <v>9900</v>
      </c>
      <c r="BM511" s="2">
        <f t="shared" ca="1" si="15"/>
        <v>5</v>
      </c>
      <c r="BN511" s="3">
        <v>250000</v>
      </c>
      <c r="BO511" s="3">
        <v>50000</v>
      </c>
      <c r="BP511" s="3">
        <v>100000</v>
      </c>
      <c r="BQ511" s="3">
        <v>250000</v>
      </c>
      <c r="BR511" s="3" t="s">
        <v>2916</v>
      </c>
      <c r="BS511">
        <v>50000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 t="s">
        <v>2006</v>
      </c>
      <c r="CA511" t="s">
        <v>2006</v>
      </c>
      <c r="CB511" t="s">
        <v>2006</v>
      </c>
    </row>
    <row r="512" spans="1:80" x14ac:dyDescent="0.25">
      <c r="A512">
        <v>511</v>
      </c>
      <c r="B512" t="s">
        <v>2526</v>
      </c>
      <c r="C512" s="1">
        <v>44804</v>
      </c>
      <c r="D512" s="2">
        <v>24</v>
      </c>
      <c r="E512" t="s">
        <v>4</v>
      </c>
      <c r="F512" t="s">
        <v>1311</v>
      </c>
      <c r="G512">
        <v>1</v>
      </c>
      <c r="H512" s="3">
        <v>4000000</v>
      </c>
      <c r="I512" s="3">
        <v>0</v>
      </c>
      <c r="J512" s="3">
        <v>0</v>
      </c>
      <c r="K512" s="3">
        <v>0</v>
      </c>
      <c r="L512" s="3" t="s">
        <v>1191</v>
      </c>
      <c r="M512">
        <v>1964750</v>
      </c>
      <c r="N512" t="s">
        <v>915</v>
      </c>
      <c r="P512" t="s">
        <v>107</v>
      </c>
      <c r="Q512" t="s">
        <v>13</v>
      </c>
      <c r="R512">
        <v>2653</v>
      </c>
      <c r="S512" t="s">
        <v>51</v>
      </c>
      <c r="T512" t="s">
        <v>962</v>
      </c>
      <c r="U512">
        <v>0</v>
      </c>
      <c r="V512" t="s">
        <v>1181</v>
      </c>
      <c r="W512" t="s">
        <v>1194</v>
      </c>
      <c r="X512" t="s">
        <v>973</v>
      </c>
      <c r="Y512">
        <v>10000</v>
      </c>
      <c r="Z512" s="2">
        <v>2</v>
      </c>
      <c r="AA512" s="2" t="s">
        <v>1238</v>
      </c>
      <c r="AB512" t="s">
        <v>1238</v>
      </c>
      <c r="AC512">
        <v>758</v>
      </c>
      <c r="AD512" t="s">
        <v>1279</v>
      </c>
      <c r="AE512">
        <v>3</v>
      </c>
      <c r="AF512" t="s">
        <v>1290</v>
      </c>
      <c r="AG512">
        <v>0</v>
      </c>
      <c r="AH512">
        <v>0</v>
      </c>
      <c r="AI512">
        <v>0</v>
      </c>
      <c r="AJ512">
        <v>2022</v>
      </c>
      <c r="AK512" t="s">
        <v>1194</v>
      </c>
      <c r="AL512" t="s">
        <v>1194</v>
      </c>
      <c r="AM512" s="4" t="s">
        <v>1238</v>
      </c>
      <c r="AN512">
        <v>1</v>
      </c>
      <c r="AO512" t="s">
        <v>1316</v>
      </c>
      <c r="AP512">
        <f t="shared" si="14"/>
        <v>0</v>
      </c>
      <c r="AQ512">
        <v>0</v>
      </c>
      <c r="AR512" t="s">
        <v>1993</v>
      </c>
      <c r="AS512" t="s">
        <v>1995</v>
      </c>
      <c r="AT512" t="s">
        <v>1995</v>
      </c>
      <c r="AU512" t="s">
        <v>1996</v>
      </c>
      <c r="AV512" t="s">
        <v>1996</v>
      </c>
      <c r="AW512" t="s">
        <v>1996</v>
      </c>
      <c r="AX512" t="s">
        <v>2006</v>
      </c>
      <c r="AY512" t="s">
        <v>1996</v>
      </c>
      <c r="AZ512">
        <v>5000</v>
      </c>
      <c r="BA512" t="s">
        <v>1194</v>
      </c>
      <c r="BB512" t="s">
        <v>1194</v>
      </c>
      <c r="BC512" s="3">
        <v>6761.2510000000002</v>
      </c>
      <c r="BD512" s="3">
        <v>4744.79</v>
      </c>
      <c r="BE512" s="3">
        <v>0</v>
      </c>
      <c r="BF512" s="3">
        <v>0</v>
      </c>
      <c r="BG512" s="3">
        <v>150</v>
      </c>
      <c r="BH512" s="3">
        <v>0</v>
      </c>
      <c r="BI512" s="3">
        <v>6800</v>
      </c>
      <c r="BJ512" s="3">
        <v>18456</v>
      </c>
      <c r="BK512" s="3">
        <v>1000</v>
      </c>
      <c r="BL512" s="3">
        <v>19456</v>
      </c>
      <c r="BM512" s="2">
        <f t="shared" ca="1" si="15"/>
        <v>1</v>
      </c>
      <c r="BN512" s="3">
        <v>500000</v>
      </c>
      <c r="BO512" s="3">
        <v>500000</v>
      </c>
      <c r="BP512" s="3">
        <v>50000</v>
      </c>
      <c r="BQ512" s="3">
        <v>250000</v>
      </c>
      <c r="BR512" s="3" t="s">
        <v>2916</v>
      </c>
      <c r="BS512">
        <v>50000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 t="s">
        <v>2942</v>
      </c>
      <c r="CA512" t="s">
        <v>2006</v>
      </c>
      <c r="CB512" t="s">
        <v>2006</v>
      </c>
    </row>
    <row r="513" spans="1:80" x14ac:dyDescent="0.25">
      <c r="A513">
        <v>512</v>
      </c>
      <c r="B513" t="s">
        <v>2527</v>
      </c>
      <c r="C513" s="1">
        <v>44790</v>
      </c>
      <c r="D513" s="2">
        <v>24</v>
      </c>
      <c r="E513" t="s">
        <v>4</v>
      </c>
      <c r="F513" t="s">
        <v>1311</v>
      </c>
      <c r="G513">
        <v>0</v>
      </c>
      <c r="H513" s="3">
        <v>2609461</v>
      </c>
      <c r="I513" s="3">
        <v>150000</v>
      </c>
      <c r="J513" s="3">
        <v>0</v>
      </c>
      <c r="K513" s="3">
        <v>0</v>
      </c>
      <c r="L513" s="3" t="s">
        <v>1191</v>
      </c>
      <c r="M513">
        <v>1675609</v>
      </c>
      <c r="N513" t="s">
        <v>916</v>
      </c>
      <c r="P513" t="s">
        <v>207</v>
      </c>
      <c r="Q513" t="s">
        <v>15</v>
      </c>
      <c r="R513">
        <v>32963</v>
      </c>
      <c r="S513" t="s">
        <v>54</v>
      </c>
      <c r="T513" t="s">
        <v>967</v>
      </c>
      <c r="U513">
        <v>0</v>
      </c>
      <c r="V513" t="s">
        <v>1023</v>
      </c>
      <c r="W513" t="s">
        <v>1194</v>
      </c>
      <c r="X513" t="s">
        <v>973</v>
      </c>
      <c r="Y513">
        <v>10000</v>
      </c>
      <c r="Z513" s="2">
        <v>9.9999961679999991</v>
      </c>
      <c r="AA513" s="2" t="s">
        <v>1238</v>
      </c>
      <c r="AB513" t="s">
        <v>1238</v>
      </c>
      <c r="AC513">
        <v>707</v>
      </c>
      <c r="AD513" t="s">
        <v>1280</v>
      </c>
      <c r="AE513">
        <v>4</v>
      </c>
      <c r="AF513" t="s">
        <v>1290</v>
      </c>
      <c r="AG513">
        <v>0</v>
      </c>
      <c r="AH513">
        <v>0</v>
      </c>
      <c r="AI513">
        <v>0</v>
      </c>
      <c r="AJ513">
        <v>1985</v>
      </c>
      <c r="AK513">
        <v>2008</v>
      </c>
      <c r="AL513">
        <v>2008</v>
      </c>
      <c r="AM513" s="4" t="s">
        <v>1238</v>
      </c>
      <c r="AN513">
        <v>1</v>
      </c>
      <c r="AO513" t="s">
        <v>1315</v>
      </c>
      <c r="AP513">
        <f t="shared" si="14"/>
        <v>0</v>
      </c>
      <c r="AQ513">
        <v>0</v>
      </c>
      <c r="AR513" t="s">
        <v>1993</v>
      </c>
      <c r="AS513" t="s">
        <v>1995</v>
      </c>
      <c r="AT513" t="s">
        <v>1996</v>
      </c>
      <c r="AU513" t="s">
        <v>1996</v>
      </c>
      <c r="AV513" t="s">
        <v>1995</v>
      </c>
      <c r="AW513" t="s">
        <v>1996</v>
      </c>
      <c r="AX513" t="s">
        <v>2007</v>
      </c>
      <c r="AY513" t="s">
        <v>1995</v>
      </c>
      <c r="AZ513">
        <v>3078</v>
      </c>
      <c r="BA513" t="s">
        <v>1194</v>
      </c>
      <c r="BB513" t="s">
        <v>1194</v>
      </c>
      <c r="BC513" s="3">
        <v>6790.4494999999997</v>
      </c>
      <c r="BD513" s="3">
        <v>17378.490000000002</v>
      </c>
      <c r="BE513" s="3">
        <v>0</v>
      </c>
      <c r="BF513" s="3">
        <v>0</v>
      </c>
      <c r="BG513" s="3">
        <v>300</v>
      </c>
      <c r="BH513" s="3">
        <v>0</v>
      </c>
      <c r="BI513" s="3">
        <v>17288.919999999998</v>
      </c>
      <c r="BJ513" s="3">
        <v>41758</v>
      </c>
      <c r="BK513" s="3">
        <v>150</v>
      </c>
      <c r="BL513" s="3">
        <v>41908</v>
      </c>
      <c r="BM513" s="2">
        <f t="shared" ca="1" si="15"/>
        <v>1</v>
      </c>
      <c r="BN513" s="3">
        <v>500000</v>
      </c>
      <c r="BO513" s="3">
        <v>25000</v>
      </c>
      <c r="BP513" s="3">
        <v>50000</v>
      </c>
      <c r="BQ513" s="3">
        <v>500000</v>
      </c>
      <c r="BR513" s="3">
        <v>1000000</v>
      </c>
      <c r="BS513">
        <v>250000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 t="s">
        <v>2940</v>
      </c>
      <c r="CA513" t="s">
        <v>2006</v>
      </c>
      <c r="CB513" t="s">
        <v>2941</v>
      </c>
    </row>
    <row r="514" spans="1:80" x14ac:dyDescent="0.25">
      <c r="A514">
        <v>513</v>
      </c>
      <c r="B514" t="s">
        <v>2528</v>
      </c>
      <c r="C514" s="1">
        <v>44792</v>
      </c>
      <c r="D514" s="2">
        <v>24</v>
      </c>
      <c r="E514" t="s">
        <v>4</v>
      </c>
      <c r="F514" t="s">
        <v>1311</v>
      </c>
      <c r="G514">
        <v>1</v>
      </c>
      <c r="H514" s="3">
        <v>5000000</v>
      </c>
      <c r="I514" s="3">
        <v>250000</v>
      </c>
      <c r="J514" s="3">
        <v>0</v>
      </c>
      <c r="K514" s="3">
        <v>0</v>
      </c>
      <c r="L514" s="3" t="s">
        <v>1191</v>
      </c>
      <c r="M514">
        <v>1900262</v>
      </c>
      <c r="N514" t="s">
        <v>917</v>
      </c>
      <c r="P514" t="s">
        <v>366</v>
      </c>
      <c r="Q514" t="s">
        <v>19</v>
      </c>
      <c r="R514">
        <v>92037</v>
      </c>
      <c r="S514" t="s">
        <v>77</v>
      </c>
      <c r="T514" t="s">
        <v>976</v>
      </c>
      <c r="U514">
        <v>1</v>
      </c>
      <c r="V514">
        <v>3</v>
      </c>
      <c r="W514" t="s">
        <v>1206</v>
      </c>
      <c r="X514" t="s">
        <v>1309</v>
      </c>
      <c r="Y514">
        <v>10000</v>
      </c>
      <c r="Z514" s="2" t="s">
        <v>1194</v>
      </c>
      <c r="AA514" s="2" t="s">
        <v>1238</v>
      </c>
      <c r="AB514" t="s">
        <v>1238</v>
      </c>
      <c r="AC514" t="s">
        <v>1194</v>
      </c>
      <c r="AD514" t="s">
        <v>1279</v>
      </c>
      <c r="AE514">
        <v>2</v>
      </c>
      <c r="AF514" t="s">
        <v>1290</v>
      </c>
      <c r="AG514">
        <v>0</v>
      </c>
      <c r="AH514">
        <v>0</v>
      </c>
      <c r="AI514">
        <v>0</v>
      </c>
      <c r="AJ514">
        <v>2012</v>
      </c>
      <c r="AK514" t="s">
        <v>1194</v>
      </c>
      <c r="AL514" t="s">
        <v>1194</v>
      </c>
      <c r="AM514" s="4" t="s">
        <v>1238</v>
      </c>
      <c r="AN514">
        <v>1</v>
      </c>
      <c r="AO514" t="s">
        <v>1315</v>
      </c>
      <c r="AP514">
        <f t="shared" si="14"/>
        <v>0</v>
      </c>
      <c r="AQ514">
        <v>1</v>
      </c>
      <c r="AR514" t="s">
        <v>1992</v>
      </c>
      <c r="AS514" t="s">
        <v>1995</v>
      </c>
      <c r="AT514" t="s">
        <v>1996</v>
      </c>
      <c r="AU514" t="s">
        <v>1996</v>
      </c>
      <c r="AV514" t="s">
        <v>1995</v>
      </c>
      <c r="AW514" t="s">
        <v>1996</v>
      </c>
      <c r="AX514" t="s">
        <v>1194</v>
      </c>
      <c r="AY514" t="s">
        <v>1996</v>
      </c>
      <c r="AZ514">
        <v>4852</v>
      </c>
      <c r="BA514" t="s">
        <v>1194</v>
      </c>
      <c r="BB514" t="s">
        <v>2014</v>
      </c>
      <c r="BC514" s="3">
        <v>0</v>
      </c>
      <c r="BD514" s="3">
        <v>0</v>
      </c>
      <c r="BE514" s="3">
        <v>9893.2900000000009</v>
      </c>
      <c r="BF514" s="3">
        <v>8885.76</v>
      </c>
      <c r="BG514" s="3">
        <v>150</v>
      </c>
      <c r="BH514" s="3">
        <v>0</v>
      </c>
      <c r="BI514" s="3">
        <v>20550</v>
      </c>
      <c r="BJ514" s="3">
        <v>39479.050000000003</v>
      </c>
      <c r="BK514" s="3">
        <v>0</v>
      </c>
      <c r="BL514" s="3">
        <v>39479.050000000003</v>
      </c>
      <c r="BM514" s="2">
        <f t="shared" ca="1" si="15"/>
        <v>5</v>
      </c>
      <c r="BN514" s="3">
        <v>1000000</v>
      </c>
      <c r="BO514" s="3">
        <v>500000</v>
      </c>
      <c r="BP514" s="3">
        <v>50000</v>
      </c>
      <c r="BQ514" s="3">
        <v>500000</v>
      </c>
      <c r="BR514" s="3">
        <v>250000</v>
      </c>
      <c r="BS514">
        <v>50000</v>
      </c>
      <c r="BT514">
        <v>0</v>
      </c>
      <c r="BU514">
        <v>0</v>
      </c>
      <c r="BV514">
        <v>1</v>
      </c>
      <c r="BW514">
        <v>0</v>
      </c>
      <c r="BX514">
        <v>0</v>
      </c>
      <c r="BY514">
        <v>0</v>
      </c>
      <c r="BZ514" t="s">
        <v>2948</v>
      </c>
      <c r="CA514" t="s">
        <v>1194</v>
      </c>
      <c r="CB514" t="s">
        <v>2941</v>
      </c>
    </row>
    <row r="515" spans="1:80" x14ac:dyDescent="0.25">
      <c r="A515">
        <v>514</v>
      </c>
      <c r="B515" t="s">
        <v>2529</v>
      </c>
      <c r="C515" s="1">
        <v>44820</v>
      </c>
      <c r="D515" s="2">
        <v>27</v>
      </c>
      <c r="E515" t="s">
        <v>4</v>
      </c>
      <c r="F515" t="s">
        <v>1311</v>
      </c>
      <c r="G515">
        <v>0</v>
      </c>
      <c r="H515" s="3">
        <v>6000000</v>
      </c>
      <c r="I515" s="3">
        <v>500000</v>
      </c>
      <c r="J515" s="3">
        <v>0</v>
      </c>
      <c r="K515" s="3">
        <v>0</v>
      </c>
      <c r="L515" s="3" t="s">
        <v>1191</v>
      </c>
      <c r="M515">
        <v>438823</v>
      </c>
      <c r="N515" t="s">
        <v>918</v>
      </c>
      <c r="P515" t="s">
        <v>693</v>
      </c>
      <c r="Q515" t="s">
        <v>19</v>
      </c>
      <c r="R515">
        <v>92067</v>
      </c>
      <c r="S515" t="s">
        <v>77</v>
      </c>
      <c r="T515" t="s">
        <v>975</v>
      </c>
      <c r="U515">
        <v>0</v>
      </c>
      <c r="V515">
        <v>2</v>
      </c>
      <c r="W515" t="s">
        <v>1228</v>
      </c>
      <c r="X515" t="s">
        <v>973</v>
      </c>
      <c r="Y515">
        <v>100000</v>
      </c>
      <c r="Z515" s="2" t="s">
        <v>1194</v>
      </c>
      <c r="AA515" s="2" t="s">
        <v>1238</v>
      </c>
      <c r="AB515" t="s">
        <v>1238</v>
      </c>
      <c r="AC515" t="s">
        <v>1194</v>
      </c>
      <c r="AD515" t="s">
        <v>1279</v>
      </c>
      <c r="AE515">
        <v>2</v>
      </c>
      <c r="AF515" t="s">
        <v>1290</v>
      </c>
      <c r="AG515">
        <v>0</v>
      </c>
      <c r="AH515">
        <v>0</v>
      </c>
      <c r="AI515">
        <v>0</v>
      </c>
      <c r="AJ515">
        <v>1980</v>
      </c>
      <c r="AK515">
        <v>2022</v>
      </c>
      <c r="AL515">
        <v>2022</v>
      </c>
      <c r="AM515" s="4" t="s">
        <v>1238</v>
      </c>
      <c r="AN515">
        <v>0</v>
      </c>
      <c r="AO515" t="s">
        <v>1315</v>
      </c>
      <c r="AP515">
        <f t="shared" si="14"/>
        <v>0</v>
      </c>
      <c r="AQ515">
        <v>0</v>
      </c>
      <c r="AR515" t="s">
        <v>1993</v>
      </c>
      <c r="AS515" t="s">
        <v>1996</v>
      </c>
      <c r="AT515" t="s">
        <v>1995</v>
      </c>
      <c r="AU515" t="s">
        <v>1996</v>
      </c>
      <c r="AV515" t="s">
        <v>1996</v>
      </c>
      <c r="AW515" t="s">
        <v>1996</v>
      </c>
      <c r="AX515" t="s">
        <v>1194</v>
      </c>
      <c r="AY515" t="s">
        <v>1996</v>
      </c>
      <c r="AZ515">
        <v>6870</v>
      </c>
      <c r="BA515">
        <v>1</v>
      </c>
      <c r="BB515" t="s">
        <v>2016</v>
      </c>
      <c r="BC515" s="3">
        <v>0</v>
      </c>
      <c r="BD515" s="3">
        <v>0</v>
      </c>
      <c r="BE515" s="3">
        <v>7030.1</v>
      </c>
      <c r="BF515" s="3">
        <v>17535.29</v>
      </c>
      <c r="BG515" s="3">
        <v>150</v>
      </c>
      <c r="BH515" s="3">
        <v>0</v>
      </c>
      <c r="BI515" s="3">
        <v>40219.61</v>
      </c>
      <c r="BJ515" s="3">
        <v>64935</v>
      </c>
      <c r="BK515" s="3">
        <v>9204.7099999999991</v>
      </c>
      <c r="BL515" s="3">
        <v>74139.710000000006</v>
      </c>
      <c r="BM515" s="2">
        <f t="shared" ca="1" si="15"/>
        <v>1</v>
      </c>
      <c r="BN515" s="3">
        <v>1000000</v>
      </c>
      <c r="BO515" s="3">
        <v>2000000</v>
      </c>
      <c r="BP515" s="3" t="s">
        <v>2922</v>
      </c>
      <c r="BQ515" s="3">
        <v>2000000</v>
      </c>
      <c r="BR515" s="3">
        <v>100000</v>
      </c>
      <c r="BS515">
        <v>100000</v>
      </c>
      <c r="BT515">
        <v>0</v>
      </c>
      <c r="BU515">
        <v>1</v>
      </c>
      <c r="BV515">
        <v>0</v>
      </c>
      <c r="BW515">
        <v>0</v>
      </c>
      <c r="BX515">
        <v>0</v>
      </c>
      <c r="BY515">
        <v>0</v>
      </c>
      <c r="BZ515" t="s">
        <v>2950</v>
      </c>
      <c r="CA515" t="s">
        <v>1194</v>
      </c>
      <c r="CB515" t="s">
        <v>2941</v>
      </c>
    </row>
    <row r="516" spans="1:80" x14ac:dyDescent="0.25">
      <c r="A516">
        <v>515</v>
      </c>
      <c r="B516" t="s">
        <v>2530</v>
      </c>
      <c r="C516" s="1">
        <v>44799</v>
      </c>
      <c r="D516" s="2">
        <v>24</v>
      </c>
      <c r="E516" t="s">
        <v>4</v>
      </c>
      <c r="F516" t="s">
        <v>1311</v>
      </c>
      <c r="G516">
        <v>1</v>
      </c>
      <c r="H516" s="3">
        <v>1200000</v>
      </c>
      <c r="I516" s="3">
        <v>133000</v>
      </c>
      <c r="J516" s="3">
        <v>0</v>
      </c>
      <c r="K516" s="3">
        <v>0</v>
      </c>
      <c r="L516" s="3" t="s">
        <v>1191</v>
      </c>
      <c r="M516">
        <v>1972176</v>
      </c>
      <c r="N516" t="s">
        <v>919</v>
      </c>
      <c r="P516" t="s">
        <v>332</v>
      </c>
      <c r="Q516" t="s">
        <v>17</v>
      </c>
      <c r="R516">
        <v>29910</v>
      </c>
      <c r="S516" t="s">
        <v>42</v>
      </c>
      <c r="T516" t="s">
        <v>968</v>
      </c>
      <c r="U516">
        <v>0</v>
      </c>
      <c r="V516" t="s">
        <v>1060</v>
      </c>
      <c r="W516" t="s">
        <v>1194</v>
      </c>
      <c r="X516" t="s">
        <v>973</v>
      </c>
      <c r="Y516">
        <v>10000</v>
      </c>
      <c r="Z516" s="2">
        <v>2</v>
      </c>
      <c r="AA516" s="2" t="s">
        <v>1238</v>
      </c>
      <c r="AB516" t="s">
        <v>1238</v>
      </c>
      <c r="AC516">
        <v>783</v>
      </c>
      <c r="AD516" t="s">
        <v>1279</v>
      </c>
      <c r="AE516">
        <v>2</v>
      </c>
      <c r="AF516" t="s">
        <v>1290</v>
      </c>
      <c r="AG516">
        <v>0</v>
      </c>
      <c r="AH516">
        <v>0</v>
      </c>
      <c r="AI516">
        <v>0</v>
      </c>
      <c r="AJ516">
        <v>2022</v>
      </c>
      <c r="AK516" t="s">
        <v>1194</v>
      </c>
      <c r="AL516" t="s">
        <v>1194</v>
      </c>
      <c r="AM516" s="4" t="s">
        <v>1238</v>
      </c>
      <c r="AN516">
        <v>1</v>
      </c>
      <c r="AO516" t="s">
        <v>1315</v>
      </c>
      <c r="AP516">
        <f t="shared" ref="AP516:AP579" si="16">AI516</f>
        <v>0</v>
      </c>
      <c r="AQ516">
        <v>1</v>
      </c>
      <c r="AR516" t="s">
        <v>1992</v>
      </c>
      <c r="AS516" t="s">
        <v>1996</v>
      </c>
      <c r="AT516" t="s">
        <v>1996</v>
      </c>
      <c r="AU516" t="s">
        <v>1996</v>
      </c>
      <c r="AV516" t="s">
        <v>1996</v>
      </c>
      <c r="AW516" t="s">
        <v>1996</v>
      </c>
      <c r="AX516" t="s">
        <v>2006</v>
      </c>
      <c r="AY516" t="s">
        <v>1996</v>
      </c>
      <c r="AZ516">
        <v>3170</v>
      </c>
      <c r="BA516" t="s">
        <v>1194</v>
      </c>
      <c r="BB516" t="s">
        <v>1194</v>
      </c>
      <c r="BC516" s="3">
        <v>1898.3204000000001</v>
      </c>
      <c r="BD516" s="3">
        <v>2895.2</v>
      </c>
      <c r="BE516" s="3">
        <v>0</v>
      </c>
      <c r="BF516" s="3">
        <v>0</v>
      </c>
      <c r="BG516" s="3">
        <v>150</v>
      </c>
      <c r="BH516" s="3">
        <v>0</v>
      </c>
      <c r="BI516" s="3">
        <v>2787</v>
      </c>
      <c r="BJ516" s="3">
        <v>7731</v>
      </c>
      <c r="BK516" s="3">
        <v>200</v>
      </c>
      <c r="BL516" s="3">
        <v>7931</v>
      </c>
      <c r="BM516" s="2">
        <f t="shared" ref="BM516:BM579" ca="1" si="17">IF(ROUND((6*RAND()),0)=0,1,(ROUND((6*RAND()),0)))</f>
        <v>3</v>
      </c>
      <c r="BN516" s="3">
        <v>50000</v>
      </c>
      <c r="BO516" s="3">
        <v>250000</v>
      </c>
      <c r="BP516" s="3">
        <v>50000</v>
      </c>
      <c r="BQ516" s="3">
        <v>25000</v>
      </c>
      <c r="BR516" s="3">
        <v>250000</v>
      </c>
      <c r="BS516">
        <v>100000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 t="s">
        <v>2938</v>
      </c>
      <c r="CA516" t="s">
        <v>2006</v>
      </c>
      <c r="CB516" t="s">
        <v>2945</v>
      </c>
    </row>
    <row r="517" spans="1:80" x14ac:dyDescent="0.25">
      <c r="A517">
        <v>516</v>
      </c>
      <c r="B517" t="s">
        <v>2531</v>
      </c>
      <c r="C517" s="1">
        <v>44840</v>
      </c>
      <c r="D517" s="2">
        <v>30</v>
      </c>
      <c r="E517" t="s">
        <v>4</v>
      </c>
      <c r="F517" t="s">
        <v>1311</v>
      </c>
      <c r="G517">
        <v>1</v>
      </c>
      <c r="H517" s="3">
        <v>20000000</v>
      </c>
      <c r="I517" s="3">
        <v>0</v>
      </c>
      <c r="J517" s="3">
        <v>0</v>
      </c>
      <c r="K517" s="3">
        <v>0</v>
      </c>
      <c r="L517" s="3" t="s">
        <v>1191</v>
      </c>
      <c r="M517">
        <v>289189</v>
      </c>
      <c r="N517" t="s">
        <v>920</v>
      </c>
      <c r="P517" t="s">
        <v>35</v>
      </c>
      <c r="Q517" t="s">
        <v>18</v>
      </c>
      <c r="R517">
        <v>75220</v>
      </c>
      <c r="S517" t="s">
        <v>35</v>
      </c>
      <c r="T517" t="s">
        <v>973</v>
      </c>
      <c r="U517">
        <v>0</v>
      </c>
      <c r="V517">
        <v>500</v>
      </c>
      <c r="W517" t="s">
        <v>1195</v>
      </c>
      <c r="X517" t="s">
        <v>973</v>
      </c>
      <c r="Y517">
        <v>50000</v>
      </c>
      <c r="Z517" s="2" t="s">
        <v>1194</v>
      </c>
      <c r="AA517" s="2">
        <v>0</v>
      </c>
      <c r="AB517" t="s">
        <v>1238</v>
      </c>
      <c r="AC517">
        <v>0</v>
      </c>
      <c r="AD517" t="s">
        <v>1279</v>
      </c>
      <c r="AE517">
        <v>1</v>
      </c>
      <c r="AF517" t="s">
        <v>1290</v>
      </c>
      <c r="AG517">
        <v>1</v>
      </c>
      <c r="AH517">
        <v>0</v>
      </c>
      <c r="AI517">
        <v>1</v>
      </c>
      <c r="AJ517">
        <v>1957</v>
      </c>
      <c r="AK517">
        <v>2022</v>
      </c>
      <c r="AL517">
        <v>2022</v>
      </c>
      <c r="AM517" s="4" t="s">
        <v>1238</v>
      </c>
      <c r="AN517">
        <v>0</v>
      </c>
      <c r="AO517" t="s">
        <v>1317</v>
      </c>
      <c r="AP517">
        <f t="shared" si="16"/>
        <v>1</v>
      </c>
      <c r="AQ517">
        <v>1</v>
      </c>
      <c r="AR517" t="s">
        <v>1992</v>
      </c>
      <c r="AS517" t="s">
        <v>1996</v>
      </c>
      <c r="AT517" t="s">
        <v>1995</v>
      </c>
      <c r="AU517" t="s">
        <v>1996</v>
      </c>
      <c r="AV517" t="s">
        <v>1995</v>
      </c>
      <c r="AW517" t="s">
        <v>1996</v>
      </c>
      <c r="AX517" t="s">
        <v>2006</v>
      </c>
      <c r="AY517" t="s">
        <v>1996</v>
      </c>
      <c r="AZ517">
        <v>11851</v>
      </c>
      <c r="BA517" t="s">
        <v>1194</v>
      </c>
      <c r="BB517" t="s">
        <v>1194</v>
      </c>
      <c r="BC517" s="3">
        <v>43860.176700000004</v>
      </c>
      <c r="BD517" s="3">
        <v>24083.919999999998</v>
      </c>
      <c r="BE517" s="3">
        <v>0</v>
      </c>
      <c r="BF517" s="3">
        <v>0</v>
      </c>
      <c r="BG517" s="3">
        <v>150</v>
      </c>
      <c r="BH517" s="3">
        <v>0</v>
      </c>
      <c r="BI517" s="3">
        <v>55321</v>
      </c>
      <c r="BJ517" s="3">
        <v>126943</v>
      </c>
      <c r="BK517" s="3">
        <v>0</v>
      </c>
      <c r="BL517" s="3">
        <v>126943</v>
      </c>
      <c r="BM517" s="2">
        <f t="shared" ca="1" si="17"/>
        <v>1</v>
      </c>
      <c r="BN517" s="3" t="s">
        <v>2916</v>
      </c>
      <c r="BO517" s="3">
        <v>250000</v>
      </c>
      <c r="BP517" s="3">
        <v>50000</v>
      </c>
      <c r="BQ517" s="3">
        <v>250000</v>
      </c>
      <c r="BR517" s="3">
        <v>50000</v>
      </c>
      <c r="BS517">
        <v>500000</v>
      </c>
      <c r="BT517">
        <v>0</v>
      </c>
      <c r="BU517">
        <v>1</v>
      </c>
      <c r="BV517">
        <v>0</v>
      </c>
      <c r="BW517">
        <v>0</v>
      </c>
      <c r="BX517">
        <v>0</v>
      </c>
      <c r="BY517">
        <v>0</v>
      </c>
      <c r="BZ517" t="s">
        <v>2942</v>
      </c>
      <c r="CA517" t="s">
        <v>2006</v>
      </c>
      <c r="CB517" t="s">
        <v>2946</v>
      </c>
    </row>
    <row r="518" spans="1:80" x14ac:dyDescent="0.25">
      <c r="A518">
        <v>517</v>
      </c>
      <c r="B518" t="s">
        <v>2532</v>
      </c>
      <c r="C518" s="1">
        <v>44811</v>
      </c>
      <c r="D518" s="2">
        <v>27</v>
      </c>
      <c r="E518" t="s">
        <v>4</v>
      </c>
      <c r="F518" t="s">
        <v>1311</v>
      </c>
      <c r="G518">
        <v>0</v>
      </c>
      <c r="H518" s="3">
        <v>2100000</v>
      </c>
      <c r="I518" s="3">
        <v>100000</v>
      </c>
      <c r="J518" s="3">
        <v>0</v>
      </c>
      <c r="K518" s="3">
        <v>0</v>
      </c>
      <c r="L518" s="3" t="s">
        <v>1191</v>
      </c>
      <c r="M518">
        <v>1976629</v>
      </c>
      <c r="N518" t="s">
        <v>921</v>
      </c>
      <c r="P518" t="s">
        <v>922</v>
      </c>
      <c r="Q518" t="s">
        <v>13</v>
      </c>
      <c r="R518">
        <v>2478</v>
      </c>
      <c r="S518" t="s">
        <v>53</v>
      </c>
      <c r="T518" t="s">
        <v>968</v>
      </c>
      <c r="U518">
        <v>0</v>
      </c>
      <c r="V518" t="s">
        <v>1182</v>
      </c>
      <c r="W518" t="s">
        <v>1194</v>
      </c>
      <c r="X518" t="s">
        <v>973</v>
      </c>
      <c r="Y518">
        <v>10000</v>
      </c>
      <c r="Z518" s="2">
        <v>2</v>
      </c>
      <c r="AA518" s="2" t="s">
        <v>1238</v>
      </c>
      <c r="AB518" t="s">
        <v>1238</v>
      </c>
      <c r="AC518">
        <v>697</v>
      </c>
      <c r="AD518" t="s">
        <v>1279</v>
      </c>
      <c r="AE518">
        <v>2</v>
      </c>
      <c r="AF518" t="s">
        <v>1290</v>
      </c>
      <c r="AG518">
        <v>0</v>
      </c>
      <c r="AH518">
        <v>0</v>
      </c>
      <c r="AI518">
        <v>0</v>
      </c>
      <c r="AJ518">
        <v>1932</v>
      </c>
      <c r="AK518">
        <v>2022</v>
      </c>
      <c r="AL518">
        <v>2022</v>
      </c>
      <c r="AM518" s="4" t="s">
        <v>1238</v>
      </c>
      <c r="AN518">
        <v>0</v>
      </c>
      <c r="AO518" t="s">
        <v>1316</v>
      </c>
      <c r="AP518">
        <f t="shared" si="16"/>
        <v>0</v>
      </c>
      <c r="AQ518">
        <v>0</v>
      </c>
      <c r="AR518" t="s">
        <v>1993</v>
      </c>
      <c r="AS518" t="s">
        <v>1996</v>
      </c>
      <c r="AT518" t="s">
        <v>1995</v>
      </c>
      <c r="AU518" t="s">
        <v>1995</v>
      </c>
      <c r="AV518" t="s">
        <v>1996</v>
      </c>
      <c r="AW518" t="s">
        <v>1995</v>
      </c>
      <c r="AX518" t="s">
        <v>2006</v>
      </c>
      <c r="AY518" t="s">
        <v>1996</v>
      </c>
      <c r="AZ518">
        <v>2456</v>
      </c>
      <c r="BA518" t="s">
        <v>1194</v>
      </c>
      <c r="BB518" t="s">
        <v>1194</v>
      </c>
      <c r="BC518" s="3">
        <v>4465.7497000000003</v>
      </c>
      <c r="BD518" s="3">
        <v>2752.75</v>
      </c>
      <c r="BE518" s="3">
        <v>0</v>
      </c>
      <c r="BF518" s="3">
        <v>0</v>
      </c>
      <c r="BG518" s="3">
        <v>0</v>
      </c>
      <c r="BH518" s="3">
        <v>0</v>
      </c>
      <c r="BI518" s="3">
        <v>2780</v>
      </c>
      <c r="BJ518" s="3">
        <v>9999</v>
      </c>
      <c r="BK518" s="3">
        <v>0</v>
      </c>
      <c r="BL518" s="3">
        <v>9999</v>
      </c>
      <c r="BM518" s="2">
        <f t="shared" ca="1" si="17"/>
        <v>2</v>
      </c>
      <c r="BN518" s="3">
        <v>2000000</v>
      </c>
      <c r="BO518" s="3">
        <v>500000</v>
      </c>
      <c r="BP518" s="3">
        <v>100000</v>
      </c>
      <c r="BQ518" s="3">
        <v>1000000</v>
      </c>
      <c r="BR518" s="3">
        <v>50000</v>
      </c>
      <c r="BS518">
        <v>100000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 t="s">
        <v>2942</v>
      </c>
      <c r="CA518" t="s">
        <v>2006</v>
      </c>
      <c r="CB518" t="s">
        <v>2006</v>
      </c>
    </row>
    <row r="519" spans="1:80" x14ac:dyDescent="0.25">
      <c r="A519">
        <v>518</v>
      </c>
      <c r="B519" t="s">
        <v>2533</v>
      </c>
      <c r="C519" s="1">
        <v>44962</v>
      </c>
      <c r="D519" s="2">
        <v>6</v>
      </c>
      <c r="E519" t="s">
        <v>4</v>
      </c>
      <c r="F519" t="s">
        <v>1310</v>
      </c>
      <c r="G519">
        <v>0</v>
      </c>
      <c r="H519" s="3">
        <v>3900000</v>
      </c>
      <c r="I519" s="3">
        <v>450000</v>
      </c>
      <c r="J519" s="3">
        <v>0</v>
      </c>
      <c r="K519" s="3">
        <v>0</v>
      </c>
      <c r="L519" s="3" t="s">
        <v>1191</v>
      </c>
      <c r="M519">
        <v>2053359</v>
      </c>
      <c r="N519" t="s">
        <v>923</v>
      </c>
      <c r="P519" t="s">
        <v>35</v>
      </c>
      <c r="Q519" t="s">
        <v>18</v>
      </c>
      <c r="R519">
        <v>75205</v>
      </c>
      <c r="S519" t="s">
        <v>35</v>
      </c>
      <c r="T519" t="s">
        <v>973</v>
      </c>
      <c r="U519">
        <v>0</v>
      </c>
      <c r="V519">
        <v>500</v>
      </c>
      <c r="W519" t="s">
        <v>1195</v>
      </c>
      <c r="X519" t="s">
        <v>973</v>
      </c>
      <c r="Y519">
        <v>10000</v>
      </c>
      <c r="Z519" s="2" t="s">
        <v>1194</v>
      </c>
      <c r="AA519" s="2">
        <v>0</v>
      </c>
      <c r="AB519" t="s">
        <v>1238</v>
      </c>
      <c r="AC519">
        <v>692</v>
      </c>
      <c r="AD519" t="s">
        <v>1279</v>
      </c>
      <c r="AE519">
        <v>1</v>
      </c>
      <c r="AF519" t="s">
        <v>1290</v>
      </c>
      <c r="AG519">
        <v>0</v>
      </c>
      <c r="AH519">
        <v>0</v>
      </c>
      <c r="AI519">
        <v>0</v>
      </c>
      <c r="AJ519">
        <v>1939</v>
      </c>
      <c r="AK519" t="s">
        <v>1194</v>
      </c>
      <c r="AL519">
        <v>2006</v>
      </c>
      <c r="AM519" s="4" t="s">
        <v>1308</v>
      </c>
      <c r="AN519">
        <v>1</v>
      </c>
      <c r="AO519" t="s">
        <v>1317</v>
      </c>
      <c r="AP519">
        <f t="shared" si="16"/>
        <v>0</v>
      </c>
      <c r="AQ519">
        <v>1</v>
      </c>
      <c r="AR519" t="s">
        <v>1992</v>
      </c>
      <c r="AS519" t="s">
        <v>1995</v>
      </c>
      <c r="AT519" t="s">
        <v>1996</v>
      </c>
      <c r="AU519" t="s">
        <v>1995</v>
      </c>
      <c r="AV519" t="s">
        <v>1995</v>
      </c>
      <c r="AW519" t="s">
        <v>1995</v>
      </c>
      <c r="AX519" t="s">
        <v>2006</v>
      </c>
      <c r="AY519" t="s">
        <v>1996</v>
      </c>
      <c r="AZ519">
        <v>5456</v>
      </c>
      <c r="BA519" t="s">
        <v>1194</v>
      </c>
      <c r="BB519" t="s">
        <v>1194</v>
      </c>
      <c r="BC519" s="3">
        <v>21522.111000000001</v>
      </c>
      <c r="BD519" s="3">
        <v>9304.8799999999992</v>
      </c>
      <c r="BE519" s="3">
        <v>0</v>
      </c>
      <c r="BF519" s="3">
        <v>0</v>
      </c>
      <c r="BG519" s="3">
        <v>150</v>
      </c>
      <c r="BH519" s="3">
        <v>0</v>
      </c>
      <c r="BI519" s="3">
        <v>3823</v>
      </c>
      <c r="BJ519" s="3">
        <v>34800</v>
      </c>
      <c r="BK519" s="3">
        <v>0</v>
      </c>
      <c r="BL519" s="3">
        <v>34800</v>
      </c>
      <c r="BM519" s="2">
        <f t="shared" ca="1" si="17"/>
        <v>1</v>
      </c>
      <c r="BN519" s="3">
        <v>2000000</v>
      </c>
      <c r="BO519" s="3">
        <v>25000</v>
      </c>
      <c r="BP519" s="3">
        <v>50000</v>
      </c>
      <c r="BQ519" s="3">
        <v>1000000</v>
      </c>
      <c r="BR519" s="3">
        <v>50000</v>
      </c>
      <c r="BS519">
        <v>250000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 t="s">
        <v>2942</v>
      </c>
      <c r="CA519" t="s">
        <v>2006</v>
      </c>
      <c r="CB519" t="s">
        <v>2945</v>
      </c>
    </row>
    <row r="520" spans="1:80" x14ac:dyDescent="0.25">
      <c r="A520">
        <v>519</v>
      </c>
      <c r="B520" t="s">
        <v>2534</v>
      </c>
      <c r="C520" s="1">
        <v>44826</v>
      </c>
      <c r="D520" s="2">
        <v>27</v>
      </c>
      <c r="E520" t="s">
        <v>4</v>
      </c>
      <c r="F520" t="s">
        <v>1311</v>
      </c>
      <c r="G520">
        <v>1</v>
      </c>
      <c r="H520" s="3">
        <v>6000000</v>
      </c>
      <c r="I520" s="3">
        <v>0</v>
      </c>
      <c r="J520" s="3">
        <v>0</v>
      </c>
      <c r="K520" s="3">
        <v>0</v>
      </c>
      <c r="L520" s="3" t="s">
        <v>1191</v>
      </c>
      <c r="M520">
        <v>1975965</v>
      </c>
      <c r="N520" t="s">
        <v>924</v>
      </c>
      <c r="P520" t="s">
        <v>29</v>
      </c>
      <c r="Q520" t="s">
        <v>14</v>
      </c>
      <c r="R520">
        <v>10011</v>
      </c>
      <c r="S520" t="s">
        <v>29</v>
      </c>
      <c r="T520" t="s">
        <v>962</v>
      </c>
      <c r="U520">
        <v>0</v>
      </c>
      <c r="V520" t="s">
        <v>1183</v>
      </c>
      <c r="W520" t="s">
        <v>1194</v>
      </c>
      <c r="X520" t="s">
        <v>973</v>
      </c>
      <c r="Y520">
        <v>100000</v>
      </c>
      <c r="Z520" s="2">
        <v>2</v>
      </c>
      <c r="AA520" s="2" t="s">
        <v>1238</v>
      </c>
      <c r="AB520" t="s">
        <v>1238</v>
      </c>
      <c r="AC520">
        <v>652</v>
      </c>
      <c r="AD520" t="s">
        <v>1283</v>
      </c>
      <c r="AE520">
        <v>1</v>
      </c>
      <c r="AF520" t="s">
        <v>1290</v>
      </c>
      <c r="AG520">
        <v>0</v>
      </c>
      <c r="AH520">
        <v>0</v>
      </c>
      <c r="AI520">
        <v>0</v>
      </c>
      <c r="AJ520">
        <v>1910</v>
      </c>
      <c r="AK520" t="s">
        <v>1194</v>
      </c>
      <c r="AL520" t="s">
        <v>1194</v>
      </c>
      <c r="AM520" s="4" t="s">
        <v>1238</v>
      </c>
      <c r="AN520">
        <v>1</v>
      </c>
      <c r="AO520" t="s">
        <v>1316</v>
      </c>
      <c r="AP520">
        <f t="shared" si="16"/>
        <v>0</v>
      </c>
      <c r="AQ520">
        <v>1</v>
      </c>
      <c r="AR520" t="s">
        <v>1992</v>
      </c>
      <c r="AS520" t="s">
        <v>1996</v>
      </c>
      <c r="AT520" t="s">
        <v>1996</v>
      </c>
      <c r="AU520" t="s">
        <v>1996</v>
      </c>
      <c r="AV520" t="s">
        <v>1995</v>
      </c>
      <c r="AW520" t="s">
        <v>1996</v>
      </c>
      <c r="AX520" t="s">
        <v>2003</v>
      </c>
      <c r="AY520" t="s">
        <v>1996</v>
      </c>
      <c r="AZ520">
        <v>5400</v>
      </c>
      <c r="BA520" t="s">
        <v>1194</v>
      </c>
      <c r="BB520" t="s">
        <v>1194</v>
      </c>
      <c r="BC520" s="3">
        <v>28159.468099999998</v>
      </c>
      <c r="BD520" s="3">
        <v>5559.03</v>
      </c>
      <c r="BE520" s="3">
        <v>0</v>
      </c>
      <c r="BF520" s="3">
        <v>0</v>
      </c>
      <c r="BG520" s="3">
        <v>0</v>
      </c>
      <c r="BH520" s="3">
        <v>0</v>
      </c>
      <c r="BI520" s="3">
        <v>-2519</v>
      </c>
      <c r="BJ520" s="3">
        <v>31200</v>
      </c>
      <c r="BK520" s="3">
        <v>0</v>
      </c>
      <c r="BL520" s="3">
        <v>31200</v>
      </c>
      <c r="BM520" s="2">
        <f t="shared" ca="1" si="17"/>
        <v>4</v>
      </c>
      <c r="BN520" s="3">
        <v>500000</v>
      </c>
      <c r="BO520" s="3">
        <v>250000</v>
      </c>
      <c r="BP520" s="3" t="s">
        <v>2922</v>
      </c>
      <c r="BQ520" s="3">
        <v>100000</v>
      </c>
      <c r="BR520" s="3">
        <v>50000</v>
      </c>
      <c r="BS520">
        <v>1000000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 t="s">
        <v>2006</v>
      </c>
      <c r="CA520" t="s">
        <v>2006</v>
      </c>
      <c r="CB520" t="s">
        <v>2946</v>
      </c>
    </row>
    <row r="521" spans="1:80" x14ac:dyDescent="0.25">
      <c r="A521">
        <v>520</v>
      </c>
      <c r="B521" t="s">
        <v>2535</v>
      </c>
      <c r="C521" s="1">
        <v>44956</v>
      </c>
      <c r="D521" s="2">
        <v>3</v>
      </c>
      <c r="E521" t="s">
        <v>4</v>
      </c>
      <c r="F521" t="s">
        <v>1310</v>
      </c>
      <c r="G521">
        <v>0</v>
      </c>
      <c r="H521" s="3">
        <v>5500000</v>
      </c>
      <c r="I521" s="3">
        <v>50000</v>
      </c>
      <c r="J521" s="3">
        <v>0</v>
      </c>
      <c r="K521" s="3">
        <v>0</v>
      </c>
      <c r="L521" s="3" t="s">
        <v>1191</v>
      </c>
      <c r="M521">
        <v>1924908</v>
      </c>
      <c r="N521" t="s">
        <v>925</v>
      </c>
      <c r="P521" t="s">
        <v>130</v>
      </c>
      <c r="Q521" t="s">
        <v>17</v>
      </c>
      <c r="R521">
        <v>29482</v>
      </c>
      <c r="S521" t="s">
        <v>31</v>
      </c>
      <c r="T521" t="s">
        <v>969</v>
      </c>
      <c r="U521">
        <v>1</v>
      </c>
      <c r="V521" t="s">
        <v>992</v>
      </c>
      <c r="W521" t="s">
        <v>1194</v>
      </c>
      <c r="X521" t="s">
        <v>1309</v>
      </c>
      <c r="Y521">
        <v>250000</v>
      </c>
      <c r="Z521" s="2">
        <v>25</v>
      </c>
      <c r="AA521" s="2" t="s">
        <v>1238</v>
      </c>
      <c r="AB521" t="s">
        <v>1238</v>
      </c>
      <c r="AC521">
        <v>822</v>
      </c>
      <c r="AD521" t="s">
        <v>1279</v>
      </c>
      <c r="AE521">
        <v>1</v>
      </c>
      <c r="AF521" t="s">
        <v>1291</v>
      </c>
      <c r="AG521">
        <v>0</v>
      </c>
      <c r="AH521">
        <v>0</v>
      </c>
      <c r="AI521">
        <v>0</v>
      </c>
      <c r="AJ521">
        <v>2004</v>
      </c>
      <c r="AK521" t="s">
        <v>1194</v>
      </c>
      <c r="AL521" t="s">
        <v>1194</v>
      </c>
      <c r="AM521" s="4" t="s">
        <v>1305</v>
      </c>
      <c r="AN521">
        <v>0</v>
      </c>
      <c r="AO521" t="s">
        <v>1316</v>
      </c>
      <c r="AP521">
        <f t="shared" si="16"/>
        <v>0</v>
      </c>
      <c r="AQ521">
        <v>0</v>
      </c>
      <c r="AR521" t="s">
        <v>1993</v>
      </c>
      <c r="AS521" t="s">
        <v>1995</v>
      </c>
      <c r="AT521" t="s">
        <v>1996</v>
      </c>
      <c r="AU521" t="s">
        <v>1995</v>
      </c>
      <c r="AV521" t="s">
        <v>1995</v>
      </c>
      <c r="AW521" t="s">
        <v>1996</v>
      </c>
      <c r="AX521" t="s">
        <v>2007</v>
      </c>
      <c r="AY521" t="s">
        <v>1995</v>
      </c>
      <c r="AZ521">
        <v>5655</v>
      </c>
      <c r="BA521" t="s">
        <v>1194</v>
      </c>
      <c r="BB521" t="s">
        <v>1194</v>
      </c>
      <c r="BC521" s="3">
        <v>5603.5264999999999</v>
      </c>
      <c r="BD521" s="3">
        <v>7873.12</v>
      </c>
      <c r="BE521" s="3">
        <v>0</v>
      </c>
      <c r="BF521" s="3">
        <v>0</v>
      </c>
      <c r="BG521" s="3">
        <v>150</v>
      </c>
      <c r="BH521" s="3">
        <v>0</v>
      </c>
      <c r="BI521" s="3">
        <v>31318</v>
      </c>
      <c r="BJ521" s="3">
        <v>44945</v>
      </c>
      <c r="BK521" s="3">
        <v>5025.13</v>
      </c>
      <c r="BL521" s="3">
        <v>49970.13</v>
      </c>
      <c r="BM521" s="2">
        <f t="shared" ca="1" si="17"/>
        <v>1</v>
      </c>
      <c r="BN521" s="3">
        <v>250000</v>
      </c>
      <c r="BO521" s="3">
        <v>1000000</v>
      </c>
      <c r="BP521" s="3">
        <v>100000</v>
      </c>
      <c r="BQ521" s="3">
        <v>1000000</v>
      </c>
      <c r="BR521" s="3">
        <v>50000</v>
      </c>
      <c r="BS521">
        <v>500000</v>
      </c>
      <c r="BT521">
        <v>0</v>
      </c>
      <c r="BU521">
        <v>1</v>
      </c>
      <c r="BV521">
        <v>0</v>
      </c>
      <c r="BW521">
        <v>0</v>
      </c>
      <c r="BX521">
        <v>1</v>
      </c>
      <c r="BY521">
        <v>0</v>
      </c>
      <c r="BZ521" t="s">
        <v>2943</v>
      </c>
      <c r="CA521" t="s">
        <v>2944</v>
      </c>
      <c r="CB521" t="s">
        <v>2945</v>
      </c>
    </row>
    <row r="522" spans="1:80" x14ac:dyDescent="0.25">
      <c r="A522">
        <v>521</v>
      </c>
      <c r="B522" t="s">
        <v>2536</v>
      </c>
      <c r="C522" s="1">
        <v>44819</v>
      </c>
      <c r="D522" s="2">
        <v>27</v>
      </c>
      <c r="E522" t="s">
        <v>4</v>
      </c>
      <c r="F522" t="s">
        <v>1311</v>
      </c>
      <c r="G522">
        <v>1</v>
      </c>
      <c r="H522" s="3">
        <v>5000000</v>
      </c>
      <c r="I522" s="3">
        <v>0</v>
      </c>
      <c r="J522" s="3">
        <v>0</v>
      </c>
      <c r="K522" s="3">
        <v>0</v>
      </c>
      <c r="L522" s="3" t="s">
        <v>1191</v>
      </c>
      <c r="M522">
        <v>1986462</v>
      </c>
      <c r="N522" t="s">
        <v>926</v>
      </c>
      <c r="O522" t="s">
        <v>927</v>
      </c>
      <c r="P522" t="s">
        <v>494</v>
      </c>
      <c r="Q522" t="s">
        <v>14</v>
      </c>
      <c r="R522">
        <v>11954</v>
      </c>
      <c r="S522" t="s">
        <v>26</v>
      </c>
      <c r="T522" t="s">
        <v>970</v>
      </c>
      <c r="U522">
        <v>0</v>
      </c>
      <c r="V522" t="s">
        <v>1184</v>
      </c>
      <c r="W522" t="s">
        <v>1194</v>
      </c>
      <c r="X522" t="s">
        <v>973</v>
      </c>
      <c r="Y522">
        <v>25000</v>
      </c>
      <c r="Z522" s="2">
        <v>2</v>
      </c>
      <c r="AA522" s="2" t="s">
        <v>1238</v>
      </c>
      <c r="AB522" t="s">
        <v>1238</v>
      </c>
      <c r="AC522">
        <v>665</v>
      </c>
      <c r="AD522" t="s">
        <v>1279</v>
      </c>
      <c r="AE522">
        <v>3</v>
      </c>
      <c r="AF522" t="s">
        <v>1290</v>
      </c>
      <c r="AG522">
        <v>0</v>
      </c>
      <c r="AH522">
        <v>0</v>
      </c>
      <c r="AI522">
        <v>0</v>
      </c>
      <c r="AJ522">
        <v>1987</v>
      </c>
      <c r="AK522">
        <v>2010</v>
      </c>
      <c r="AL522">
        <v>2015</v>
      </c>
      <c r="AM522" s="4" t="s">
        <v>1238</v>
      </c>
      <c r="AN522">
        <v>1</v>
      </c>
      <c r="AO522" t="s">
        <v>1316</v>
      </c>
      <c r="AP522">
        <f t="shared" si="16"/>
        <v>0</v>
      </c>
      <c r="AQ522">
        <v>1</v>
      </c>
      <c r="AR522" t="s">
        <v>1992</v>
      </c>
      <c r="AS522" t="s">
        <v>1995</v>
      </c>
      <c r="AT522" t="s">
        <v>1995</v>
      </c>
      <c r="AU522" t="s">
        <v>1996</v>
      </c>
      <c r="AV522" t="s">
        <v>1996</v>
      </c>
      <c r="AW522" t="s">
        <v>1995</v>
      </c>
      <c r="AX522" t="s">
        <v>2006</v>
      </c>
      <c r="AY522" t="s">
        <v>1996</v>
      </c>
      <c r="AZ522">
        <v>5400</v>
      </c>
      <c r="BA522" t="s">
        <v>1194</v>
      </c>
      <c r="BB522" t="s">
        <v>1194</v>
      </c>
      <c r="BC522" s="3">
        <v>15854.124900000001</v>
      </c>
      <c r="BD522" s="3">
        <v>49914.85</v>
      </c>
      <c r="BE522" s="3">
        <v>0</v>
      </c>
      <c r="BF522" s="3">
        <v>0</v>
      </c>
      <c r="BG522" s="3">
        <v>0</v>
      </c>
      <c r="BH522" s="3">
        <v>0</v>
      </c>
      <c r="BI522" s="3">
        <v>-18269</v>
      </c>
      <c r="BJ522" s="3">
        <v>47500</v>
      </c>
      <c r="BK522" s="3">
        <v>400</v>
      </c>
      <c r="BL522" s="3">
        <v>47900</v>
      </c>
      <c r="BM522" s="2">
        <f t="shared" ca="1" si="17"/>
        <v>4</v>
      </c>
      <c r="BN522" s="3">
        <v>250000</v>
      </c>
      <c r="BO522" s="3">
        <v>250000</v>
      </c>
      <c r="BP522" s="3">
        <v>50000</v>
      </c>
      <c r="BQ522" s="3">
        <v>250000</v>
      </c>
      <c r="BR522" s="3">
        <v>250000</v>
      </c>
      <c r="BS522">
        <v>50000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 t="s">
        <v>2942</v>
      </c>
      <c r="CA522" t="s">
        <v>2006</v>
      </c>
      <c r="CB522" t="s">
        <v>2941</v>
      </c>
    </row>
    <row r="523" spans="1:80" x14ac:dyDescent="0.25">
      <c r="A523">
        <v>522</v>
      </c>
      <c r="B523" t="s">
        <v>2537</v>
      </c>
      <c r="C523" s="1">
        <v>44896</v>
      </c>
      <c r="D523" s="2">
        <v>36</v>
      </c>
      <c r="E523" t="s">
        <v>4</v>
      </c>
      <c r="F523" t="s">
        <v>1311</v>
      </c>
      <c r="G523">
        <v>0</v>
      </c>
      <c r="H523" s="3">
        <v>5000000</v>
      </c>
      <c r="I523" s="3">
        <v>75000</v>
      </c>
      <c r="J523" s="3">
        <v>0</v>
      </c>
      <c r="K523" s="3">
        <v>0</v>
      </c>
      <c r="L523" s="3" t="s">
        <v>1191</v>
      </c>
      <c r="M523">
        <v>1980305</v>
      </c>
      <c r="N523" t="s">
        <v>928</v>
      </c>
      <c r="P523" t="s">
        <v>929</v>
      </c>
      <c r="Q523" t="s">
        <v>16</v>
      </c>
      <c r="R523">
        <v>7871</v>
      </c>
      <c r="S523" t="s">
        <v>92</v>
      </c>
      <c r="T523" t="s">
        <v>973</v>
      </c>
      <c r="U523">
        <v>0</v>
      </c>
      <c r="V523" t="s">
        <v>1104</v>
      </c>
      <c r="W523" t="s">
        <v>1194</v>
      </c>
      <c r="X523" t="s">
        <v>973</v>
      </c>
      <c r="Y523">
        <v>10000</v>
      </c>
      <c r="Z523" s="2" t="s">
        <v>1194</v>
      </c>
      <c r="AA523" s="2" t="s">
        <v>1238</v>
      </c>
      <c r="AB523" t="s">
        <v>1238</v>
      </c>
      <c r="AC523">
        <v>768</v>
      </c>
      <c r="AD523" t="s">
        <v>1279</v>
      </c>
      <c r="AE523">
        <v>5</v>
      </c>
      <c r="AF523" t="s">
        <v>1290</v>
      </c>
      <c r="AG523">
        <v>0</v>
      </c>
      <c r="AH523">
        <v>0</v>
      </c>
      <c r="AI523">
        <v>0</v>
      </c>
      <c r="AJ523">
        <v>2022</v>
      </c>
      <c r="AK523" t="s">
        <v>1194</v>
      </c>
      <c r="AL523" t="s">
        <v>1194</v>
      </c>
      <c r="AM523" s="4" t="s">
        <v>1238</v>
      </c>
      <c r="AN523">
        <v>1</v>
      </c>
      <c r="AO523" t="s">
        <v>1317</v>
      </c>
      <c r="AP523">
        <f t="shared" si="16"/>
        <v>0</v>
      </c>
      <c r="AQ523">
        <v>1</v>
      </c>
      <c r="AR523" t="s">
        <v>1992</v>
      </c>
      <c r="AS523" t="s">
        <v>1995</v>
      </c>
      <c r="AT523" t="s">
        <v>1995</v>
      </c>
      <c r="AU523" t="s">
        <v>1996</v>
      </c>
      <c r="AV523" t="s">
        <v>1996</v>
      </c>
      <c r="AW523" t="s">
        <v>1996</v>
      </c>
      <c r="AX523" t="s">
        <v>2006</v>
      </c>
      <c r="AY523" t="s">
        <v>1996</v>
      </c>
      <c r="AZ523">
        <v>8500</v>
      </c>
      <c r="BA523" t="s">
        <v>1194</v>
      </c>
      <c r="BB523" t="s">
        <v>1194</v>
      </c>
      <c r="BC523" s="3">
        <v>7362.3674000000001</v>
      </c>
      <c r="BD523" s="3">
        <v>369.83</v>
      </c>
      <c r="BE523" s="3">
        <v>0</v>
      </c>
      <c r="BF523" s="3">
        <v>0</v>
      </c>
      <c r="BG523" s="3">
        <v>150</v>
      </c>
      <c r="BH523" s="3">
        <v>0</v>
      </c>
      <c r="BI523" s="3">
        <v>17450</v>
      </c>
      <c r="BJ523" s="3">
        <v>25332</v>
      </c>
      <c r="BK523" s="3">
        <v>0</v>
      </c>
      <c r="BL523" s="3">
        <v>25332</v>
      </c>
      <c r="BM523" s="2">
        <f t="shared" ca="1" si="17"/>
        <v>5</v>
      </c>
      <c r="BN523" s="3">
        <v>500000</v>
      </c>
      <c r="BO523" s="3">
        <v>250000</v>
      </c>
      <c r="BP523" s="3">
        <v>50000</v>
      </c>
      <c r="BQ523" s="3">
        <v>1000000</v>
      </c>
      <c r="BR523" s="3" t="s">
        <v>2916</v>
      </c>
      <c r="BS523">
        <v>250000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 t="s">
        <v>2942</v>
      </c>
      <c r="CA523" t="s">
        <v>2006</v>
      </c>
      <c r="CB523" t="s">
        <v>2006</v>
      </c>
    </row>
    <row r="524" spans="1:80" x14ac:dyDescent="0.25">
      <c r="A524">
        <v>523</v>
      </c>
      <c r="B524" t="s">
        <v>2538</v>
      </c>
      <c r="C524" s="1">
        <v>44820</v>
      </c>
      <c r="D524" s="2">
        <v>27</v>
      </c>
      <c r="E524" t="s">
        <v>5</v>
      </c>
      <c r="F524" t="s">
        <v>1310</v>
      </c>
      <c r="G524">
        <v>0</v>
      </c>
      <c r="H524" s="3">
        <v>1300000</v>
      </c>
      <c r="I524" s="3">
        <v>0</v>
      </c>
      <c r="J524" s="3">
        <v>195000</v>
      </c>
      <c r="K524" s="3">
        <v>0</v>
      </c>
      <c r="L524" s="3" t="s">
        <v>1191</v>
      </c>
      <c r="M524">
        <v>1056308</v>
      </c>
      <c r="N524" t="s">
        <v>930</v>
      </c>
      <c r="P524" t="s">
        <v>474</v>
      </c>
      <c r="Q524" t="s">
        <v>14</v>
      </c>
      <c r="R524">
        <v>11030</v>
      </c>
      <c r="S524" t="s">
        <v>38</v>
      </c>
      <c r="T524" t="s">
        <v>962</v>
      </c>
      <c r="U524">
        <v>0</v>
      </c>
      <c r="V524" t="s">
        <v>1088</v>
      </c>
      <c r="W524" t="s">
        <v>1194</v>
      </c>
      <c r="X524" t="s">
        <v>973</v>
      </c>
      <c r="Y524">
        <v>10000</v>
      </c>
      <c r="Z524" s="2">
        <v>2</v>
      </c>
      <c r="AA524" s="2" t="s">
        <v>1238</v>
      </c>
      <c r="AB524" t="s">
        <v>1238</v>
      </c>
      <c r="AC524">
        <v>745</v>
      </c>
      <c r="AD524" t="s">
        <v>1279</v>
      </c>
      <c r="AE524">
        <v>3</v>
      </c>
      <c r="AF524" t="s">
        <v>1290</v>
      </c>
      <c r="AG524">
        <v>0</v>
      </c>
      <c r="AH524">
        <v>1</v>
      </c>
      <c r="AI524">
        <v>1</v>
      </c>
      <c r="AJ524">
        <v>1955</v>
      </c>
      <c r="AK524" t="s">
        <v>1194</v>
      </c>
      <c r="AL524" t="s">
        <v>1194</v>
      </c>
      <c r="AM524" s="4" t="s">
        <v>1307</v>
      </c>
      <c r="AN524">
        <v>0</v>
      </c>
      <c r="AO524" t="s">
        <v>1316</v>
      </c>
      <c r="AP524">
        <f t="shared" si="16"/>
        <v>1</v>
      </c>
      <c r="AQ524">
        <v>1</v>
      </c>
      <c r="AR524" t="s">
        <v>1992</v>
      </c>
      <c r="AS524" t="s">
        <v>1995</v>
      </c>
      <c r="AT524" t="s">
        <v>1995</v>
      </c>
      <c r="AU524" t="s">
        <v>1996</v>
      </c>
      <c r="AV524" t="s">
        <v>1996</v>
      </c>
      <c r="AW524" t="s">
        <v>1995</v>
      </c>
      <c r="AX524" t="s">
        <v>2006</v>
      </c>
      <c r="AY524" t="s">
        <v>1996</v>
      </c>
      <c r="AZ524">
        <v>2323</v>
      </c>
      <c r="BA524" t="s">
        <v>1194</v>
      </c>
      <c r="BB524" t="s">
        <v>1194</v>
      </c>
      <c r="BC524" s="3">
        <v>6329.7925999999998</v>
      </c>
      <c r="BD524" s="3">
        <v>2177.62</v>
      </c>
      <c r="BE524" s="3">
        <v>0</v>
      </c>
      <c r="BF524" s="3">
        <v>0</v>
      </c>
      <c r="BG524" s="3">
        <v>150</v>
      </c>
      <c r="BH524" s="3">
        <v>0</v>
      </c>
      <c r="BI524" s="3">
        <v>1360</v>
      </c>
      <c r="BJ524" s="3">
        <v>10017</v>
      </c>
      <c r="BK524" s="3">
        <v>0</v>
      </c>
      <c r="BL524" s="3">
        <v>10017</v>
      </c>
      <c r="BM524" s="2">
        <f t="shared" ca="1" si="17"/>
        <v>3</v>
      </c>
      <c r="BN524" s="3">
        <v>500000</v>
      </c>
      <c r="BO524" s="3">
        <v>500000</v>
      </c>
      <c r="BP524" s="3">
        <v>50000</v>
      </c>
      <c r="BQ524" s="3">
        <v>100000</v>
      </c>
      <c r="BR524" s="3">
        <v>1000000</v>
      </c>
      <c r="BS524" t="s">
        <v>2916</v>
      </c>
      <c r="BT524">
        <v>0</v>
      </c>
      <c r="BU524">
        <v>0</v>
      </c>
      <c r="BV524">
        <v>1</v>
      </c>
      <c r="BW524">
        <v>0</v>
      </c>
      <c r="BX524">
        <v>0</v>
      </c>
      <c r="BY524">
        <v>0</v>
      </c>
      <c r="BZ524" t="s">
        <v>2942</v>
      </c>
      <c r="CA524" t="s">
        <v>2006</v>
      </c>
      <c r="CB524" t="s">
        <v>2006</v>
      </c>
    </row>
    <row r="525" spans="1:80" x14ac:dyDescent="0.25">
      <c r="A525">
        <v>524</v>
      </c>
      <c r="B525" t="s">
        <v>2539</v>
      </c>
      <c r="C525" s="1">
        <v>44865</v>
      </c>
      <c r="D525" s="2">
        <v>30</v>
      </c>
      <c r="E525" t="s">
        <v>4</v>
      </c>
      <c r="F525" t="s">
        <v>1311</v>
      </c>
      <c r="G525">
        <v>1</v>
      </c>
      <c r="H525" s="3">
        <v>4000000</v>
      </c>
      <c r="I525" s="3">
        <v>0</v>
      </c>
      <c r="J525" s="3">
        <v>0</v>
      </c>
      <c r="K525" s="3">
        <v>0</v>
      </c>
      <c r="L525" s="3" t="s">
        <v>1191</v>
      </c>
      <c r="M525">
        <v>1990112</v>
      </c>
      <c r="N525" t="s">
        <v>931</v>
      </c>
      <c r="P525" t="s">
        <v>25</v>
      </c>
      <c r="Q525" t="s">
        <v>13</v>
      </c>
      <c r="R525">
        <v>2554</v>
      </c>
      <c r="S525" t="s">
        <v>25</v>
      </c>
      <c r="T525" t="s">
        <v>962</v>
      </c>
      <c r="U525">
        <v>0</v>
      </c>
      <c r="V525" t="s">
        <v>983</v>
      </c>
      <c r="W525" t="s">
        <v>1194</v>
      </c>
      <c r="X525" t="s">
        <v>973</v>
      </c>
      <c r="Y525">
        <v>10000</v>
      </c>
      <c r="Z525" s="2">
        <v>2</v>
      </c>
      <c r="AA525" s="2" t="s">
        <v>1238</v>
      </c>
      <c r="AB525" t="s">
        <v>1238</v>
      </c>
      <c r="AC525">
        <v>789</v>
      </c>
      <c r="AD525" t="s">
        <v>1279</v>
      </c>
      <c r="AE525">
        <v>3</v>
      </c>
      <c r="AF525" t="s">
        <v>1290</v>
      </c>
      <c r="AG525">
        <v>0</v>
      </c>
      <c r="AH525">
        <v>0</v>
      </c>
      <c r="AI525">
        <v>0</v>
      </c>
      <c r="AJ525">
        <v>1750</v>
      </c>
      <c r="AK525">
        <v>2021</v>
      </c>
      <c r="AL525">
        <v>2021</v>
      </c>
      <c r="AM525" s="4" t="s">
        <v>1238</v>
      </c>
      <c r="AN525">
        <v>1</v>
      </c>
      <c r="AO525" t="s">
        <v>1315</v>
      </c>
      <c r="AP525">
        <f t="shared" si="16"/>
        <v>0</v>
      </c>
      <c r="AQ525">
        <v>0</v>
      </c>
      <c r="AR525" t="s">
        <v>1993</v>
      </c>
      <c r="AS525" t="s">
        <v>1995</v>
      </c>
      <c r="AT525" t="s">
        <v>1995</v>
      </c>
      <c r="AU525" t="s">
        <v>1996</v>
      </c>
      <c r="AV525" t="s">
        <v>1995</v>
      </c>
      <c r="AW525" t="s">
        <v>1996</v>
      </c>
      <c r="AX525" t="s">
        <v>2006</v>
      </c>
      <c r="AY525" t="s">
        <v>1996</v>
      </c>
      <c r="AZ525">
        <v>2600</v>
      </c>
      <c r="BA525" t="s">
        <v>1194</v>
      </c>
      <c r="BB525" t="s">
        <v>1194</v>
      </c>
      <c r="BC525" s="3">
        <v>7530.9732000000004</v>
      </c>
      <c r="BD525" s="3">
        <v>14863.73</v>
      </c>
      <c r="BE525" s="3">
        <v>0</v>
      </c>
      <c r="BF525" s="3">
        <v>0</v>
      </c>
      <c r="BG525" s="3">
        <v>150</v>
      </c>
      <c r="BH525" s="3">
        <v>0</v>
      </c>
      <c r="BI525" s="3">
        <v>9455</v>
      </c>
      <c r="BJ525" s="3">
        <v>32000</v>
      </c>
      <c r="BK525" s="3">
        <v>0</v>
      </c>
      <c r="BL525" s="3">
        <v>32000</v>
      </c>
      <c r="BM525" s="2">
        <f t="shared" ca="1" si="17"/>
        <v>4</v>
      </c>
      <c r="BN525" s="3">
        <v>1000000</v>
      </c>
      <c r="BO525" s="3">
        <v>25000</v>
      </c>
      <c r="BP525" s="3">
        <v>50000</v>
      </c>
      <c r="BQ525" s="3">
        <v>50000</v>
      </c>
      <c r="BR525" s="3">
        <v>1000000</v>
      </c>
      <c r="BS525">
        <v>50000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 t="s">
        <v>2947</v>
      </c>
      <c r="CA525" t="s">
        <v>2006</v>
      </c>
      <c r="CB525" t="s">
        <v>2006</v>
      </c>
    </row>
    <row r="526" spans="1:80" x14ac:dyDescent="0.25">
      <c r="A526">
        <v>525</v>
      </c>
      <c r="B526" t="s">
        <v>2540</v>
      </c>
      <c r="C526" s="1">
        <v>44858</v>
      </c>
      <c r="D526" s="2">
        <v>30</v>
      </c>
      <c r="E526" t="s">
        <v>4</v>
      </c>
      <c r="F526" t="s">
        <v>1311</v>
      </c>
      <c r="G526">
        <v>0</v>
      </c>
      <c r="H526" s="3">
        <v>5000000</v>
      </c>
      <c r="I526" s="3">
        <v>1805000</v>
      </c>
      <c r="J526" s="3">
        <v>0</v>
      </c>
      <c r="K526" s="3">
        <v>0</v>
      </c>
      <c r="L526" s="3" t="s">
        <v>1191</v>
      </c>
      <c r="M526">
        <v>2007614</v>
      </c>
      <c r="N526" t="s">
        <v>932</v>
      </c>
      <c r="O526" t="s">
        <v>933</v>
      </c>
      <c r="P526" t="s">
        <v>25</v>
      </c>
      <c r="Q526" t="s">
        <v>13</v>
      </c>
      <c r="R526">
        <v>2554</v>
      </c>
      <c r="S526" t="s">
        <v>25</v>
      </c>
      <c r="T526" t="s">
        <v>962</v>
      </c>
      <c r="U526">
        <v>0</v>
      </c>
      <c r="V526" t="s">
        <v>983</v>
      </c>
      <c r="W526" t="s">
        <v>1194</v>
      </c>
      <c r="X526" t="s">
        <v>973</v>
      </c>
      <c r="Y526">
        <v>25000</v>
      </c>
      <c r="Z526" s="2">
        <v>2</v>
      </c>
      <c r="AA526" s="2" t="s">
        <v>1238</v>
      </c>
      <c r="AB526" t="s">
        <v>1238</v>
      </c>
      <c r="AC526">
        <v>743</v>
      </c>
      <c r="AD526" t="s">
        <v>1279</v>
      </c>
      <c r="AE526">
        <v>3</v>
      </c>
      <c r="AF526" t="s">
        <v>1290</v>
      </c>
      <c r="AG526">
        <v>0</v>
      </c>
      <c r="AH526">
        <v>0</v>
      </c>
      <c r="AI526">
        <v>0</v>
      </c>
      <c r="AJ526">
        <v>2022</v>
      </c>
      <c r="AK526" t="s">
        <v>1194</v>
      </c>
      <c r="AL526" t="s">
        <v>1194</v>
      </c>
      <c r="AM526" s="4" t="s">
        <v>1238</v>
      </c>
      <c r="AN526">
        <v>0</v>
      </c>
      <c r="AO526" t="s">
        <v>1315</v>
      </c>
      <c r="AP526">
        <f t="shared" si="16"/>
        <v>0</v>
      </c>
      <c r="AQ526">
        <v>1</v>
      </c>
      <c r="AR526" t="s">
        <v>1992</v>
      </c>
      <c r="AS526" t="s">
        <v>1996</v>
      </c>
      <c r="AT526" t="s">
        <v>1996</v>
      </c>
      <c r="AU526" t="s">
        <v>1995</v>
      </c>
      <c r="AV526" t="s">
        <v>1996</v>
      </c>
      <c r="AW526" t="s">
        <v>1996</v>
      </c>
      <c r="AX526" t="s">
        <v>2006</v>
      </c>
      <c r="AY526" t="s">
        <v>1996</v>
      </c>
      <c r="AZ526">
        <v>5000</v>
      </c>
      <c r="BA526" t="s">
        <v>1194</v>
      </c>
      <c r="BB526" t="s">
        <v>1194</v>
      </c>
      <c r="BC526" s="3">
        <v>10367.2567</v>
      </c>
      <c r="BD526" s="3">
        <v>10879.2</v>
      </c>
      <c r="BE526" s="3">
        <v>0</v>
      </c>
      <c r="BF526" s="3">
        <v>0</v>
      </c>
      <c r="BG526" s="3">
        <v>150</v>
      </c>
      <c r="BH526" s="3">
        <v>0</v>
      </c>
      <c r="BI526" s="3">
        <v>14670</v>
      </c>
      <c r="BJ526" s="3">
        <v>36066</v>
      </c>
      <c r="BK526" s="3">
        <v>0</v>
      </c>
      <c r="BL526" s="3">
        <v>36066</v>
      </c>
      <c r="BM526" s="2">
        <f t="shared" ca="1" si="17"/>
        <v>4</v>
      </c>
      <c r="BN526" s="3">
        <v>250000</v>
      </c>
      <c r="BO526" s="3">
        <v>2000000</v>
      </c>
      <c r="BP526" s="3" t="s">
        <v>2922</v>
      </c>
      <c r="BQ526" s="3">
        <v>100000</v>
      </c>
      <c r="BR526" s="3" t="s">
        <v>2916</v>
      </c>
      <c r="BS526">
        <v>100000</v>
      </c>
      <c r="BT526">
        <v>0</v>
      </c>
      <c r="BU526">
        <v>0</v>
      </c>
      <c r="BV526">
        <v>0</v>
      </c>
      <c r="BW526">
        <v>0</v>
      </c>
      <c r="BX526">
        <v>1</v>
      </c>
      <c r="BY526">
        <v>0</v>
      </c>
      <c r="BZ526" t="s">
        <v>2942</v>
      </c>
      <c r="CA526" t="s">
        <v>2006</v>
      </c>
      <c r="CB526" t="s">
        <v>2006</v>
      </c>
    </row>
    <row r="527" spans="1:80" x14ac:dyDescent="0.25">
      <c r="A527">
        <v>526</v>
      </c>
      <c r="B527" t="s">
        <v>2540</v>
      </c>
      <c r="C527" s="1">
        <v>44858</v>
      </c>
      <c r="D527" s="2">
        <v>30</v>
      </c>
      <c r="E527" t="s">
        <v>4</v>
      </c>
      <c r="F527" t="s">
        <v>1311</v>
      </c>
      <c r="G527">
        <v>0</v>
      </c>
      <c r="H527" s="3">
        <v>750000</v>
      </c>
      <c r="I527" s="3">
        <v>0</v>
      </c>
      <c r="J527" s="3">
        <v>0</v>
      </c>
      <c r="K527" s="3">
        <v>0</v>
      </c>
      <c r="L527" s="3" t="s">
        <v>1191</v>
      </c>
      <c r="M527">
        <v>2007695</v>
      </c>
      <c r="N527" t="s">
        <v>932</v>
      </c>
      <c r="O527" t="s">
        <v>934</v>
      </c>
      <c r="P527" t="s">
        <v>25</v>
      </c>
      <c r="Q527" t="s">
        <v>13</v>
      </c>
      <c r="R527">
        <v>2554</v>
      </c>
      <c r="S527" t="s">
        <v>25</v>
      </c>
      <c r="T527" t="s">
        <v>962</v>
      </c>
      <c r="U527">
        <v>0</v>
      </c>
      <c r="V527" t="s">
        <v>983</v>
      </c>
      <c r="W527" t="s">
        <v>1194</v>
      </c>
      <c r="X527" t="s">
        <v>973</v>
      </c>
      <c r="Y527">
        <v>25000</v>
      </c>
      <c r="Z527" s="2">
        <v>5</v>
      </c>
      <c r="AA527" s="2" t="s">
        <v>1238</v>
      </c>
      <c r="AB527" t="s">
        <v>1238</v>
      </c>
      <c r="AC527">
        <v>743</v>
      </c>
      <c r="AD527" t="s">
        <v>1279</v>
      </c>
      <c r="AE527">
        <v>3</v>
      </c>
      <c r="AF527" t="s">
        <v>1290</v>
      </c>
      <c r="AG527">
        <v>0</v>
      </c>
      <c r="AH527">
        <v>0</v>
      </c>
      <c r="AI527">
        <v>0</v>
      </c>
      <c r="AJ527">
        <v>1980</v>
      </c>
      <c r="AK527" t="s">
        <v>1194</v>
      </c>
      <c r="AL527" t="s">
        <v>1194</v>
      </c>
      <c r="AM527" s="4" t="s">
        <v>1238</v>
      </c>
      <c r="AN527">
        <v>1</v>
      </c>
      <c r="AO527" t="s">
        <v>1316</v>
      </c>
      <c r="AP527">
        <f t="shared" si="16"/>
        <v>0</v>
      </c>
      <c r="AQ527">
        <v>1</v>
      </c>
      <c r="AR527" t="s">
        <v>1992</v>
      </c>
      <c r="AS527" t="s">
        <v>1996</v>
      </c>
      <c r="AT527" t="s">
        <v>1995</v>
      </c>
      <c r="AU527" t="s">
        <v>1996</v>
      </c>
      <c r="AV527" t="s">
        <v>1995</v>
      </c>
      <c r="AW527" t="s">
        <v>1996</v>
      </c>
      <c r="AX527" t="s">
        <v>2006</v>
      </c>
      <c r="AY527" t="s">
        <v>1996</v>
      </c>
      <c r="AZ527">
        <v>1356</v>
      </c>
      <c r="BA527" t="s">
        <v>1194</v>
      </c>
      <c r="BB527" t="s">
        <v>1194</v>
      </c>
      <c r="BC527" s="3">
        <v>2465.3924999999999</v>
      </c>
      <c r="BD527" s="3">
        <v>3671.56</v>
      </c>
      <c r="BE527" s="3">
        <v>0</v>
      </c>
      <c r="BF527" s="3">
        <v>0</v>
      </c>
      <c r="BG527" s="3">
        <v>150</v>
      </c>
      <c r="BH527" s="3">
        <v>0</v>
      </c>
      <c r="BI527" s="3">
        <v>0</v>
      </c>
      <c r="BJ527" s="3">
        <v>6287</v>
      </c>
      <c r="BK527" s="3">
        <v>0</v>
      </c>
      <c r="BL527" s="3">
        <v>6287</v>
      </c>
      <c r="BM527" s="2">
        <f t="shared" ca="1" si="17"/>
        <v>5</v>
      </c>
      <c r="BN527" s="3" t="s">
        <v>2916</v>
      </c>
      <c r="BO527" s="3">
        <v>20000</v>
      </c>
      <c r="BP527" s="3">
        <v>200000</v>
      </c>
      <c r="BQ527" s="3">
        <v>250000</v>
      </c>
      <c r="BR527" s="3">
        <v>500000</v>
      </c>
      <c r="BS527">
        <v>2000000</v>
      </c>
      <c r="BT527">
        <v>0</v>
      </c>
      <c r="BU527">
        <v>0</v>
      </c>
      <c r="BV527">
        <v>0</v>
      </c>
      <c r="BW527">
        <v>0</v>
      </c>
      <c r="BX527">
        <v>1</v>
      </c>
      <c r="BY527">
        <v>0</v>
      </c>
      <c r="BZ527" t="s">
        <v>2942</v>
      </c>
      <c r="CA527" t="s">
        <v>2006</v>
      </c>
      <c r="CB527" t="s">
        <v>2006</v>
      </c>
    </row>
    <row r="528" spans="1:80" x14ac:dyDescent="0.25">
      <c r="A528">
        <v>527</v>
      </c>
      <c r="B528" t="s">
        <v>2541</v>
      </c>
      <c r="C528" s="1">
        <v>44840</v>
      </c>
      <c r="D528" s="2">
        <v>30</v>
      </c>
      <c r="E528" t="s">
        <v>4</v>
      </c>
      <c r="F528" t="s">
        <v>1311</v>
      </c>
      <c r="G528">
        <v>1</v>
      </c>
      <c r="H528" s="3">
        <v>1400000</v>
      </c>
      <c r="I528" s="3">
        <v>150000</v>
      </c>
      <c r="J528" s="3">
        <v>500000</v>
      </c>
      <c r="K528" s="3">
        <v>140000</v>
      </c>
      <c r="L528" s="3" t="s">
        <v>1191</v>
      </c>
      <c r="M528">
        <v>1996870</v>
      </c>
      <c r="N528" t="s">
        <v>935</v>
      </c>
      <c r="P528" t="s">
        <v>35</v>
      </c>
      <c r="Q528" t="s">
        <v>18</v>
      </c>
      <c r="R528">
        <v>75209</v>
      </c>
      <c r="S528" t="s">
        <v>35</v>
      </c>
      <c r="T528" t="s">
        <v>973</v>
      </c>
      <c r="U528">
        <v>0</v>
      </c>
      <c r="V528">
        <v>500</v>
      </c>
      <c r="W528" t="s">
        <v>1195</v>
      </c>
      <c r="X528" t="s">
        <v>973</v>
      </c>
      <c r="Y528">
        <v>10000</v>
      </c>
      <c r="Z528" s="2" t="s">
        <v>1194</v>
      </c>
      <c r="AA528" s="2">
        <v>0</v>
      </c>
      <c r="AB528" t="s">
        <v>1238</v>
      </c>
      <c r="AC528">
        <v>782</v>
      </c>
      <c r="AD528" t="s">
        <v>1284</v>
      </c>
      <c r="AE528">
        <v>1</v>
      </c>
      <c r="AF528" t="s">
        <v>1290</v>
      </c>
      <c r="AG528">
        <v>0</v>
      </c>
      <c r="AH528">
        <v>0</v>
      </c>
      <c r="AI528">
        <v>0</v>
      </c>
      <c r="AJ528">
        <v>1942</v>
      </c>
      <c r="AK528" t="s">
        <v>1194</v>
      </c>
      <c r="AL528">
        <v>2019</v>
      </c>
      <c r="AM528" s="4" t="s">
        <v>1238</v>
      </c>
      <c r="AN528">
        <v>0</v>
      </c>
      <c r="AO528" t="s">
        <v>1315</v>
      </c>
      <c r="AP528">
        <f t="shared" si="16"/>
        <v>0</v>
      </c>
      <c r="AQ528">
        <v>0</v>
      </c>
      <c r="AR528" t="s">
        <v>1993</v>
      </c>
      <c r="AS528" t="s">
        <v>1996</v>
      </c>
      <c r="AT528" t="s">
        <v>1996</v>
      </c>
      <c r="AU528" t="s">
        <v>1995</v>
      </c>
      <c r="AV528" t="s">
        <v>1996</v>
      </c>
      <c r="AW528" t="s">
        <v>1996</v>
      </c>
      <c r="AX528" t="s">
        <v>2003</v>
      </c>
      <c r="AY528" t="s">
        <v>1996</v>
      </c>
      <c r="AZ528">
        <v>2773</v>
      </c>
      <c r="BA528" t="s">
        <v>1194</v>
      </c>
      <c r="BB528" t="s">
        <v>1194</v>
      </c>
      <c r="BC528" s="3">
        <v>8557.1882000000005</v>
      </c>
      <c r="BD528" s="3">
        <v>3941.9</v>
      </c>
      <c r="BE528" s="3">
        <v>0</v>
      </c>
      <c r="BF528" s="3">
        <v>0</v>
      </c>
      <c r="BG528" s="3">
        <v>150</v>
      </c>
      <c r="BH528" s="3">
        <v>0</v>
      </c>
      <c r="BI528" s="3">
        <v>5659</v>
      </c>
      <c r="BJ528" s="3">
        <v>18308</v>
      </c>
      <c r="BK528" s="3">
        <v>0</v>
      </c>
      <c r="BL528" s="3">
        <v>18308</v>
      </c>
      <c r="BM528" s="2">
        <f t="shared" ca="1" si="17"/>
        <v>2</v>
      </c>
      <c r="BN528" s="3">
        <v>50000</v>
      </c>
      <c r="BO528" s="3">
        <v>500000</v>
      </c>
      <c r="BP528" s="3">
        <v>50000</v>
      </c>
      <c r="BQ528" s="3">
        <v>250000</v>
      </c>
      <c r="BR528" s="3">
        <v>100000</v>
      </c>
      <c r="BS528">
        <v>250000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 t="s">
        <v>2942</v>
      </c>
      <c r="CA528" t="s">
        <v>2006</v>
      </c>
      <c r="CB528" t="s">
        <v>2945</v>
      </c>
    </row>
    <row r="529" spans="1:80" x14ac:dyDescent="0.25">
      <c r="A529">
        <v>528</v>
      </c>
      <c r="B529" t="s">
        <v>2542</v>
      </c>
      <c r="C529" s="1">
        <v>44846</v>
      </c>
      <c r="D529" s="2">
        <v>30</v>
      </c>
      <c r="E529" t="s">
        <v>4</v>
      </c>
      <c r="F529" t="s">
        <v>1311</v>
      </c>
      <c r="G529">
        <v>1</v>
      </c>
      <c r="H529" s="3">
        <v>12650000</v>
      </c>
      <c r="I529" s="3">
        <v>632500</v>
      </c>
      <c r="J529" s="3">
        <v>100000</v>
      </c>
      <c r="K529" s="3">
        <v>0</v>
      </c>
      <c r="L529" s="3" t="s">
        <v>1191</v>
      </c>
      <c r="M529">
        <v>2000776</v>
      </c>
      <c r="N529" t="s">
        <v>936</v>
      </c>
      <c r="P529" t="s">
        <v>453</v>
      </c>
      <c r="Q529" t="s">
        <v>19</v>
      </c>
      <c r="R529">
        <v>90210</v>
      </c>
      <c r="S529" t="s">
        <v>46</v>
      </c>
      <c r="T529" t="s">
        <v>965</v>
      </c>
      <c r="U529">
        <v>0</v>
      </c>
      <c r="V529">
        <v>34</v>
      </c>
      <c r="W529" t="s">
        <v>1197</v>
      </c>
      <c r="X529" t="s">
        <v>973</v>
      </c>
      <c r="Y529">
        <v>100000</v>
      </c>
      <c r="Z529" s="2" t="s">
        <v>1194</v>
      </c>
      <c r="AA529" s="2" t="s">
        <v>1238</v>
      </c>
      <c r="AB529" t="s">
        <v>1238</v>
      </c>
      <c r="AC529" t="s">
        <v>1194</v>
      </c>
      <c r="AD529" t="s">
        <v>1279</v>
      </c>
      <c r="AE529">
        <v>1</v>
      </c>
      <c r="AF529" t="s">
        <v>1290</v>
      </c>
      <c r="AG529">
        <v>0</v>
      </c>
      <c r="AH529">
        <v>0</v>
      </c>
      <c r="AI529">
        <v>0</v>
      </c>
      <c r="AJ529">
        <v>2012</v>
      </c>
      <c r="AK529" t="s">
        <v>1194</v>
      </c>
      <c r="AL529" t="s">
        <v>1194</v>
      </c>
      <c r="AM529" s="4" t="s">
        <v>1238</v>
      </c>
      <c r="AN529">
        <v>0</v>
      </c>
      <c r="AO529" t="s">
        <v>1315</v>
      </c>
      <c r="AP529">
        <f t="shared" si="16"/>
        <v>0</v>
      </c>
      <c r="AQ529">
        <v>0</v>
      </c>
      <c r="AR529" t="s">
        <v>1993</v>
      </c>
      <c r="AS529" t="s">
        <v>1995</v>
      </c>
      <c r="AT529" t="s">
        <v>1996</v>
      </c>
      <c r="AU529" t="s">
        <v>1995</v>
      </c>
      <c r="AV529" t="s">
        <v>1996</v>
      </c>
      <c r="AW529" t="s">
        <v>1996</v>
      </c>
      <c r="AX529" t="s">
        <v>1194</v>
      </c>
      <c r="AY529" t="s">
        <v>1996</v>
      </c>
      <c r="AZ529">
        <v>7016</v>
      </c>
      <c r="BA529">
        <v>1</v>
      </c>
      <c r="BB529" t="s">
        <v>2016</v>
      </c>
      <c r="BC529" s="3">
        <v>0</v>
      </c>
      <c r="BD529" s="3">
        <v>0</v>
      </c>
      <c r="BE529" s="3">
        <v>13933.35</v>
      </c>
      <c r="BF529" s="3">
        <v>44714.239999999998</v>
      </c>
      <c r="BG529" s="3">
        <v>150</v>
      </c>
      <c r="BH529" s="3">
        <v>0</v>
      </c>
      <c r="BI529" s="3">
        <v>59829</v>
      </c>
      <c r="BJ529" s="3">
        <v>118626.59</v>
      </c>
      <c r="BK529" s="3">
        <v>0</v>
      </c>
      <c r="BL529" s="3">
        <v>118626.59</v>
      </c>
      <c r="BM529" s="2">
        <f t="shared" ca="1" si="17"/>
        <v>2</v>
      </c>
      <c r="BN529" s="3">
        <v>2000000</v>
      </c>
      <c r="BO529" s="3">
        <v>50000</v>
      </c>
      <c r="BP529" s="3">
        <v>100000</v>
      </c>
      <c r="BQ529" s="3">
        <v>50000</v>
      </c>
      <c r="BR529" s="3">
        <v>250000</v>
      </c>
      <c r="BS529">
        <v>50000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 t="s">
        <v>2951</v>
      </c>
      <c r="CA529" t="s">
        <v>1194</v>
      </c>
      <c r="CB529" t="s">
        <v>2952</v>
      </c>
    </row>
    <row r="530" spans="1:80" x14ac:dyDescent="0.25">
      <c r="A530">
        <v>529</v>
      </c>
      <c r="B530" t="s">
        <v>2543</v>
      </c>
      <c r="C530" s="1">
        <v>44867</v>
      </c>
      <c r="D530" s="2">
        <v>33</v>
      </c>
      <c r="E530" t="s">
        <v>4</v>
      </c>
      <c r="F530" t="s">
        <v>1311</v>
      </c>
      <c r="G530">
        <v>1</v>
      </c>
      <c r="H530" s="3">
        <v>3200000</v>
      </c>
      <c r="I530" s="3">
        <v>840000</v>
      </c>
      <c r="J530" s="3">
        <v>0</v>
      </c>
      <c r="K530" s="3">
        <v>0</v>
      </c>
      <c r="L530" s="3" t="s">
        <v>1191</v>
      </c>
      <c r="M530">
        <v>134398</v>
      </c>
      <c r="N530" t="s">
        <v>937</v>
      </c>
      <c r="P530" t="s">
        <v>25</v>
      </c>
      <c r="Q530" t="s">
        <v>13</v>
      </c>
      <c r="R530">
        <v>2554</v>
      </c>
      <c r="S530" t="s">
        <v>25</v>
      </c>
      <c r="T530" t="s">
        <v>962</v>
      </c>
      <c r="U530">
        <v>0</v>
      </c>
      <c r="V530" t="s">
        <v>983</v>
      </c>
      <c r="W530" t="s">
        <v>1194</v>
      </c>
      <c r="X530" t="s">
        <v>973</v>
      </c>
      <c r="Y530">
        <v>10000</v>
      </c>
      <c r="Z530" s="2">
        <v>2</v>
      </c>
      <c r="AA530" s="2" t="s">
        <v>1238</v>
      </c>
      <c r="AB530" t="s">
        <v>1238</v>
      </c>
      <c r="AC530">
        <v>846</v>
      </c>
      <c r="AD530" t="s">
        <v>1279</v>
      </c>
      <c r="AE530">
        <v>3</v>
      </c>
      <c r="AF530" t="s">
        <v>1290</v>
      </c>
      <c r="AG530">
        <v>0</v>
      </c>
      <c r="AH530">
        <v>0</v>
      </c>
      <c r="AI530">
        <v>0</v>
      </c>
      <c r="AJ530">
        <v>2022</v>
      </c>
      <c r="AK530" t="s">
        <v>1194</v>
      </c>
      <c r="AL530" t="s">
        <v>1194</v>
      </c>
      <c r="AM530" s="4" t="s">
        <v>1238</v>
      </c>
      <c r="AN530">
        <v>1</v>
      </c>
      <c r="AO530" t="s">
        <v>1315</v>
      </c>
      <c r="AP530">
        <f t="shared" si="16"/>
        <v>0</v>
      </c>
      <c r="AQ530">
        <v>0</v>
      </c>
      <c r="AR530" t="s">
        <v>1993</v>
      </c>
      <c r="AS530" t="s">
        <v>1995</v>
      </c>
      <c r="AT530" t="s">
        <v>1996</v>
      </c>
      <c r="AU530" t="s">
        <v>1995</v>
      </c>
      <c r="AV530" t="s">
        <v>1996</v>
      </c>
      <c r="AW530" t="s">
        <v>1995</v>
      </c>
      <c r="AX530" t="s">
        <v>2006</v>
      </c>
      <c r="AY530" t="s">
        <v>1996</v>
      </c>
      <c r="AZ530">
        <v>3000</v>
      </c>
      <c r="BA530" t="s">
        <v>1194</v>
      </c>
      <c r="BB530" t="s">
        <v>1194</v>
      </c>
      <c r="BC530" s="3">
        <v>7211.6248999999998</v>
      </c>
      <c r="BD530" s="3">
        <v>8160.77</v>
      </c>
      <c r="BE530" s="3">
        <v>0</v>
      </c>
      <c r="BF530" s="3">
        <v>0</v>
      </c>
      <c r="BG530" s="3">
        <v>150</v>
      </c>
      <c r="BH530" s="3">
        <v>0</v>
      </c>
      <c r="BI530" s="3">
        <v>6697</v>
      </c>
      <c r="BJ530" s="3">
        <v>22219</v>
      </c>
      <c r="BK530" s="3">
        <v>0</v>
      </c>
      <c r="BL530" s="3">
        <v>22219</v>
      </c>
      <c r="BM530" s="2">
        <f t="shared" ca="1" si="17"/>
        <v>0</v>
      </c>
      <c r="BN530" s="3">
        <v>100000</v>
      </c>
      <c r="BO530" s="3">
        <v>25000</v>
      </c>
      <c r="BP530" s="3">
        <v>200000</v>
      </c>
      <c r="BQ530" s="3">
        <v>2000000</v>
      </c>
      <c r="BR530" s="3">
        <v>500000</v>
      </c>
      <c r="BS530">
        <v>2000000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 t="s">
        <v>2947</v>
      </c>
      <c r="CA530" t="s">
        <v>2006</v>
      </c>
      <c r="CB530" t="s">
        <v>2006</v>
      </c>
    </row>
    <row r="531" spans="1:80" x14ac:dyDescent="0.25">
      <c r="A531">
        <v>530</v>
      </c>
      <c r="B531" t="s">
        <v>2544</v>
      </c>
      <c r="C531" s="1">
        <v>44879</v>
      </c>
      <c r="D531" s="2">
        <v>33</v>
      </c>
      <c r="E531" t="s">
        <v>4</v>
      </c>
      <c r="F531" t="s">
        <v>1311</v>
      </c>
      <c r="G531">
        <v>1</v>
      </c>
      <c r="H531" s="3">
        <v>1955961</v>
      </c>
      <c r="I531" s="3">
        <v>500000</v>
      </c>
      <c r="J531" s="3">
        <v>0</v>
      </c>
      <c r="K531" s="3">
        <v>0</v>
      </c>
      <c r="L531" s="3" t="s">
        <v>1191</v>
      </c>
      <c r="M531">
        <v>2009490</v>
      </c>
      <c r="N531" t="s">
        <v>938</v>
      </c>
      <c r="P531" t="s">
        <v>327</v>
      </c>
      <c r="Q531" t="s">
        <v>19</v>
      </c>
      <c r="R531">
        <v>92651</v>
      </c>
      <c r="S531" t="s">
        <v>37</v>
      </c>
      <c r="T531" t="s">
        <v>976</v>
      </c>
      <c r="U531">
        <v>1</v>
      </c>
      <c r="V531">
        <v>7</v>
      </c>
      <c r="W531" t="s">
        <v>327</v>
      </c>
      <c r="X531" t="s">
        <v>1309</v>
      </c>
      <c r="Y531">
        <v>25000</v>
      </c>
      <c r="Z531" s="2" t="s">
        <v>1194</v>
      </c>
      <c r="AA531" s="2" t="s">
        <v>1238</v>
      </c>
      <c r="AB531" t="s">
        <v>1238</v>
      </c>
      <c r="AC531" t="s">
        <v>1194</v>
      </c>
      <c r="AD531" t="s">
        <v>1279</v>
      </c>
      <c r="AE531">
        <v>3</v>
      </c>
      <c r="AF531" t="s">
        <v>1290</v>
      </c>
      <c r="AG531">
        <v>0</v>
      </c>
      <c r="AH531">
        <v>0</v>
      </c>
      <c r="AI531">
        <v>0</v>
      </c>
      <c r="AJ531">
        <v>1952</v>
      </c>
      <c r="AK531" t="s">
        <v>1194</v>
      </c>
      <c r="AL531" t="s">
        <v>1194</v>
      </c>
      <c r="AM531" s="4" t="s">
        <v>1238</v>
      </c>
      <c r="AN531">
        <v>0</v>
      </c>
      <c r="AO531" t="s">
        <v>1316</v>
      </c>
      <c r="AP531">
        <f t="shared" si="16"/>
        <v>0</v>
      </c>
      <c r="AQ531">
        <v>1</v>
      </c>
      <c r="AR531" t="s">
        <v>1992</v>
      </c>
      <c r="AS531" t="s">
        <v>1995</v>
      </c>
      <c r="AT531" t="s">
        <v>1995</v>
      </c>
      <c r="AU531" t="s">
        <v>1995</v>
      </c>
      <c r="AV531" t="s">
        <v>1996</v>
      </c>
      <c r="AW531" t="s">
        <v>1995</v>
      </c>
      <c r="AX531" t="s">
        <v>1194</v>
      </c>
      <c r="AY531" t="s">
        <v>1996</v>
      </c>
      <c r="AZ531">
        <v>1593</v>
      </c>
      <c r="BA531">
        <v>-2</v>
      </c>
      <c r="BB531" t="s">
        <v>2017</v>
      </c>
      <c r="BC531" s="3">
        <v>0</v>
      </c>
      <c r="BD531" s="3">
        <v>0</v>
      </c>
      <c r="BE531" s="3">
        <v>5174.29</v>
      </c>
      <c r="BF531" s="3">
        <v>11437.45</v>
      </c>
      <c r="BG531" s="3">
        <v>150</v>
      </c>
      <c r="BH531" s="3">
        <v>0</v>
      </c>
      <c r="BI531" s="3">
        <v>7800</v>
      </c>
      <c r="BJ531" s="3">
        <v>24561.74</v>
      </c>
      <c r="BK531" s="3">
        <v>0</v>
      </c>
      <c r="BL531" s="3">
        <v>24561.74</v>
      </c>
      <c r="BM531" s="2">
        <f t="shared" ca="1" si="17"/>
        <v>5</v>
      </c>
      <c r="BN531" s="3">
        <v>100000</v>
      </c>
      <c r="BO531" s="3">
        <v>1000000</v>
      </c>
      <c r="BP531" s="3">
        <v>200000</v>
      </c>
      <c r="BQ531" s="3">
        <v>50000</v>
      </c>
      <c r="BR531" s="3" t="s">
        <v>2916</v>
      </c>
      <c r="BS531">
        <v>2000000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 t="s">
        <v>2950</v>
      </c>
      <c r="CA531" t="s">
        <v>1194</v>
      </c>
      <c r="CB531" t="s">
        <v>2941</v>
      </c>
    </row>
    <row r="532" spans="1:80" x14ac:dyDescent="0.25">
      <c r="A532">
        <v>531</v>
      </c>
      <c r="B532" t="s">
        <v>2545</v>
      </c>
      <c r="C532" s="1">
        <v>44893</v>
      </c>
      <c r="D532" s="2">
        <v>33</v>
      </c>
      <c r="E532" t="s">
        <v>4</v>
      </c>
      <c r="F532" t="s">
        <v>1311</v>
      </c>
      <c r="G532">
        <v>0</v>
      </c>
      <c r="H532" s="3">
        <v>2500000</v>
      </c>
      <c r="I532" s="3">
        <v>1000000</v>
      </c>
      <c r="J532" s="3">
        <v>0</v>
      </c>
      <c r="K532" s="3">
        <v>0</v>
      </c>
      <c r="L532" s="3" t="s">
        <v>1191</v>
      </c>
      <c r="M532">
        <v>2019607</v>
      </c>
      <c r="N532" t="s">
        <v>939</v>
      </c>
      <c r="P532" t="s">
        <v>940</v>
      </c>
      <c r="Q532" t="s">
        <v>19</v>
      </c>
      <c r="R532">
        <v>92075</v>
      </c>
      <c r="S532" t="s">
        <v>77</v>
      </c>
      <c r="T532" t="s">
        <v>974</v>
      </c>
      <c r="U532">
        <v>0</v>
      </c>
      <c r="V532">
        <v>2</v>
      </c>
      <c r="W532" t="s">
        <v>1229</v>
      </c>
      <c r="X532" t="s">
        <v>973</v>
      </c>
      <c r="Y532">
        <v>10000</v>
      </c>
      <c r="Z532" s="2" t="s">
        <v>1194</v>
      </c>
      <c r="AA532" s="2" t="s">
        <v>1238</v>
      </c>
      <c r="AB532" t="s">
        <v>1238</v>
      </c>
      <c r="AC532" t="s">
        <v>1194</v>
      </c>
      <c r="AD532" t="s">
        <v>1279</v>
      </c>
      <c r="AE532">
        <v>1</v>
      </c>
      <c r="AF532" t="s">
        <v>1290</v>
      </c>
      <c r="AG532">
        <v>0</v>
      </c>
      <c r="AH532">
        <v>0</v>
      </c>
      <c r="AI532">
        <v>0</v>
      </c>
      <c r="AJ532">
        <v>2006</v>
      </c>
      <c r="AK532" t="s">
        <v>1194</v>
      </c>
      <c r="AL532" t="s">
        <v>1194</v>
      </c>
      <c r="AM532" s="4" t="s">
        <v>1238</v>
      </c>
      <c r="AN532">
        <v>0</v>
      </c>
      <c r="AO532" t="s">
        <v>1315</v>
      </c>
      <c r="AP532">
        <f t="shared" si="16"/>
        <v>0</v>
      </c>
      <c r="AQ532">
        <v>1</v>
      </c>
      <c r="AR532" t="s">
        <v>1992</v>
      </c>
      <c r="AS532" t="s">
        <v>1996</v>
      </c>
      <c r="AT532" t="s">
        <v>1995</v>
      </c>
      <c r="AU532" t="s">
        <v>1996</v>
      </c>
      <c r="AV532" t="s">
        <v>1995</v>
      </c>
      <c r="AW532" t="s">
        <v>1995</v>
      </c>
      <c r="AX532" t="s">
        <v>1194</v>
      </c>
      <c r="AY532" t="s">
        <v>1996</v>
      </c>
      <c r="AZ532">
        <v>5033</v>
      </c>
      <c r="BA532" t="s">
        <v>1194</v>
      </c>
      <c r="BB532" t="s">
        <v>2014</v>
      </c>
      <c r="BC532" s="3">
        <v>0</v>
      </c>
      <c r="BD532" s="3">
        <v>0</v>
      </c>
      <c r="BE532" s="3">
        <v>5887.77</v>
      </c>
      <c r="BF532" s="3">
        <v>4692.4799999999996</v>
      </c>
      <c r="BG532" s="3">
        <v>150</v>
      </c>
      <c r="BH532" s="3">
        <v>0</v>
      </c>
      <c r="BI532" s="3">
        <v>12200</v>
      </c>
      <c r="BJ532" s="3">
        <v>22930.25</v>
      </c>
      <c r="BK532" s="3">
        <v>0</v>
      </c>
      <c r="BL532" s="3">
        <v>22930.25</v>
      </c>
      <c r="BM532" s="2">
        <f t="shared" ca="1" si="17"/>
        <v>3</v>
      </c>
      <c r="BN532" s="3" t="s">
        <v>2916</v>
      </c>
      <c r="BO532" s="3">
        <v>100000</v>
      </c>
      <c r="BP532" s="3">
        <v>100000</v>
      </c>
      <c r="BQ532" s="3">
        <v>50000</v>
      </c>
      <c r="BR532" s="3">
        <v>50000</v>
      </c>
      <c r="BS532">
        <v>500000</v>
      </c>
      <c r="BT532">
        <v>0</v>
      </c>
      <c r="BU532">
        <v>0</v>
      </c>
      <c r="BV532">
        <v>0</v>
      </c>
      <c r="BW532">
        <v>0</v>
      </c>
      <c r="BX532">
        <v>1</v>
      </c>
      <c r="BY532">
        <v>0</v>
      </c>
      <c r="BZ532" t="s">
        <v>2956</v>
      </c>
      <c r="CA532" t="s">
        <v>1194</v>
      </c>
      <c r="CB532" t="s">
        <v>2941</v>
      </c>
    </row>
    <row r="533" spans="1:80" x14ac:dyDescent="0.25">
      <c r="A533">
        <v>532</v>
      </c>
      <c r="B533" t="s">
        <v>2546</v>
      </c>
      <c r="C533" s="1">
        <v>44901</v>
      </c>
      <c r="D533" s="2">
        <v>36</v>
      </c>
      <c r="E533" t="s">
        <v>4</v>
      </c>
      <c r="F533" t="s">
        <v>1311</v>
      </c>
      <c r="G533">
        <v>0</v>
      </c>
      <c r="H533" s="3">
        <v>2600000</v>
      </c>
      <c r="I533" s="3">
        <v>100000</v>
      </c>
      <c r="J533" s="3">
        <v>0</v>
      </c>
      <c r="K533" s="3">
        <v>0</v>
      </c>
      <c r="L533" s="3" t="s">
        <v>1191</v>
      </c>
      <c r="M533">
        <v>2019198</v>
      </c>
      <c r="N533" t="s">
        <v>941</v>
      </c>
      <c r="P533" t="s">
        <v>942</v>
      </c>
      <c r="Q533" t="s">
        <v>13</v>
      </c>
      <c r="R533">
        <v>1864</v>
      </c>
      <c r="S533" t="s">
        <v>53</v>
      </c>
      <c r="T533" t="s">
        <v>968</v>
      </c>
      <c r="U533">
        <v>0</v>
      </c>
      <c r="V533" t="s">
        <v>1185</v>
      </c>
      <c r="W533" t="s">
        <v>1194</v>
      </c>
      <c r="X533" t="s">
        <v>973</v>
      </c>
      <c r="Y533">
        <v>10000</v>
      </c>
      <c r="Z533" s="2">
        <v>2</v>
      </c>
      <c r="AA533" s="2" t="s">
        <v>1238</v>
      </c>
      <c r="AB533" t="s">
        <v>1238</v>
      </c>
      <c r="AC533">
        <v>734</v>
      </c>
      <c r="AD533" t="s">
        <v>1279</v>
      </c>
      <c r="AE533">
        <v>4</v>
      </c>
      <c r="AF533" t="s">
        <v>1290</v>
      </c>
      <c r="AG533">
        <v>0</v>
      </c>
      <c r="AH533">
        <v>0</v>
      </c>
      <c r="AI533">
        <v>0</v>
      </c>
      <c r="AJ533">
        <v>2013</v>
      </c>
      <c r="AK533" t="s">
        <v>1194</v>
      </c>
      <c r="AL533" t="s">
        <v>1194</v>
      </c>
      <c r="AM533" s="4" t="s">
        <v>1238</v>
      </c>
      <c r="AN533">
        <v>1</v>
      </c>
      <c r="AO533" t="s">
        <v>1316</v>
      </c>
      <c r="AP533">
        <f t="shared" si="16"/>
        <v>0</v>
      </c>
      <c r="AQ533">
        <v>1</v>
      </c>
      <c r="AR533" t="s">
        <v>1992</v>
      </c>
      <c r="AS533" t="s">
        <v>1996</v>
      </c>
      <c r="AT533" t="s">
        <v>1996</v>
      </c>
      <c r="AU533" t="s">
        <v>1995</v>
      </c>
      <c r="AV533" t="s">
        <v>1996</v>
      </c>
      <c r="AW533" t="s">
        <v>1996</v>
      </c>
      <c r="AX533" t="s">
        <v>2006</v>
      </c>
      <c r="AY533" t="s">
        <v>1996</v>
      </c>
      <c r="AZ533">
        <v>5300</v>
      </c>
      <c r="BA533" t="s">
        <v>1194</v>
      </c>
      <c r="BB533" t="s">
        <v>1194</v>
      </c>
      <c r="BC533" s="3">
        <v>5824.76</v>
      </c>
      <c r="BD533" s="3">
        <v>1195.68</v>
      </c>
      <c r="BE533" s="3">
        <v>0</v>
      </c>
      <c r="BF533" s="3">
        <v>0</v>
      </c>
      <c r="BG533" s="3">
        <v>150</v>
      </c>
      <c r="BH533" s="3">
        <v>0</v>
      </c>
      <c r="BI533" s="3">
        <v>10730</v>
      </c>
      <c r="BJ533" s="3">
        <v>17900</v>
      </c>
      <c r="BK533" s="3">
        <v>150</v>
      </c>
      <c r="BL533" s="3">
        <v>18050</v>
      </c>
      <c r="BM533" s="2">
        <f t="shared" ca="1" si="17"/>
        <v>1</v>
      </c>
      <c r="BN533" s="3">
        <v>250000</v>
      </c>
      <c r="BO533" s="3">
        <v>50000</v>
      </c>
      <c r="BP533" s="3">
        <v>100000</v>
      </c>
      <c r="BQ533" s="3">
        <v>1000000</v>
      </c>
      <c r="BR533" s="3">
        <v>50000</v>
      </c>
      <c r="BS533">
        <v>100000</v>
      </c>
      <c r="BT533">
        <v>0</v>
      </c>
      <c r="BU533">
        <v>0</v>
      </c>
      <c r="BV533">
        <v>1</v>
      </c>
      <c r="BW533">
        <v>0</v>
      </c>
      <c r="BX533">
        <v>0</v>
      </c>
      <c r="BY533">
        <v>0</v>
      </c>
      <c r="BZ533" t="s">
        <v>2942</v>
      </c>
      <c r="CA533" t="s">
        <v>2006</v>
      </c>
      <c r="CB533" t="s">
        <v>2945</v>
      </c>
    </row>
    <row r="534" spans="1:80" x14ac:dyDescent="0.25">
      <c r="A534">
        <v>533</v>
      </c>
      <c r="B534" t="s">
        <v>2547</v>
      </c>
      <c r="C534" s="1">
        <v>44900</v>
      </c>
      <c r="D534" s="2">
        <v>36</v>
      </c>
      <c r="E534" t="s">
        <v>4</v>
      </c>
      <c r="F534" t="s">
        <v>1311</v>
      </c>
      <c r="G534">
        <v>0</v>
      </c>
      <c r="H534" s="3">
        <v>2414000</v>
      </c>
      <c r="I534" s="3">
        <v>100000</v>
      </c>
      <c r="J534" s="3">
        <v>0</v>
      </c>
      <c r="K534" s="3">
        <v>0</v>
      </c>
      <c r="L534" s="3" t="s">
        <v>1191</v>
      </c>
      <c r="M534">
        <v>2018445</v>
      </c>
      <c r="N534" t="s">
        <v>943</v>
      </c>
      <c r="P534" t="s">
        <v>944</v>
      </c>
      <c r="Q534" t="s">
        <v>13</v>
      </c>
      <c r="R534">
        <v>1867</v>
      </c>
      <c r="S534" t="s">
        <v>53</v>
      </c>
      <c r="T534" t="s">
        <v>968</v>
      </c>
      <c r="U534">
        <v>0</v>
      </c>
      <c r="V534" t="s">
        <v>1186</v>
      </c>
      <c r="W534" t="s">
        <v>1194</v>
      </c>
      <c r="X534" t="s">
        <v>973</v>
      </c>
      <c r="Y534">
        <v>10000</v>
      </c>
      <c r="Z534" s="2">
        <v>2</v>
      </c>
      <c r="AA534" s="2" t="s">
        <v>1238</v>
      </c>
      <c r="AB534" t="s">
        <v>1238</v>
      </c>
      <c r="AC534">
        <v>678</v>
      </c>
      <c r="AD534" t="s">
        <v>1279</v>
      </c>
      <c r="AE534">
        <v>3</v>
      </c>
      <c r="AF534" t="s">
        <v>1291</v>
      </c>
      <c r="AG534">
        <v>0</v>
      </c>
      <c r="AH534">
        <v>0</v>
      </c>
      <c r="AI534">
        <v>0</v>
      </c>
      <c r="AJ534">
        <v>2022</v>
      </c>
      <c r="AK534" t="s">
        <v>1194</v>
      </c>
      <c r="AL534" t="s">
        <v>1194</v>
      </c>
      <c r="AM534" s="4" t="s">
        <v>1238</v>
      </c>
      <c r="AN534">
        <v>0</v>
      </c>
      <c r="AO534" t="s">
        <v>1316</v>
      </c>
      <c r="AP534">
        <f t="shared" si="16"/>
        <v>0</v>
      </c>
      <c r="AQ534">
        <v>1</v>
      </c>
      <c r="AR534" t="s">
        <v>1992</v>
      </c>
      <c r="AS534" t="s">
        <v>1995</v>
      </c>
      <c r="AT534" t="s">
        <v>1996</v>
      </c>
      <c r="AU534" t="s">
        <v>1996</v>
      </c>
      <c r="AV534" t="s">
        <v>1996</v>
      </c>
      <c r="AW534" t="s">
        <v>1995</v>
      </c>
      <c r="AX534" t="s">
        <v>2006</v>
      </c>
      <c r="AY534" t="s">
        <v>1996</v>
      </c>
      <c r="AZ534">
        <v>8257</v>
      </c>
      <c r="BA534" t="s">
        <v>1194</v>
      </c>
      <c r="BB534" t="s">
        <v>1194</v>
      </c>
      <c r="BC534" s="3">
        <v>5661.6346000000003</v>
      </c>
      <c r="BD534" s="3">
        <v>1072.78</v>
      </c>
      <c r="BE534" s="3">
        <v>0</v>
      </c>
      <c r="BF534" s="3">
        <v>0</v>
      </c>
      <c r="BG534" s="3">
        <v>150</v>
      </c>
      <c r="BH534" s="3">
        <v>0</v>
      </c>
      <c r="BI534" s="3">
        <v>4428</v>
      </c>
      <c r="BJ534" s="3">
        <v>11312</v>
      </c>
      <c r="BK534" s="3">
        <v>0</v>
      </c>
      <c r="BL534" s="3">
        <v>11312</v>
      </c>
      <c r="BM534" s="2">
        <f t="shared" ca="1" si="17"/>
        <v>5</v>
      </c>
      <c r="BN534" s="3">
        <v>500000</v>
      </c>
      <c r="BO534" s="3">
        <v>50000</v>
      </c>
      <c r="BP534" s="3" t="s">
        <v>2922</v>
      </c>
      <c r="BQ534" s="3">
        <v>250000</v>
      </c>
      <c r="BR534" s="3">
        <v>50000</v>
      </c>
      <c r="BS534">
        <v>2000000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 t="s">
        <v>2006</v>
      </c>
      <c r="CA534" t="s">
        <v>2006</v>
      </c>
      <c r="CB534" t="s">
        <v>2006</v>
      </c>
    </row>
    <row r="535" spans="1:80" x14ac:dyDescent="0.25">
      <c r="A535">
        <v>534</v>
      </c>
      <c r="B535" t="s">
        <v>2548</v>
      </c>
      <c r="C535" s="1">
        <v>44904</v>
      </c>
      <c r="D535" s="2">
        <v>36</v>
      </c>
      <c r="E535" t="s">
        <v>4</v>
      </c>
      <c r="F535" t="s">
        <v>1311</v>
      </c>
      <c r="G535">
        <v>1</v>
      </c>
      <c r="H535" s="3">
        <v>12000000</v>
      </c>
      <c r="I535" s="3">
        <v>500000</v>
      </c>
      <c r="J535" s="3">
        <v>0</v>
      </c>
      <c r="K535" s="3">
        <v>0</v>
      </c>
      <c r="L535" s="3" t="s">
        <v>1191</v>
      </c>
      <c r="M535">
        <v>2018041</v>
      </c>
      <c r="N535" t="s">
        <v>945</v>
      </c>
      <c r="P535" t="s">
        <v>248</v>
      </c>
      <c r="Q535" t="s">
        <v>20</v>
      </c>
      <c r="R535">
        <v>30305</v>
      </c>
      <c r="S535" t="s">
        <v>57</v>
      </c>
      <c r="T535" t="s">
        <v>973</v>
      </c>
      <c r="U535">
        <v>0</v>
      </c>
      <c r="V535">
        <v>17</v>
      </c>
      <c r="W535" t="s">
        <v>1195</v>
      </c>
      <c r="X535" t="s">
        <v>973</v>
      </c>
      <c r="Y535">
        <v>25000</v>
      </c>
      <c r="Z535" s="2" t="s">
        <v>1194</v>
      </c>
      <c r="AA535" s="2">
        <v>0</v>
      </c>
      <c r="AB535" t="s">
        <v>1238</v>
      </c>
      <c r="AC535">
        <v>773</v>
      </c>
      <c r="AD535" t="s">
        <v>1284</v>
      </c>
      <c r="AE535">
        <v>1</v>
      </c>
      <c r="AF535" t="s">
        <v>1290</v>
      </c>
      <c r="AG535">
        <v>0</v>
      </c>
      <c r="AH535">
        <v>0</v>
      </c>
      <c r="AI535">
        <v>0</v>
      </c>
      <c r="AJ535">
        <v>1919</v>
      </c>
      <c r="AK535" t="s">
        <v>1194</v>
      </c>
      <c r="AL535" t="s">
        <v>1194</v>
      </c>
      <c r="AM535" s="4" t="s">
        <v>1238</v>
      </c>
      <c r="AN535">
        <v>0</v>
      </c>
      <c r="AO535" t="s">
        <v>1316</v>
      </c>
      <c r="AP535">
        <f t="shared" si="16"/>
        <v>0</v>
      </c>
      <c r="AQ535">
        <v>0</v>
      </c>
      <c r="AR535" t="s">
        <v>1993</v>
      </c>
      <c r="AS535" t="s">
        <v>1995</v>
      </c>
      <c r="AT535" t="s">
        <v>1995</v>
      </c>
      <c r="AU535" t="s">
        <v>1995</v>
      </c>
      <c r="AV535" t="s">
        <v>1995</v>
      </c>
      <c r="AW535" t="s">
        <v>1996</v>
      </c>
      <c r="AX535" t="s">
        <v>2003</v>
      </c>
      <c r="AY535" t="s">
        <v>1996</v>
      </c>
      <c r="AZ535">
        <v>7670</v>
      </c>
      <c r="BA535" t="s">
        <v>1194</v>
      </c>
      <c r="BB535" t="s">
        <v>1194</v>
      </c>
      <c r="BC535" s="3">
        <v>26506.824199999999</v>
      </c>
      <c r="BD535" s="3">
        <v>31953.52</v>
      </c>
      <c r="BE535" s="3">
        <v>0</v>
      </c>
      <c r="BF535" s="3">
        <v>0</v>
      </c>
      <c r="BG535" s="3">
        <v>150</v>
      </c>
      <c r="BH535" s="3">
        <v>0</v>
      </c>
      <c r="BI535" s="3">
        <v>8390</v>
      </c>
      <c r="BJ535" s="3">
        <v>67000</v>
      </c>
      <c r="BK535" s="3">
        <v>1125</v>
      </c>
      <c r="BL535" s="3">
        <v>68125</v>
      </c>
      <c r="BM535" s="2">
        <f t="shared" ca="1" si="17"/>
        <v>3</v>
      </c>
      <c r="BN535" s="3">
        <v>50000</v>
      </c>
      <c r="BO535" s="3">
        <v>25000</v>
      </c>
      <c r="BP535" s="3">
        <v>50000</v>
      </c>
      <c r="BQ535" s="3">
        <v>1000000</v>
      </c>
      <c r="BR535" s="3">
        <v>250000</v>
      </c>
      <c r="BS535">
        <v>250000</v>
      </c>
      <c r="BT535">
        <v>0</v>
      </c>
      <c r="BU535">
        <v>0</v>
      </c>
      <c r="BV535">
        <v>0</v>
      </c>
      <c r="BW535">
        <v>0</v>
      </c>
      <c r="BX535">
        <v>1</v>
      </c>
      <c r="BY535">
        <v>0</v>
      </c>
      <c r="BZ535" t="s">
        <v>2940</v>
      </c>
      <c r="CA535" t="s">
        <v>2006</v>
      </c>
      <c r="CB535" t="s">
        <v>2941</v>
      </c>
    </row>
    <row r="536" spans="1:80" x14ac:dyDescent="0.25">
      <c r="A536">
        <v>535</v>
      </c>
      <c r="B536" t="s">
        <v>2549</v>
      </c>
      <c r="C536" s="1">
        <v>44938</v>
      </c>
      <c r="D536" s="2">
        <v>3</v>
      </c>
      <c r="E536" t="s">
        <v>4</v>
      </c>
      <c r="F536" t="s">
        <v>1310</v>
      </c>
      <c r="G536">
        <v>0</v>
      </c>
      <c r="H536" s="3">
        <v>3200000</v>
      </c>
      <c r="I536" s="3">
        <v>0</v>
      </c>
      <c r="J536" s="3">
        <v>0</v>
      </c>
      <c r="K536" s="3">
        <v>0</v>
      </c>
      <c r="L536" s="3" t="s">
        <v>1191</v>
      </c>
      <c r="M536">
        <v>2021762</v>
      </c>
      <c r="N536" t="s">
        <v>946</v>
      </c>
      <c r="P536" t="s">
        <v>947</v>
      </c>
      <c r="Q536" t="s">
        <v>13</v>
      </c>
      <c r="R536">
        <v>2631</v>
      </c>
      <c r="S536" t="s">
        <v>51</v>
      </c>
      <c r="T536" t="s">
        <v>968</v>
      </c>
      <c r="U536">
        <v>0</v>
      </c>
      <c r="V536" t="s">
        <v>1187</v>
      </c>
      <c r="W536" t="s">
        <v>1194</v>
      </c>
      <c r="X536" t="s">
        <v>973</v>
      </c>
      <c r="Y536">
        <v>25000</v>
      </c>
      <c r="Z536" s="2">
        <v>2</v>
      </c>
      <c r="AA536" s="2" t="s">
        <v>1238</v>
      </c>
      <c r="AB536" t="s">
        <v>1238</v>
      </c>
      <c r="AC536">
        <v>776</v>
      </c>
      <c r="AD536" t="s">
        <v>1279</v>
      </c>
      <c r="AE536">
        <v>2</v>
      </c>
      <c r="AF536" t="s">
        <v>1290</v>
      </c>
      <c r="AG536">
        <v>0</v>
      </c>
      <c r="AH536">
        <v>0</v>
      </c>
      <c r="AI536">
        <v>0</v>
      </c>
      <c r="AJ536">
        <v>1971</v>
      </c>
      <c r="AK536">
        <v>2018</v>
      </c>
      <c r="AL536">
        <v>2017</v>
      </c>
      <c r="AM536" s="4" t="s">
        <v>1304</v>
      </c>
      <c r="AN536">
        <v>0</v>
      </c>
      <c r="AO536" t="s">
        <v>1315</v>
      </c>
      <c r="AP536">
        <f t="shared" si="16"/>
        <v>0</v>
      </c>
      <c r="AQ536">
        <v>1</v>
      </c>
      <c r="AR536" t="s">
        <v>1992</v>
      </c>
      <c r="AS536" t="s">
        <v>1996</v>
      </c>
      <c r="AT536" t="s">
        <v>1995</v>
      </c>
      <c r="AU536" t="s">
        <v>1996</v>
      </c>
      <c r="AV536" t="s">
        <v>1996</v>
      </c>
      <c r="AW536" t="s">
        <v>1996</v>
      </c>
      <c r="AX536" t="s">
        <v>2003</v>
      </c>
      <c r="AY536" t="s">
        <v>1996</v>
      </c>
      <c r="AZ536">
        <v>3681</v>
      </c>
      <c r="BA536" t="s">
        <v>1194</v>
      </c>
      <c r="BB536" t="s">
        <v>1194</v>
      </c>
      <c r="BC536" s="3">
        <v>5741.0101000000004</v>
      </c>
      <c r="BD536" s="3">
        <v>4219.51</v>
      </c>
      <c r="BE536" s="3">
        <v>0</v>
      </c>
      <c r="BF536" s="3">
        <v>0</v>
      </c>
      <c r="BG536" s="3">
        <v>150</v>
      </c>
      <c r="BH536" s="3">
        <v>0</v>
      </c>
      <c r="BI536" s="3">
        <v>9729</v>
      </c>
      <c r="BJ536" s="3">
        <v>19840</v>
      </c>
      <c r="BK536" s="3">
        <v>0</v>
      </c>
      <c r="BL536" s="3">
        <v>19840</v>
      </c>
      <c r="BM536" s="2">
        <f t="shared" ca="1" si="17"/>
        <v>3</v>
      </c>
      <c r="BN536" s="3">
        <v>50000</v>
      </c>
      <c r="BO536" s="3">
        <v>20000</v>
      </c>
      <c r="BP536" s="3" t="s">
        <v>2922</v>
      </c>
      <c r="BQ536" s="3">
        <v>250000</v>
      </c>
      <c r="BR536" s="3">
        <v>1000000</v>
      </c>
      <c r="BS536">
        <v>1000000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 t="s">
        <v>2942</v>
      </c>
      <c r="CA536" t="s">
        <v>2006</v>
      </c>
      <c r="CB536" t="s">
        <v>2945</v>
      </c>
    </row>
    <row r="537" spans="1:80" x14ac:dyDescent="0.25">
      <c r="A537">
        <v>536</v>
      </c>
      <c r="B537" t="s">
        <v>2550</v>
      </c>
      <c r="C537" s="1">
        <v>44904</v>
      </c>
      <c r="D537" s="2">
        <v>36</v>
      </c>
      <c r="E537" t="s">
        <v>4</v>
      </c>
      <c r="F537" t="s">
        <v>1311</v>
      </c>
      <c r="G537">
        <v>1</v>
      </c>
      <c r="H537" s="3">
        <v>0</v>
      </c>
      <c r="I537" s="3">
        <v>0</v>
      </c>
      <c r="J537" s="3">
        <v>8000000</v>
      </c>
      <c r="K537" s="3">
        <v>0</v>
      </c>
      <c r="L537" s="3" t="s">
        <v>1192</v>
      </c>
      <c r="M537">
        <v>2035148</v>
      </c>
      <c r="N537" t="s">
        <v>694</v>
      </c>
      <c r="O537" t="s">
        <v>948</v>
      </c>
      <c r="P537" t="s">
        <v>29</v>
      </c>
      <c r="Q537" t="s">
        <v>14</v>
      </c>
      <c r="R537">
        <v>10019</v>
      </c>
      <c r="S537" t="s">
        <v>29</v>
      </c>
      <c r="T537" t="s">
        <v>962</v>
      </c>
      <c r="U537">
        <v>0</v>
      </c>
      <c r="V537" t="s">
        <v>1138</v>
      </c>
      <c r="W537" t="s">
        <v>1194</v>
      </c>
      <c r="X537" t="s">
        <v>973</v>
      </c>
      <c r="Y537">
        <v>100000</v>
      </c>
      <c r="Z537" s="2">
        <v>2</v>
      </c>
      <c r="AA537" s="2" t="s">
        <v>1238</v>
      </c>
      <c r="AB537" t="s">
        <v>1238</v>
      </c>
      <c r="AC537">
        <v>0</v>
      </c>
      <c r="AD537" t="s">
        <v>1281</v>
      </c>
      <c r="AE537">
        <v>1</v>
      </c>
      <c r="AF537" t="s">
        <v>1290</v>
      </c>
      <c r="AG537">
        <v>0</v>
      </c>
      <c r="AH537">
        <v>0</v>
      </c>
      <c r="AI537">
        <v>0</v>
      </c>
      <c r="AJ537">
        <v>2013</v>
      </c>
      <c r="AK537" t="s">
        <v>1194</v>
      </c>
      <c r="AL537" t="s">
        <v>1194</v>
      </c>
      <c r="AM537" s="4" t="s">
        <v>1238</v>
      </c>
      <c r="AN537">
        <v>0</v>
      </c>
      <c r="AO537" t="s">
        <v>1316</v>
      </c>
      <c r="AP537">
        <f t="shared" si="16"/>
        <v>0</v>
      </c>
      <c r="AQ537">
        <v>1</v>
      </c>
      <c r="AR537" t="s">
        <v>1992</v>
      </c>
      <c r="AS537" t="s">
        <v>1995</v>
      </c>
      <c r="AT537" t="s">
        <v>1996</v>
      </c>
      <c r="AU537" t="s">
        <v>1996</v>
      </c>
      <c r="AV537" t="s">
        <v>1996</v>
      </c>
      <c r="AW537" t="s">
        <v>1995</v>
      </c>
      <c r="AX537" t="s">
        <v>2006</v>
      </c>
      <c r="AY537" t="s">
        <v>1996</v>
      </c>
      <c r="AZ537">
        <v>6700</v>
      </c>
      <c r="BA537" t="s">
        <v>1194</v>
      </c>
      <c r="BB537" t="s">
        <v>1194</v>
      </c>
      <c r="BC537" s="3">
        <v>21113.466799999998</v>
      </c>
      <c r="BD537" s="3">
        <v>2777.08</v>
      </c>
      <c r="BE537" s="3">
        <v>0</v>
      </c>
      <c r="BF537" s="3">
        <v>0</v>
      </c>
      <c r="BG537" s="3">
        <v>0</v>
      </c>
      <c r="BH537" s="3">
        <v>0</v>
      </c>
      <c r="BI537" s="3">
        <v>32100</v>
      </c>
      <c r="BJ537" s="3">
        <v>55991</v>
      </c>
      <c r="BK537" s="3">
        <v>0</v>
      </c>
      <c r="BL537" s="3">
        <v>55991</v>
      </c>
      <c r="BM537" s="2">
        <f t="shared" ca="1" si="17"/>
        <v>1</v>
      </c>
      <c r="BN537" s="3" t="s">
        <v>2916</v>
      </c>
      <c r="BO537" s="3">
        <v>2000000</v>
      </c>
      <c r="BP537" s="3">
        <v>50000</v>
      </c>
      <c r="BQ537" s="3">
        <v>1000000</v>
      </c>
      <c r="BR537" s="3">
        <v>250000</v>
      </c>
      <c r="BS537">
        <v>1000000</v>
      </c>
      <c r="BT537">
        <v>0</v>
      </c>
      <c r="BU537">
        <v>0</v>
      </c>
      <c r="BV537">
        <v>0</v>
      </c>
      <c r="BW537">
        <v>0</v>
      </c>
      <c r="BX537">
        <v>1</v>
      </c>
      <c r="BY537">
        <v>0</v>
      </c>
      <c r="BZ537" t="s">
        <v>2006</v>
      </c>
      <c r="CA537" t="s">
        <v>2006</v>
      </c>
      <c r="CB537" t="s">
        <v>2946</v>
      </c>
    </row>
    <row r="538" spans="1:80" x14ac:dyDescent="0.25">
      <c r="A538">
        <v>537</v>
      </c>
      <c r="B538" t="s">
        <v>2551</v>
      </c>
      <c r="C538" s="1">
        <v>44965</v>
      </c>
      <c r="D538" s="2">
        <v>6</v>
      </c>
      <c r="E538" t="s">
        <v>4</v>
      </c>
      <c r="F538" t="s">
        <v>1310</v>
      </c>
      <c r="G538">
        <v>0</v>
      </c>
      <c r="H538" s="3">
        <v>4500000</v>
      </c>
      <c r="I538" s="3">
        <v>500000</v>
      </c>
      <c r="J538" s="3">
        <v>0</v>
      </c>
      <c r="K538" s="3">
        <v>0</v>
      </c>
      <c r="L538" s="3" t="s">
        <v>1191</v>
      </c>
      <c r="M538">
        <v>2030916</v>
      </c>
      <c r="N538" t="s">
        <v>949</v>
      </c>
      <c r="P538" t="s">
        <v>615</v>
      </c>
      <c r="Q538" t="s">
        <v>16</v>
      </c>
      <c r="R538">
        <v>7762</v>
      </c>
      <c r="S538" t="s">
        <v>52</v>
      </c>
      <c r="T538" t="s">
        <v>970</v>
      </c>
      <c r="U538">
        <v>0</v>
      </c>
      <c r="V538" t="s">
        <v>1121</v>
      </c>
      <c r="W538" t="s">
        <v>1194</v>
      </c>
      <c r="X538" t="s">
        <v>973</v>
      </c>
      <c r="Y538">
        <v>10000</v>
      </c>
      <c r="Z538" s="2">
        <v>2</v>
      </c>
      <c r="AA538" s="2" t="s">
        <v>1238</v>
      </c>
      <c r="AB538" t="s">
        <v>1238</v>
      </c>
      <c r="AC538">
        <v>780</v>
      </c>
      <c r="AD538" t="s">
        <v>1279</v>
      </c>
      <c r="AE538">
        <v>4</v>
      </c>
      <c r="AF538" t="s">
        <v>1290</v>
      </c>
      <c r="AG538">
        <v>0</v>
      </c>
      <c r="AH538">
        <v>0</v>
      </c>
      <c r="AI538">
        <v>0</v>
      </c>
      <c r="AJ538">
        <v>2022</v>
      </c>
      <c r="AK538" t="s">
        <v>1194</v>
      </c>
      <c r="AL538" t="s">
        <v>1194</v>
      </c>
      <c r="AM538" s="4" t="s">
        <v>1304</v>
      </c>
      <c r="AN538">
        <v>1</v>
      </c>
      <c r="AO538" t="s">
        <v>1316</v>
      </c>
      <c r="AP538">
        <f t="shared" si="16"/>
        <v>0</v>
      </c>
      <c r="AQ538">
        <v>1</v>
      </c>
      <c r="AR538" t="s">
        <v>1992</v>
      </c>
      <c r="AS538" t="s">
        <v>1996</v>
      </c>
      <c r="AT538" t="s">
        <v>1995</v>
      </c>
      <c r="AU538" t="s">
        <v>1996</v>
      </c>
      <c r="AV538" t="s">
        <v>1996</v>
      </c>
      <c r="AW538" t="s">
        <v>1995</v>
      </c>
      <c r="AX538" t="s">
        <v>2003</v>
      </c>
      <c r="AY538" t="s">
        <v>1996</v>
      </c>
      <c r="AZ538">
        <v>6200</v>
      </c>
      <c r="BA538" t="s">
        <v>1194</v>
      </c>
      <c r="BB538" t="s">
        <v>1194</v>
      </c>
      <c r="BC538" s="3">
        <v>7878.5814</v>
      </c>
      <c r="BD538" s="3">
        <v>4283.1099999999997</v>
      </c>
      <c r="BE538" s="3">
        <v>0</v>
      </c>
      <c r="BF538" s="3">
        <v>0</v>
      </c>
      <c r="BG538" s="3">
        <v>150</v>
      </c>
      <c r="BH538" s="3">
        <v>0</v>
      </c>
      <c r="BI538" s="3">
        <v>8537</v>
      </c>
      <c r="BJ538" s="3">
        <v>20849</v>
      </c>
      <c r="BK538" s="3">
        <v>250</v>
      </c>
      <c r="BL538" s="3">
        <v>21099</v>
      </c>
      <c r="BM538" s="2">
        <f t="shared" ca="1" si="17"/>
        <v>3</v>
      </c>
      <c r="BN538" s="3">
        <v>250000</v>
      </c>
      <c r="BO538" s="3">
        <v>250000</v>
      </c>
      <c r="BP538" s="3">
        <v>200000</v>
      </c>
      <c r="BQ538" s="3">
        <v>50000</v>
      </c>
      <c r="BR538" s="3">
        <v>100000</v>
      </c>
      <c r="BS538">
        <v>100000</v>
      </c>
      <c r="BT538">
        <v>0</v>
      </c>
      <c r="BU538">
        <v>0</v>
      </c>
      <c r="BV538">
        <v>1</v>
      </c>
      <c r="BW538">
        <v>0</v>
      </c>
      <c r="BX538">
        <v>0</v>
      </c>
      <c r="BY538">
        <v>0</v>
      </c>
      <c r="BZ538" t="s">
        <v>2947</v>
      </c>
      <c r="CA538" t="s">
        <v>2006</v>
      </c>
      <c r="CB538" t="s">
        <v>2945</v>
      </c>
    </row>
    <row r="539" spans="1:80" x14ac:dyDescent="0.25">
      <c r="A539">
        <v>538</v>
      </c>
      <c r="B539" t="s">
        <v>2552</v>
      </c>
      <c r="C539" s="1">
        <v>44925</v>
      </c>
      <c r="D539" s="2">
        <v>36</v>
      </c>
      <c r="E539" t="s">
        <v>4</v>
      </c>
      <c r="F539" t="s">
        <v>1311</v>
      </c>
      <c r="G539">
        <v>1</v>
      </c>
      <c r="H539" s="3">
        <v>3500000</v>
      </c>
      <c r="I539" s="3">
        <v>0</v>
      </c>
      <c r="J539" s="3">
        <v>0</v>
      </c>
      <c r="K539" s="3">
        <v>0</v>
      </c>
      <c r="L539" s="3" t="s">
        <v>1191</v>
      </c>
      <c r="M539">
        <v>2033090</v>
      </c>
      <c r="N539" t="s">
        <v>950</v>
      </c>
      <c r="P539" t="s">
        <v>101</v>
      </c>
      <c r="Q539" t="s">
        <v>13</v>
      </c>
      <c r="R539">
        <v>1245</v>
      </c>
      <c r="S539" t="s">
        <v>80</v>
      </c>
      <c r="T539" t="s">
        <v>973</v>
      </c>
      <c r="U539">
        <v>0</v>
      </c>
      <c r="V539" t="s">
        <v>1067</v>
      </c>
      <c r="W539" t="s">
        <v>1194</v>
      </c>
      <c r="X539" t="s">
        <v>973</v>
      </c>
      <c r="Y539">
        <v>10000</v>
      </c>
      <c r="Z539" s="2" t="s">
        <v>1194</v>
      </c>
      <c r="AA539" s="2" t="s">
        <v>1238</v>
      </c>
      <c r="AB539" t="s">
        <v>1238</v>
      </c>
      <c r="AC539">
        <v>722</v>
      </c>
      <c r="AD539" t="s">
        <v>1280</v>
      </c>
      <c r="AE539">
        <v>10</v>
      </c>
      <c r="AF539" t="s">
        <v>1290</v>
      </c>
      <c r="AG539">
        <v>0</v>
      </c>
      <c r="AH539">
        <v>0</v>
      </c>
      <c r="AI539">
        <v>0</v>
      </c>
      <c r="AJ539">
        <v>2022</v>
      </c>
      <c r="AK539" t="s">
        <v>1194</v>
      </c>
      <c r="AL539" t="s">
        <v>1194</v>
      </c>
      <c r="AM539" s="4" t="s">
        <v>1238</v>
      </c>
      <c r="AN539">
        <v>0</v>
      </c>
      <c r="AO539" t="s">
        <v>1315</v>
      </c>
      <c r="AP539">
        <f t="shared" si="16"/>
        <v>0</v>
      </c>
      <c r="AQ539">
        <v>1</v>
      </c>
      <c r="AR539" t="s">
        <v>1992</v>
      </c>
      <c r="AS539" t="s">
        <v>1996</v>
      </c>
      <c r="AT539" t="s">
        <v>1996</v>
      </c>
      <c r="AU539" t="s">
        <v>1995</v>
      </c>
      <c r="AV539" t="s">
        <v>1996</v>
      </c>
      <c r="AW539" t="s">
        <v>1995</v>
      </c>
      <c r="AX539" t="s">
        <v>2006</v>
      </c>
      <c r="AY539" t="s">
        <v>1996</v>
      </c>
      <c r="AZ539">
        <v>5000</v>
      </c>
      <c r="BA539" t="s">
        <v>1194</v>
      </c>
      <c r="BB539" t="s">
        <v>1194</v>
      </c>
      <c r="BC539" s="3">
        <v>10695.632900000001</v>
      </c>
      <c r="BD539" s="3">
        <v>530.88</v>
      </c>
      <c r="BE539" s="3">
        <v>0</v>
      </c>
      <c r="BF539" s="3">
        <v>0</v>
      </c>
      <c r="BG539" s="3">
        <v>150</v>
      </c>
      <c r="BH539" s="3">
        <v>0</v>
      </c>
      <c r="BI539" s="3">
        <v>21873</v>
      </c>
      <c r="BJ539" s="3">
        <v>33250</v>
      </c>
      <c r="BK539" s="3">
        <v>0</v>
      </c>
      <c r="BL539" s="3">
        <v>33250</v>
      </c>
      <c r="BM539" s="2">
        <f t="shared" ca="1" si="17"/>
        <v>2</v>
      </c>
      <c r="BN539" s="3">
        <v>1000000</v>
      </c>
      <c r="BO539" s="3">
        <v>20000</v>
      </c>
      <c r="BP539" s="3">
        <v>100000</v>
      </c>
      <c r="BQ539" s="3">
        <v>500000</v>
      </c>
      <c r="BR539" s="3" t="s">
        <v>2916</v>
      </c>
      <c r="BS539">
        <v>50000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 t="s">
        <v>2006</v>
      </c>
      <c r="CA539" t="s">
        <v>2006</v>
      </c>
      <c r="CB539" t="s">
        <v>2006</v>
      </c>
    </row>
    <row r="540" spans="1:80" x14ac:dyDescent="0.25">
      <c r="A540">
        <v>539</v>
      </c>
      <c r="B540" t="s">
        <v>2553</v>
      </c>
      <c r="C540" s="1">
        <v>44938</v>
      </c>
      <c r="D540" s="2">
        <v>3</v>
      </c>
      <c r="E540" t="s">
        <v>4</v>
      </c>
      <c r="F540" t="s">
        <v>1310</v>
      </c>
      <c r="G540">
        <v>0</v>
      </c>
      <c r="H540" s="3">
        <v>7000000</v>
      </c>
      <c r="I540" s="3">
        <v>1000000</v>
      </c>
      <c r="J540" s="3">
        <v>0</v>
      </c>
      <c r="K540" s="3">
        <v>0</v>
      </c>
      <c r="L540" s="3" t="s">
        <v>1191</v>
      </c>
      <c r="M540">
        <v>2035356</v>
      </c>
      <c r="N540" t="s">
        <v>951</v>
      </c>
      <c r="P540" t="s">
        <v>952</v>
      </c>
      <c r="Q540" t="s">
        <v>19</v>
      </c>
      <c r="R540">
        <v>94611</v>
      </c>
      <c r="S540" t="s">
        <v>104</v>
      </c>
      <c r="T540" t="s">
        <v>975</v>
      </c>
      <c r="U540">
        <v>0</v>
      </c>
      <c r="V540">
        <v>45</v>
      </c>
      <c r="W540" t="s">
        <v>1230</v>
      </c>
      <c r="X540" t="s">
        <v>973</v>
      </c>
      <c r="Y540">
        <v>25000</v>
      </c>
      <c r="Z540" s="2" t="s">
        <v>1194</v>
      </c>
      <c r="AA540" s="2" t="s">
        <v>1238</v>
      </c>
      <c r="AB540" t="s">
        <v>1238</v>
      </c>
      <c r="AC540" t="s">
        <v>1194</v>
      </c>
      <c r="AD540" t="s">
        <v>1279</v>
      </c>
      <c r="AE540">
        <v>3</v>
      </c>
      <c r="AF540" t="s">
        <v>1290</v>
      </c>
      <c r="AG540">
        <v>0</v>
      </c>
      <c r="AH540">
        <v>0</v>
      </c>
      <c r="AI540">
        <v>0</v>
      </c>
      <c r="AJ540">
        <v>1949</v>
      </c>
      <c r="AK540" t="s">
        <v>1194</v>
      </c>
      <c r="AL540" t="s">
        <v>1194</v>
      </c>
      <c r="AM540" s="4" t="s">
        <v>1307</v>
      </c>
      <c r="AN540">
        <v>0</v>
      </c>
      <c r="AO540" t="s">
        <v>1316</v>
      </c>
      <c r="AP540">
        <f t="shared" si="16"/>
        <v>0</v>
      </c>
      <c r="AQ540">
        <v>1</v>
      </c>
      <c r="AR540" t="s">
        <v>1992</v>
      </c>
      <c r="AS540" t="s">
        <v>1995</v>
      </c>
      <c r="AT540" t="s">
        <v>1995</v>
      </c>
      <c r="AU540" t="s">
        <v>1996</v>
      </c>
      <c r="AV540" t="s">
        <v>1995</v>
      </c>
      <c r="AW540" t="s">
        <v>1995</v>
      </c>
      <c r="AX540" t="s">
        <v>1194</v>
      </c>
      <c r="AY540" t="s">
        <v>1996</v>
      </c>
      <c r="AZ540">
        <v>4860</v>
      </c>
      <c r="BA540">
        <v>3</v>
      </c>
      <c r="BB540" t="s">
        <v>2016</v>
      </c>
      <c r="BC540" s="3">
        <v>0</v>
      </c>
      <c r="BD540" s="3">
        <v>0</v>
      </c>
      <c r="BE540" s="3">
        <v>13303.66</v>
      </c>
      <c r="BF540" s="3">
        <v>17384.72</v>
      </c>
      <c r="BG540" s="3">
        <v>150</v>
      </c>
      <c r="BH540" s="3">
        <v>0</v>
      </c>
      <c r="BI540" s="3">
        <v>30000</v>
      </c>
      <c r="BJ540" s="3">
        <v>60838.38</v>
      </c>
      <c r="BK540" s="3">
        <v>0</v>
      </c>
      <c r="BL540" s="3">
        <v>60838.38</v>
      </c>
      <c r="BM540" s="2">
        <f t="shared" ca="1" si="17"/>
        <v>4</v>
      </c>
      <c r="BN540" s="3">
        <v>500000</v>
      </c>
      <c r="BO540" s="3">
        <v>100000</v>
      </c>
      <c r="BP540" s="3">
        <v>50000</v>
      </c>
      <c r="BQ540" s="3">
        <v>250000</v>
      </c>
      <c r="BR540" s="3">
        <v>50000</v>
      </c>
      <c r="BS540">
        <v>50000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 t="s">
        <v>2950</v>
      </c>
      <c r="CA540" t="s">
        <v>1194</v>
      </c>
      <c r="CB540" t="s">
        <v>2941</v>
      </c>
    </row>
    <row r="541" spans="1:80" x14ac:dyDescent="0.25">
      <c r="A541">
        <v>540</v>
      </c>
      <c r="B541" t="s">
        <v>2554</v>
      </c>
      <c r="C541" s="1">
        <v>44928</v>
      </c>
      <c r="D541" s="2">
        <v>3</v>
      </c>
      <c r="E541" t="s">
        <v>4</v>
      </c>
      <c r="F541" t="s">
        <v>1310</v>
      </c>
      <c r="G541">
        <v>0</v>
      </c>
      <c r="H541" s="3">
        <v>2800000</v>
      </c>
      <c r="I541" s="3">
        <v>185000</v>
      </c>
      <c r="J541" s="3">
        <v>0</v>
      </c>
      <c r="K541" s="3">
        <v>0</v>
      </c>
      <c r="L541" s="3" t="s">
        <v>1191</v>
      </c>
      <c r="M541">
        <v>378228</v>
      </c>
      <c r="N541" t="s">
        <v>953</v>
      </c>
      <c r="P541" t="s">
        <v>178</v>
      </c>
      <c r="Q541" t="s">
        <v>18</v>
      </c>
      <c r="R541">
        <v>77024</v>
      </c>
      <c r="S541" t="s">
        <v>44</v>
      </c>
      <c r="T541" t="s">
        <v>968</v>
      </c>
      <c r="U541">
        <v>0</v>
      </c>
      <c r="V541" t="s">
        <v>1007</v>
      </c>
      <c r="W541" t="s">
        <v>1195</v>
      </c>
      <c r="X541" t="s">
        <v>973</v>
      </c>
      <c r="Y541">
        <v>100000</v>
      </c>
      <c r="Z541" s="2">
        <v>5</v>
      </c>
      <c r="AA541" s="2">
        <v>0</v>
      </c>
      <c r="AB541" t="s">
        <v>1238</v>
      </c>
      <c r="AC541">
        <v>824</v>
      </c>
      <c r="AD541" t="s">
        <v>1284</v>
      </c>
      <c r="AE541">
        <v>1</v>
      </c>
      <c r="AF541" t="s">
        <v>1290</v>
      </c>
      <c r="AG541">
        <v>0</v>
      </c>
      <c r="AH541">
        <v>0</v>
      </c>
      <c r="AI541">
        <v>0</v>
      </c>
      <c r="AJ541">
        <v>1992</v>
      </c>
      <c r="AK541" t="s">
        <v>1194</v>
      </c>
      <c r="AL541" t="s">
        <v>1194</v>
      </c>
      <c r="AM541" s="4" t="s">
        <v>1306</v>
      </c>
      <c r="AN541">
        <v>0</v>
      </c>
      <c r="AO541" t="s">
        <v>1317</v>
      </c>
      <c r="AP541">
        <f t="shared" si="16"/>
        <v>0</v>
      </c>
      <c r="AQ541">
        <v>0</v>
      </c>
      <c r="AR541" t="s">
        <v>1993</v>
      </c>
      <c r="AS541" t="s">
        <v>1995</v>
      </c>
      <c r="AT541" t="s">
        <v>1995</v>
      </c>
      <c r="AU541" t="s">
        <v>1996</v>
      </c>
      <c r="AV541" t="s">
        <v>1996</v>
      </c>
      <c r="AW541" t="s">
        <v>1995</v>
      </c>
      <c r="AX541" t="s">
        <v>2006</v>
      </c>
      <c r="AY541" t="s">
        <v>1996</v>
      </c>
      <c r="AZ541">
        <v>7461</v>
      </c>
      <c r="BA541" t="s">
        <v>1194</v>
      </c>
      <c r="BB541" t="s">
        <v>1194</v>
      </c>
      <c r="BC541" s="3">
        <v>5415.3523999999998</v>
      </c>
      <c r="BD541" s="3">
        <v>6687</v>
      </c>
      <c r="BE541" s="3">
        <v>0</v>
      </c>
      <c r="BF541" s="3">
        <v>0</v>
      </c>
      <c r="BG541" s="3">
        <v>0</v>
      </c>
      <c r="BH541" s="3">
        <v>0</v>
      </c>
      <c r="BI541" s="3">
        <v>16256</v>
      </c>
      <c r="BJ541" s="3">
        <v>28358</v>
      </c>
      <c r="BK541" s="3">
        <v>0</v>
      </c>
      <c r="BL541" s="3">
        <v>28358</v>
      </c>
      <c r="BM541" s="2">
        <f t="shared" ca="1" si="17"/>
        <v>4</v>
      </c>
      <c r="BN541" s="3">
        <v>500000</v>
      </c>
      <c r="BO541" s="3">
        <v>25000</v>
      </c>
      <c r="BP541" s="3" t="s">
        <v>2922</v>
      </c>
      <c r="BQ541" s="3">
        <v>500000</v>
      </c>
      <c r="BR541" s="3">
        <v>50000</v>
      </c>
      <c r="BS541">
        <v>100000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 t="s">
        <v>2942</v>
      </c>
      <c r="CA541" t="s">
        <v>2006</v>
      </c>
      <c r="CB541" t="s">
        <v>2945</v>
      </c>
    </row>
    <row r="542" spans="1:80" x14ac:dyDescent="0.25">
      <c r="A542">
        <v>541</v>
      </c>
      <c r="B542" t="s">
        <v>2555</v>
      </c>
      <c r="C542" s="1">
        <v>44945</v>
      </c>
      <c r="D542" s="2">
        <v>3</v>
      </c>
      <c r="E542" t="s">
        <v>4</v>
      </c>
      <c r="F542" t="s">
        <v>1310</v>
      </c>
      <c r="G542">
        <v>0</v>
      </c>
      <c r="H542" s="3">
        <v>3500000</v>
      </c>
      <c r="I542" s="3">
        <v>500000</v>
      </c>
      <c r="J542" s="3">
        <v>750000</v>
      </c>
      <c r="K542" s="3">
        <v>0</v>
      </c>
      <c r="L542" s="3" t="s">
        <v>1191</v>
      </c>
      <c r="M542">
        <v>2051031</v>
      </c>
      <c r="N542" t="s">
        <v>954</v>
      </c>
      <c r="P542" t="s">
        <v>955</v>
      </c>
      <c r="Q542" t="s">
        <v>21</v>
      </c>
      <c r="R542">
        <v>28803</v>
      </c>
      <c r="S542" t="s">
        <v>49</v>
      </c>
      <c r="T542" t="s">
        <v>973</v>
      </c>
      <c r="U542">
        <v>0</v>
      </c>
      <c r="V542" t="s">
        <v>1012</v>
      </c>
      <c r="W542" t="s">
        <v>1194</v>
      </c>
      <c r="X542" t="s">
        <v>973</v>
      </c>
      <c r="Y542">
        <v>10000</v>
      </c>
      <c r="Z542" s="2" t="s">
        <v>1194</v>
      </c>
      <c r="AA542" s="2" t="s">
        <v>1238</v>
      </c>
      <c r="AB542" t="s">
        <v>1238</v>
      </c>
      <c r="AC542">
        <v>850</v>
      </c>
      <c r="AD542" t="s">
        <v>1279</v>
      </c>
      <c r="AE542">
        <v>2</v>
      </c>
      <c r="AF542" t="s">
        <v>1290</v>
      </c>
      <c r="AG542">
        <v>0</v>
      </c>
      <c r="AH542">
        <v>0</v>
      </c>
      <c r="AI542">
        <v>0</v>
      </c>
      <c r="AJ542">
        <v>1965</v>
      </c>
      <c r="AK542">
        <v>2003</v>
      </c>
      <c r="AL542">
        <v>2019</v>
      </c>
      <c r="AM542" s="4" t="s">
        <v>1305</v>
      </c>
      <c r="AN542">
        <v>0</v>
      </c>
      <c r="AO542" t="s">
        <v>1315</v>
      </c>
      <c r="AP542">
        <f t="shared" si="16"/>
        <v>0</v>
      </c>
      <c r="AQ542">
        <v>1</v>
      </c>
      <c r="AR542" t="s">
        <v>1992</v>
      </c>
      <c r="AS542" t="s">
        <v>1996</v>
      </c>
      <c r="AT542" t="s">
        <v>1996</v>
      </c>
      <c r="AU542" t="s">
        <v>1996</v>
      </c>
      <c r="AV542" t="s">
        <v>1996</v>
      </c>
      <c r="AW542" t="s">
        <v>1996</v>
      </c>
      <c r="AX542" t="s">
        <v>2006</v>
      </c>
      <c r="AY542" t="s">
        <v>1996</v>
      </c>
      <c r="AZ542">
        <v>5379</v>
      </c>
      <c r="BA542" t="s">
        <v>1194</v>
      </c>
      <c r="BB542" t="s">
        <v>1194</v>
      </c>
      <c r="BC542" s="3">
        <v>7556.9197000000004</v>
      </c>
      <c r="BD542" s="3">
        <v>4502.87</v>
      </c>
      <c r="BE542" s="3">
        <v>0</v>
      </c>
      <c r="BF542" s="3">
        <v>0</v>
      </c>
      <c r="BG542" s="3">
        <v>150</v>
      </c>
      <c r="BH542" s="3">
        <v>0</v>
      </c>
      <c r="BI542" s="3">
        <v>9640</v>
      </c>
      <c r="BJ542" s="3">
        <v>21850</v>
      </c>
      <c r="BK542" s="3">
        <v>100</v>
      </c>
      <c r="BL542" s="3">
        <v>21950</v>
      </c>
      <c r="BM542" s="2">
        <f t="shared" ca="1" si="17"/>
        <v>1</v>
      </c>
      <c r="BN542" s="3" t="s">
        <v>2916</v>
      </c>
      <c r="BO542" s="3">
        <v>50000</v>
      </c>
      <c r="BP542" s="3">
        <v>200000</v>
      </c>
      <c r="BQ542" s="3">
        <v>100000</v>
      </c>
      <c r="BR542" s="3">
        <v>2000000</v>
      </c>
      <c r="BS542">
        <v>2000000</v>
      </c>
      <c r="BT542">
        <v>0</v>
      </c>
      <c r="BU542">
        <v>0</v>
      </c>
      <c r="BV542">
        <v>0</v>
      </c>
      <c r="BW542">
        <v>0</v>
      </c>
      <c r="BX542">
        <v>1</v>
      </c>
      <c r="BY542">
        <v>0</v>
      </c>
      <c r="BZ542" t="s">
        <v>2942</v>
      </c>
      <c r="CA542" t="s">
        <v>2006</v>
      </c>
      <c r="CB542" t="s">
        <v>2945</v>
      </c>
    </row>
    <row r="543" spans="1:80" x14ac:dyDescent="0.25">
      <c r="A543">
        <v>542</v>
      </c>
      <c r="B543" t="s">
        <v>2556</v>
      </c>
      <c r="C543" s="1">
        <v>44958</v>
      </c>
      <c r="D543">
        <v>39</v>
      </c>
      <c r="E543" t="s">
        <v>4</v>
      </c>
      <c r="F543" t="s">
        <v>1311</v>
      </c>
      <c r="G543">
        <v>1</v>
      </c>
      <c r="H543" s="3">
        <v>2100000</v>
      </c>
      <c r="I543" s="3">
        <v>0</v>
      </c>
      <c r="J543" s="3">
        <v>0</v>
      </c>
      <c r="K543" s="3">
        <v>0</v>
      </c>
      <c r="L543" s="3" t="s">
        <v>1191</v>
      </c>
      <c r="M543">
        <v>1164072</v>
      </c>
      <c r="N543" t="s">
        <v>956</v>
      </c>
      <c r="P543" t="s">
        <v>111</v>
      </c>
      <c r="Q543" t="s">
        <v>14</v>
      </c>
      <c r="R543">
        <v>11937</v>
      </c>
      <c r="S543" t="s">
        <v>26</v>
      </c>
      <c r="T543" t="s">
        <v>962</v>
      </c>
      <c r="U543">
        <v>0</v>
      </c>
      <c r="V543" t="s">
        <v>1005</v>
      </c>
      <c r="W543" t="s">
        <v>1194</v>
      </c>
      <c r="X543" t="s">
        <v>973</v>
      </c>
      <c r="Y543">
        <v>10000</v>
      </c>
      <c r="Z543" s="2">
        <v>2</v>
      </c>
      <c r="AA543" s="2" t="s">
        <v>1238</v>
      </c>
      <c r="AB543" t="s">
        <v>1238</v>
      </c>
      <c r="AC543">
        <v>722</v>
      </c>
      <c r="AD543" t="s">
        <v>1279</v>
      </c>
      <c r="AE543">
        <v>3</v>
      </c>
      <c r="AF543" t="s">
        <v>1290</v>
      </c>
      <c r="AG543">
        <v>0</v>
      </c>
      <c r="AH543">
        <v>0</v>
      </c>
      <c r="AI543">
        <v>0</v>
      </c>
      <c r="AJ543">
        <v>1950</v>
      </c>
      <c r="AK543">
        <v>2023</v>
      </c>
      <c r="AL543">
        <v>2023</v>
      </c>
      <c r="AM543" s="4" t="s">
        <v>1238</v>
      </c>
      <c r="AN543">
        <v>1</v>
      </c>
      <c r="AO543" t="s">
        <v>1315</v>
      </c>
      <c r="AP543">
        <f t="shared" si="16"/>
        <v>0</v>
      </c>
      <c r="AQ543">
        <v>0</v>
      </c>
      <c r="AR543" t="s">
        <v>1993</v>
      </c>
      <c r="AS543" t="s">
        <v>1996</v>
      </c>
      <c r="AT543" t="s">
        <v>1996</v>
      </c>
      <c r="AU543" t="s">
        <v>1995</v>
      </c>
      <c r="AV543" t="s">
        <v>1996</v>
      </c>
      <c r="AW543" t="s">
        <v>1996</v>
      </c>
      <c r="AX543" t="s">
        <v>2006</v>
      </c>
      <c r="AY543" t="s">
        <v>1996</v>
      </c>
      <c r="AZ543">
        <v>3000</v>
      </c>
      <c r="BA543" t="s">
        <v>1194</v>
      </c>
      <c r="BB543" t="s">
        <v>1194</v>
      </c>
      <c r="BC543" s="3">
        <v>6496.5084999999999</v>
      </c>
      <c r="BD543" s="3">
        <v>9543.42</v>
      </c>
      <c r="BE543" s="3">
        <v>0</v>
      </c>
      <c r="BF543" s="3">
        <v>0</v>
      </c>
      <c r="BG543" s="3">
        <v>150</v>
      </c>
      <c r="BH543" s="3">
        <v>0</v>
      </c>
      <c r="BI543" s="3">
        <v>4810</v>
      </c>
      <c r="BJ543" s="3">
        <v>21000</v>
      </c>
      <c r="BK543" s="3">
        <v>0</v>
      </c>
      <c r="BL543" s="3">
        <v>21000</v>
      </c>
      <c r="BM543" s="2">
        <f t="shared" ca="1" si="17"/>
        <v>1</v>
      </c>
      <c r="BN543" s="3">
        <v>50000</v>
      </c>
      <c r="BO543" s="3">
        <v>500000</v>
      </c>
      <c r="BP543" s="3">
        <v>50000</v>
      </c>
      <c r="BQ543" s="3">
        <v>50000</v>
      </c>
      <c r="BR543" s="3">
        <v>50000</v>
      </c>
      <c r="BS543">
        <v>50000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 t="s">
        <v>2942</v>
      </c>
      <c r="CA543" t="s">
        <v>2006</v>
      </c>
      <c r="CB543" t="s">
        <v>2006</v>
      </c>
    </row>
    <row r="544" spans="1:80" x14ac:dyDescent="0.25">
      <c r="A544">
        <v>543</v>
      </c>
      <c r="B544" t="s">
        <v>2557</v>
      </c>
      <c r="C544" s="1">
        <v>44801</v>
      </c>
      <c r="D544">
        <v>9</v>
      </c>
      <c r="E544" t="s">
        <v>4</v>
      </c>
      <c r="F544" t="s">
        <v>1310</v>
      </c>
      <c r="G544">
        <v>1</v>
      </c>
      <c r="H544" s="3">
        <v>4020084</v>
      </c>
      <c r="I544" s="3">
        <v>804017</v>
      </c>
      <c r="J544" s="3">
        <v>1407030</v>
      </c>
      <c r="K544" s="3">
        <v>804016.8</v>
      </c>
      <c r="L544" t="s">
        <v>1191</v>
      </c>
      <c r="M544">
        <v>363007</v>
      </c>
      <c r="N544" t="s">
        <v>1322</v>
      </c>
      <c r="P544" t="s">
        <v>1690</v>
      </c>
      <c r="Q544" t="s">
        <v>1255</v>
      </c>
      <c r="R544">
        <v>59715</v>
      </c>
      <c r="S544" t="s">
        <v>1691</v>
      </c>
      <c r="T544" t="s">
        <v>965</v>
      </c>
      <c r="U544">
        <v>0</v>
      </c>
      <c r="V544">
        <v>1</v>
      </c>
      <c r="W544" t="s">
        <v>1194</v>
      </c>
      <c r="X544" t="s">
        <v>973</v>
      </c>
      <c r="Y544">
        <v>10000</v>
      </c>
      <c r="Z544" s="2" t="s">
        <v>1194</v>
      </c>
      <c r="AA544" s="2">
        <v>1</v>
      </c>
      <c r="AB544">
        <v>0.01</v>
      </c>
      <c r="AC544">
        <v>786</v>
      </c>
      <c r="AD544" t="s">
        <v>1279</v>
      </c>
      <c r="AE544">
        <v>8</v>
      </c>
      <c r="AF544" t="s">
        <v>1290</v>
      </c>
      <c r="AG544">
        <v>0</v>
      </c>
      <c r="AH544">
        <v>0</v>
      </c>
      <c r="AI544">
        <v>0</v>
      </c>
      <c r="AJ544">
        <v>1983</v>
      </c>
      <c r="AK544" t="s">
        <v>1194</v>
      </c>
      <c r="AL544">
        <v>2007</v>
      </c>
      <c r="AM544" s="4" t="s">
        <v>1306</v>
      </c>
      <c r="AN544">
        <v>1</v>
      </c>
      <c r="AO544" t="s">
        <v>1317</v>
      </c>
      <c r="AP544">
        <f t="shared" si="16"/>
        <v>0</v>
      </c>
      <c r="AQ544">
        <v>0</v>
      </c>
      <c r="AR544" t="s">
        <v>1993</v>
      </c>
      <c r="AS544" t="s">
        <v>1995</v>
      </c>
      <c r="AT544" t="s">
        <v>1996</v>
      </c>
      <c r="AU544" t="s">
        <v>1995</v>
      </c>
      <c r="AV544" t="s">
        <v>1996</v>
      </c>
      <c r="AW544" t="s">
        <v>1996</v>
      </c>
      <c r="AX544" t="s">
        <v>1194</v>
      </c>
      <c r="AY544" t="s">
        <v>1996</v>
      </c>
      <c r="AZ544">
        <v>7300</v>
      </c>
      <c r="BA544">
        <v>1</v>
      </c>
      <c r="BB544" t="s">
        <v>2017</v>
      </c>
      <c r="BC544" s="3">
        <v>0</v>
      </c>
      <c r="BD544" s="3">
        <v>0</v>
      </c>
      <c r="BE544" s="3">
        <v>0</v>
      </c>
      <c r="BF544" s="3">
        <v>0</v>
      </c>
      <c r="BG544" s="3">
        <v>160</v>
      </c>
      <c r="BH544" s="3">
        <v>0</v>
      </c>
      <c r="BI544" s="3">
        <v>0</v>
      </c>
      <c r="BJ544" s="3">
        <v>13243.19</v>
      </c>
      <c r="BK544" s="3">
        <v>4206.09</v>
      </c>
      <c r="BL544" s="3">
        <v>17449.28</v>
      </c>
      <c r="BM544" s="2">
        <f t="shared" ca="1" si="17"/>
        <v>4</v>
      </c>
      <c r="BN544" s="3">
        <v>500000</v>
      </c>
      <c r="BO544" s="3">
        <v>1000000</v>
      </c>
      <c r="BP544" s="3">
        <v>50000</v>
      </c>
      <c r="BQ544" s="3">
        <v>1000000</v>
      </c>
      <c r="BR544" s="3" t="s">
        <v>2916</v>
      </c>
      <c r="BS544">
        <v>2000000</v>
      </c>
      <c r="BT544">
        <v>0</v>
      </c>
      <c r="BU544">
        <v>1</v>
      </c>
      <c r="BV544">
        <v>0</v>
      </c>
      <c r="BW544">
        <v>1</v>
      </c>
      <c r="BX544">
        <v>0</v>
      </c>
      <c r="BY544">
        <v>0</v>
      </c>
      <c r="BZ544" t="s">
        <v>2958</v>
      </c>
      <c r="CA544" t="s">
        <v>1194</v>
      </c>
      <c r="CB544" t="s">
        <v>2949</v>
      </c>
    </row>
    <row r="545" spans="1:80" x14ac:dyDescent="0.25">
      <c r="A545">
        <v>544</v>
      </c>
      <c r="B545" t="s">
        <v>2558</v>
      </c>
      <c r="C545" s="1">
        <v>44771</v>
      </c>
      <c r="D545">
        <v>12</v>
      </c>
      <c r="E545" t="s">
        <v>5</v>
      </c>
      <c r="F545" t="s">
        <v>1310</v>
      </c>
      <c r="G545">
        <v>0</v>
      </c>
      <c r="H545" s="3">
        <v>2648075</v>
      </c>
      <c r="I545" s="3">
        <v>63090</v>
      </c>
      <c r="J545" s="3">
        <v>252362</v>
      </c>
      <c r="K545" s="3">
        <v>529615</v>
      </c>
      <c r="L545" t="s">
        <v>1191</v>
      </c>
      <c r="M545">
        <v>92401</v>
      </c>
      <c r="N545" t="s">
        <v>1323</v>
      </c>
      <c r="P545" t="s">
        <v>1692</v>
      </c>
      <c r="Q545" t="s">
        <v>1264</v>
      </c>
      <c r="R545">
        <v>2842</v>
      </c>
      <c r="S545" t="s">
        <v>1693</v>
      </c>
      <c r="T545" t="s">
        <v>979</v>
      </c>
      <c r="U545">
        <v>0</v>
      </c>
      <c r="V545">
        <v>3</v>
      </c>
      <c r="W545" t="s">
        <v>1194</v>
      </c>
      <c r="X545" t="s">
        <v>973</v>
      </c>
      <c r="Y545">
        <v>2500</v>
      </c>
      <c r="Z545" s="2">
        <v>2.000018882</v>
      </c>
      <c r="AA545" s="2" t="s">
        <v>1238</v>
      </c>
      <c r="AB545" t="s">
        <v>1238</v>
      </c>
      <c r="AC545">
        <v>830</v>
      </c>
      <c r="AD545" t="s">
        <v>1279</v>
      </c>
      <c r="AE545">
        <v>3</v>
      </c>
      <c r="AF545" t="s">
        <v>1290</v>
      </c>
      <c r="AG545">
        <v>0</v>
      </c>
      <c r="AH545">
        <v>0</v>
      </c>
      <c r="AI545">
        <v>0</v>
      </c>
      <c r="AJ545">
        <v>1946</v>
      </c>
      <c r="AK545">
        <v>2002</v>
      </c>
      <c r="AL545">
        <v>2022</v>
      </c>
      <c r="AM545" s="4" t="s">
        <v>1305</v>
      </c>
      <c r="AN545">
        <v>1</v>
      </c>
      <c r="AO545" t="s">
        <v>1315</v>
      </c>
      <c r="AP545">
        <f t="shared" si="16"/>
        <v>0</v>
      </c>
      <c r="AQ545">
        <v>1</v>
      </c>
      <c r="AR545" t="s">
        <v>1992</v>
      </c>
      <c r="AS545" t="s">
        <v>1996</v>
      </c>
      <c r="AT545" t="s">
        <v>1995</v>
      </c>
      <c r="AU545" t="s">
        <v>1996</v>
      </c>
      <c r="AV545" t="s">
        <v>1995</v>
      </c>
      <c r="AW545" t="s">
        <v>1995</v>
      </c>
      <c r="AX545" t="s">
        <v>2002</v>
      </c>
      <c r="AY545" t="s">
        <v>1995</v>
      </c>
      <c r="AZ545">
        <v>3675</v>
      </c>
      <c r="BA545" t="s">
        <v>1194</v>
      </c>
      <c r="BB545" t="s">
        <v>1194</v>
      </c>
      <c r="BC545" s="3">
        <v>0</v>
      </c>
      <c r="BD545" s="3">
        <v>2241.4</v>
      </c>
      <c r="BE545" s="3">
        <v>0</v>
      </c>
      <c r="BF545" s="3">
        <v>0</v>
      </c>
      <c r="BG545" s="3">
        <v>160</v>
      </c>
      <c r="BH545" s="3">
        <v>0</v>
      </c>
      <c r="BI545" s="3">
        <v>0</v>
      </c>
      <c r="BJ545" s="3">
        <v>9599.0400000000009</v>
      </c>
      <c r="BK545" s="3">
        <v>0</v>
      </c>
      <c r="BL545" s="3">
        <v>9599.0400000000009</v>
      </c>
      <c r="BM545" s="2">
        <f t="shared" ca="1" si="17"/>
        <v>2</v>
      </c>
      <c r="BN545" s="3">
        <v>50000</v>
      </c>
      <c r="BO545" s="3">
        <v>50000</v>
      </c>
      <c r="BP545" s="3">
        <v>100000</v>
      </c>
      <c r="BQ545" s="3">
        <v>50000</v>
      </c>
      <c r="BR545" s="3">
        <v>2000000</v>
      </c>
      <c r="BS545">
        <v>2000000</v>
      </c>
      <c r="BT545">
        <v>0</v>
      </c>
      <c r="BU545">
        <v>0</v>
      </c>
      <c r="BV545">
        <v>0</v>
      </c>
      <c r="BW545">
        <v>1</v>
      </c>
      <c r="BX545">
        <v>0</v>
      </c>
      <c r="BY545">
        <v>0</v>
      </c>
      <c r="BZ545" t="s">
        <v>2949</v>
      </c>
      <c r="CA545" t="s">
        <v>1194</v>
      </c>
      <c r="CB545" t="s">
        <v>2941</v>
      </c>
    </row>
    <row r="546" spans="1:80" x14ac:dyDescent="0.25">
      <c r="A546">
        <v>545</v>
      </c>
      <c r="B546" t="s">
        <v>2559</v>
      </c>
      <c r="C546" s="1">
        <v>44666</v>
      </c>
      <c r="D546">
        <v>21</v>
      </c>
      <c r="E546" t="s">
        <v>4</v>
      </c>
      <c r="F546" t="s">
        <v>1311</v>
      </c>
      <c r="G546">
        <v>1</v>
      </c>
      <c r="H546" s="3">
        <v>0</v>
      </c>
      <c r="I546" s="3">
        <v>0</v>
      </c>
      <c r="J546" s="3">
        <v>1526000</v>
      </c>
      <c r="K546" s="3">
        <v>0</v>
      </c>
      <c r="L546" t="s">
        <v>1192</v>
      </c>
      <c r="M546">
        <v>1654980</v>
      </c>
      <c r="N546" t="s">
        <v>1324</v>
      </c>
      <c r="P546" t="s">
        <v>1694</v>
      </c>
      <c r="Q546" t="s">
        <v>1239</v>
      </c>
      <c r="R546">
        <v>80206</v>
      </c>
      <c r="S546" t="s">
        <v>1695</v>
      </c>
      <c r="T546" t="s">
        <v>965</v>
      </c>
      <c r="U546">
        <v>0</v>
      </c>
      <c r="V546">
        <v>94</v>
      </c>
      <c r="W546" t="s">
        <v>1194</v>
      </c>
      <c r="X546" t="s">
        <v>973</v>
      </c>
      <c r="Y546">
        <v>10000</v>
      </c>
      <c r="Z546" s="2" t="s">
        <v>1194</v>
      </c>
      <c r="AA546" s="2">
        <v>1</v>
      </c>
      <c r="AB546">
        <v>2500</v>
      </c>
      <c r="AC546">
        <v>864</v>
      </c>
      <c r="AD546" t="s">
        <v>1280</v>
      </c>
      <c r="AE546">
        <v>1</v>
      </c>
      <c r="AF546" t="s">
        <v>1290</v>
      </c>
      <c r="AG546">
        <v>0</v>
      </c>
      <c r="AH546">
        <v>0</v>
      </c>
      <c r="AI546">
        <v>0</v>
      </c>
      <c r="AJ546">
        <v>2008</v>
      </c>
      <c r="AK546">
        <v>2021</v>
      </c>
      <c r="AL546" t="s">
        <v>1194</v>
      </c>
      <c r="AM546" s="4" t="s">
        <v>1238</v>
      </c>
      <c r="AN546">
        <v>1</v>
      </c>
      <c r="AO546" t="s">
        <v>1316</v>
      </c>
      <c r="AP546">
        <f t="shared" si="16"/>
        <v>0</v>
      </c>
      <c r="AQ546">
        <v>1</v>
      </c>
      <c r="AR546" t="s">
        <v>1992</v>
      </c>
      <c r="AS546" t="s">
        <v>1995</v>
      </c>
      <c r="AT546" t="s">
        <v>1996</v>
      </c>
      <c r="AU546" t="s">
        <v>1996</v>
      </c>
      <c r="AV546" t="s">
        <v>1996</v>
      </c>
      <c r="AW546" t="s">
        <v>1995</v>
      </c>
      <c r="AX546" t="s">
        <v>1194</v>
      </c>
      <c r="AY546" t="s">
        <v>1996</v>
      </c>
      <c r="AZ546">
        <v>3547</v>
      </c>
      <c r="BA546">
        <v>3</v>
      </c>
      <c r="BB546" t="s">
        <v>2014</v>
      </c>
      <c r="BC546" s="3">
        <v>0</v>
      </c>
      <c r="BD546" s="3">
        <v>0</v>
      </c>
      <c r="BE546" s="3">
        <v>0</v>
      </c>
      <c r="BF546" s="3">
        <v>118.41</v>
      </c>
      <c r="BG546" s="3">
        <v>175</v>
      </c>
      <c r="BH546" s="3">
        <v>0</v>
      </c>
      <c r="BI546" s="3">
        <v>0</v>
      </c>
      <c r="BJ546" s="3">
        <v>2633.24</v>
      </c>
      <c r="BK546" s="3">
        <v>395</v>
      </c>
      <c r="BL546" s="3">
        <v>3028.24</v>
      </c>
      <c r="BM546" s="2">
        <f t="shared" ca="1" si="17"/>
        <v>5</v>
      </c>
      <c r="BN546" s="3">
        <v>50000</v>
      </c>
      <c r="BO546" s="3">
        <v>100000</v>
      </c>
      <c r="BP546" s="3">
        <v>50000</v>
      </c>
      <c r="BQ546" s="3">
        <v>100000</v>
      </c>
      <c r="BR546" s="3">
        <v>50000</v>
      </c>
      <c r="BS546">
        <v>500000</v>
      </c>
      <c r="BT546">
        <v>0</v>
      </c>
      <c r="BU546">
        <v>0</v>
      </c>
      <c r="BV546">
        <v>0</v>
      </c>
      <c r="BW546">
        <v>1</v>
      </c>
      <c r="BX546">
        <v>1</v>
      </c>
      <c r="BY546">
        <v>0</v>
      </c>
      <c r="BZ546" t="s">
        <v>1194</v>
      </c>
      <c r="CA546" t="s">
        <v>1194</v>
      </c>
      <c r="CB546" t="s">
        <v>1194</v>
      </c>
    </row>
    <row r="547" spans="1:80" x14ac:dyDescent="0.25">
      <c r="A547">
        <v>546</v>
      </c>
      <c r="B547" t="s">
        <v>2560</v>
      </c>
      <c r="C547" s="1">
        <v>44870</v>
      </c>
      <c r="D547">
        <v>12</v>
      </c>
      <c r="E547" t="s">
        <v>5</v>
      </c>
      <c r="F547" t="s">
        <v>1310</v>
      </c>
      <c r="G547">
        <v>0</v>
      </c>
      <c r="H547" s="3">
        <v>3794835</v>
      </c>
      <c r="I547" s="3">
        <v>3351250</v>
      </c>
      <c r="J547" s="3">
        <v>1138451</v>
      </c>
      <c r="K547" s="3">
        <v>758967</v>
      </c>
      <c r="L547" t="s">
        <v>1191</v>
      </c>
      <c r="M547">
        <v>1555415</v>
      </c>
      <c r="N547" t="s">
        <v>1325</v>
      </c>
      <c r="P547" t="s">
        <v>1696</v>
      </c>
      <c r="Q547" t="s">
        <v>1268</v>
      </c>
      <c r="R547">
        <v>22968</v>
      </c>
      <c r="S547" t="s">
        <v>90</v>
      </c>
      <c r="T547" t="s">
        <v>965</v>
      </c>
      <c r="U547">
        <v>0</v>
      </c>
      <c r="V547">
        <v>1</v>
      </c>
      <c r="W547" t="s">
        <v>1194</v>
      </c>
      <c r="X547" t="s">
        <v>973</v>
      </c>
      <c r="Y547">
        <v>25000</v>
      </c>
      <c r="Z547" s="2" t="s">
        <v>1194</v>
      </c>
      <c r="AA547" s="2" t="s">
        <v>1238</v>
      </c>
      <c r="AB547" t="s">
        <v>1238</v>
      </c>
      <c r="AC547">
        <v>801</v>
      </c>
      <c r="AD547" t="s">
        <v>1279</v>
      </c>
      <c r="AE547">
        <v>10</v>
      </c>
      <c r="AF547" t="s">
        <v>1290</v>
      </c>
      <c r="AG547">
        <v>0</v>
      </c>
      <c r="AH547">
        <v>0</v>
      </c>
      <c r="AI547">
        <v>0</v>
      </c>
      <c r="AJ547">
        <v>1978</v>
      </c>
      <c r="AK547" t="s">
        <v>1194</v>
      </c>
      <c r="AL547" t="s">
        <v>1194</v>
      </c>
      <c r="AM547" s="4" t="s">
        <v>1306</v>
      </c>
      <c r="AN547">
        <v>0</v>
      </c>
      <c r="AO547" t="s">
        <v>1315</v>
      </c>
      <c r="AP547">
        <f t="shared" si="16"/>
        <v>0</v>
      </c>
      <c r="AQ547">
        <v>0</v>
      </c>
      <c r="AR547" t="s">
        <v>1993</v>
      </c>
      <c r="AS547" t="s">
        <v>1996</v>
      </c>
      <c r="AT547" t="s">
        <v>1996</v>
      </c>
      <c r="AU547" t="s">
        <v>1995</v>
      </c>
      <c r="AV547" t="s">
        <v>1995</v>
      </c>
      <c r="AW547" t="s">
        <v>1995</v>
      </c>
      <c r="AX547" t="s">
        <v>2003</v>
      </c>
      <c r="AY547" t="s">
        <v>1996</v>
      </c>
      <c r="AZ547">
        <v>6812</v>
      </c>
      <c r="BA547" t="s">
        <v>1194</v>
      </c>
      <c r="BB547" t="s">
        <v>1194</v>
      </c>
      <c r="BC547" s="3">
        <v>0</v>
      </c>
      <c r="BD547" s="3">
        <v>0</v>
      </c>
      <c r="BE547" s="3">
        <v>0</v>
      </c>
      <c r="BF547" s="3">
        <v>0</v>
      </c>
      <c r="BG547" s="3">
        <v>175</v>
      </c>
      <c r="BH547" s="3">
        <v>0</v>
      </c>
      <c r="BI547" s="3">
        <v>0</v>
      </c>
      <c r="BJ547" s="3">
        <v>13218.81</v>
      </c>
      <c r="BK547" s="3">
        <v>120</v>
      </c>
      <c r="BL547" s="3">
        <v>13338.81</v>
      </c>
      <c r="BM547" s="2">
        <f t="shared" ca="1" si="17"/>
        <v>5</v>
      </c>
      <c r="BN547" s="3">
        <v>500000</v>
      </c>
      <c r="BO547" s="3">
        <v>100000</v>
      </c>
      <c r="BP547" s="3">
        <v>100000</v>
      </c>
      <c r="BQ547" s="3">
        <v>50000</v>
      </c>
      <c r="BR547" s="3">
        <v>250000</v>
      </c>
      <c r="BS547">
        <v>100000</v>
      </c>
      <c r="BT547">
        <v>0</v>
      </c>
      <c r="BU547">
        <v>0</v>
      </c>
      <c r="BV547">
        <v>1</v>
      </c>
      <c r="BW547">
        <v>0</v>
      </c>
      <c r="BX547">
        <v>0</v>
      </c>
      <c r="BY547">
        <v>0</v>
      </c>
      <c r="BZ547" t="s">
        <v>2949</v>
      </c>
      <c r="CA547" t="s">
        <v>1194</v>
      </c>
      <c r="CB547" t="s">
        <v>2941</v>
      </c>
    </row>
    <row r="548" spans="1:80" x14ac:dyDescent="0.25">
      <c r="A548">
        <v>547</v>
      </c>
      <c r="B548" t="s">
        <v>2561</v>
      </c>
      <c r="C548" s="1">
        <v>44808</v>
      </c>
      <c r="D548">
        <v>12</v>
      </c>
      <c r="E548" t="s">
        <v>4</v>
      </c>
      <c r="F548" t="s">
        <v>1311</v>
      </c>
      <c r="G548">
        <v>0</v>
      </c>
      <c r="H548" s="3">
        <v>1635683</v>
      </c>
      <c r="I548" s="3">
        <v>236685</v>
      </c>
      <c r="J548" s="3">
        <v>1317903</v>
      </c>
      <c r="K548" s="3">
        <v>327136.59999999998</v>
      </c>
      <c r="L548" t="s">
        <v>1191</v>
      </c>
      <c r="M548">
        <v>73260</v>
      </c>
      <c r="N548" t="s">
        <v>1326</v>
      </c>
      <c r="P548" t="s">
        <v>1697</v>
      </c>
      <c r="Q548" t="s">
        <v>1254</v>
      </c>
      <c r="R548">
        <v>63124</v>
      </c>
      <c r="S548" t="s">
        <v>1698</v>
      </c>
      <c r="T548" t="s">
        <v>965</v>
      </c>
      <c r="U548">
        <v>0</v>
      </c>
      <c r="V548">
        <v>3</v>
      </c>
      <c r="W548" t="s">
        <v>1194</v>
      </c>
      <c r="X548" t="s">
        <v>973</v>
      </c>
      <c r="Y548">
        <v>10000</v>
      </c>
      <c r="Z548" s="2" t="s">
        <v>1194</v>
      </c>
      <c r="AA548" s="2">
        <v>1</v>
      </c>
      <c r="AB548" t="s">
        <v>1277</v>
      </c>
      <c r="AC548">
        <v>747</v>
      </c>
      <c r="AD548" t="s">
        <v>1284</v>
      </c>
      <c r="AE548">
        <v>4</v>
      </c>
      <c r="AF548" t="s">
        <v>1290</v>
      </c>
      <c r="AG548">
        <v>0</v>
      </c>
      <c r="AH548">
        <v>0</v>
      </c>
      <c r="AI548">
        <v>0</v>
      </c>
      <c r="AJ548">
        <v>1960</v>
      </c>
      <c r="AK548">
        <v>2006</v>
      </c>
      <c r="AL548">
        <v>2016</v>
      </c>
      <c r="AM548" s="4" t="s">
        <v>1238</v>
      </c>
      <c r="AN548">
        <v>0</v>
      </c>
      <c r="AO548" t="s">
        <v>1316</v>
      </c>
      <c r="AP548">
        <f t="shared" si="16"/>
        <v>0</v>
      </c>
      <c r="AQ548">
        <v>0</v>
      </c>
      <c r="AR548" t="s">
        <v>1993</v>
      </c>
      <c r="AS548" t="s">
        <v>1995</v>
      </c>
      <c r="AT548" t="s">
        <v>1996</v>
      </c>
      <c r="AU548" t="s">
        <v>1995</v>
      </c>
      <c r="AV548" t="s">
        <v>1996</v>
      </c>
      <c r="AW548" t="s">
        <v>1996</v>
      </c>
      <c r="AX548" t="s">
        <v>1194</v>
      </c>
      <c r="AY548" t="s">
        <v>1996</v>
      </c>
      <c r="AZ548">
        <v>3322</v>
      </c>
      <c r="BA548" t="s">
        <v>1194</v>
      </c>
      <c r="BB548" t="s">
        <v>1194</v>
      </c>
      <c r="BC548" s="3">
        <v>0</v>
      </c>
      <c r="BD548" s="3">
        <v>0</v>
      </c>
      <c r="BE548" s="3">
        <v>0</v>
      </c>
      <c r="BF548" s="3">
        <v>0</v>
      </c>
      <c r="BG548" s="3">
        <v>175</v>
      </c>
      <c r="BH548" s="3">
        <v>0</v>
      </c>
      <c r="BI548" s="3">
        <v>0</v>
      </c>
      <c r="BJ548" s="3">
        <v>9183.25</v>
      </c>
      <c r="BK548" s="3">
        <v>1514.19</v>
      </c>
      <c r="BL548" s="3">
        <v>10697.44</v>
      </c>
      <c r="BM548" s="2">
        <f t="shared" ca="1" si="17"/>
        <v>0</v>
      </c>
      <c r="BN548" s="3" t="s">
        <v>2916</v>
      </c>
      <c r="BO548" s="3">
        <v>100000</v>
      </c>
      <c r="BP548" s="3">
        <v>100000</v>
      </c>
      <c r="BQ548" s="3">
        <v>100000</v>
      </c>
      <c r="BR548" s="3">
        <v>1000000</v>
      </c>
      <c r="BS548">
        <v>100000</v>
      </c>
      <c r="BT548">
        <v>0</v>
      </c>
      <c r="BU548">
        <v>1</v>
      </c>
      <c r="BV548">
        <v>1</v>
      </c>
      <c r="BW548">
        <v>0</v>
      </c>
      <c r="BX548">
        <v>0</v>
      </c>
      <c r="BY548">
        <v>0</v>
      </c>
      <c r="BZ548" t="s">
        <v>2958</v>
      </c>
      <c r="CA548" t="s">
        <v>1194</v>
      </c>
      <c r="CB548" t="s">
        <v>2945</v>
      </c>
    </row>
    <row r="549" spans="1:80" x14ac:dyDescent="0.25">
      <c r="A549">
        <v>548</v>
      </c>
      <c r="B549" t="s">
        <v>2562</v>
      </c>
      <c r="C549" s="1">
        <v>44740</v>
      </c>
      <c r="D549">
        <v>12</v>
      </c>
      <c r="E549" t="s">
        <v>4</v>
      </c>
      <c r="F549" t="s">
        <v>1311</v>
      </c>
      <c r="G549">
        <v>1</v>
      </c>
      <c r="H549" s="3">
        <v>1550000</v>
      </c>
      <c r="I549" s="3">
        <v>310000</v>
      </c>
      <c r="J549" s="3">
        <v>775000</v>
      </c>
      <c r="K549" s="3">
        <v>0</v>
      </c>
      <c r="L549" t="s">
        <v>1191</v>
      </c>
      <c r="M549">
        <v>1914198</v>
      </c>
      <c r="N549" t="s">
        <v>1327</v>
      </c>
      <c r="P549" t="s">
        <v>1699</v>
      </c>
      <c r="Q549" t="s">
        <v>1240</v>
      </c>
      <c r="R549">
        <v>6001</v>
      </c>
      <c r="S549" t="s">
        <v>1700</v>
      </c>
      <c r="T549" t="s">
        <v>965</v>
      </c>
      <c r="U549">
        <v>0</v>
      </c>
      <c r="V549">
        <v>41</v>
      </c>
      <c r="W549" t="s">
        <v>1194</v>
      </c>
      <c r="X549" t="s">
        <v>973</v>
      </c>
      <c r="Y549">
        <v>10000</v>
      </c>
      <c r="Z549" s="2" t="s">
        <v>1194</v>
      </c>
      <c r="AA549" s="2" t="s">
        <v>1238</v>
      </c>
      <c r="AB549" t="s">
        <v>1238</v>
      </c>
      <c r="AC549">
        <v>701</v>
      </c>
      <c r="AD549" t="s">
        <v>1279</v>
      </c>
      <c r="AE549">
        <v>8</v>
      </c>
      <c r="AF549" t="s">
        <v>1290</v>
      </c>
      <c r="AG549">
        <v>0</v>
      </c>
      <c r="AH549">
        <v>0</v>
      </c>
      <c r="AI549">
        <v>0</v>
      </c>
      <c r="AJ549">
        <v>1979</v>
      </c>
      <c r="AK549" t="s">
        <v>1194</v>
      </c>
      <c r="AL549" t="s">
        <v>1194</v>
      </c>
      <c r="AM549" s="4" t="s">
        <v>1238</v>
      </c>
      <c r="AN549">
        <v>0</v>
      </c>
      <c r="AO549" t="s">
        <v>1317</v>
      </c>
      <c r="AP549">
        <f t="shared" si="16"/>
        <v>0</v>
      </c>
      <c r="AQ549">
        <v>1</v>
      </c>
      <c r="AR549" t="s">
        <v>1992</v>
      </c>
      <c r="AS549" t="s">
        <v>1996</v>
      </c>
      <c r="AT549" t="s">
        <v>1996</v>
      </c>
      <c r="AU549" t="s">
        <v>1995</v>
      </c>
      <c r="AV549" t="s">
        <v>1995</v>
      </c>
      <c r="AW549" t="s">
        <v>1996</v>
      </c>
      <c r="AX549" t="s">
        <v>2003</v>
      </c>
      <c r="AY549" t="s">
        <v>1996</v>
      </c>
      <c r="AZ549">
        <v>3100</v>
      </c>
      <c r="BA549" t="s">
        <v>1194</v>
      </c>
      <c r="BB549" t="s">
        <v>1194</v>
      </c>
      <c r="BC549" s="3">
        <v>0</v>
      </c>
      <c r="BD549" s="3">
        <v>0</v>
      </c>
      <c r="BE549" s="3">
        <v>0</v>
      </c>
      <c r="BF549" s="3">
        <v>0</v>
      </c>
      <c r="BG549" s="3">
        <v>130</v>
      </c>
      <c r="BH549" s="3">
        <v>0</v>
      </c>
      <c r="BI549" s="3">
        <v>0</v>
      </c>
      <c r="BJ549" s="3">
        <v>7812</v>
      </c>
      <c r="BK549" s="3">
        <v>-10</v>
      </c>
      <c r="BL549" s="3">
        <v>7802</v>
      </c>
      <c r="BM549" s="2">
        <f t="shared" ca="1" si="17"/>
        <v>4</v>
      </c>
      <c r="BN549" s="3">
        <v>500000</v>
      </c>
      <c r="BO549" s="3">
        <v>1000000</v>
      </c>
      <c r="BP549" s="3">
        <v>100000</v>
      </c>
      <c r="BQ549" s="3">
        <v>100000</v>
      </c>
      <c r="BR549" s="3">
        <v>1000000</v>
      </c>
      <c r="BS549">
        <v>50000</v>
      </c>
      <c r="BT549">
        <v>0</v>
      </c>
      <c r="BU549">
        <v>0</v>
      </c>
      <c r="BV549">
        <v>0</v>
      </c>
      <c r="BW549">
        <v>1</v>
      </c>
      <c r="BX549">
        <v>0</v>
      </c>
      <c r="BY549">
        <v>0</v>
      </c>
      <c r="BZ549" t="s">
        <v>2949</v>
      </c>
      <c r="CA549" t="s">
        <v>1194</v>
      </c>
      <c r="CB549" t="s">
        <v>2949</v>
      </c>
    </row>
    <row r="550" spans="1:80" x14ac:dyDescent="0.25">
      <c r="A550">
        <v>549</v>
      </c>
      <c r="B550" t="s">
        <v>2563</v>
      </c>
      <c r="C550" s="1">
        <v>44743</v>
      </c>
      <c r="D550">
        <v>27</v>
      </c>
      <c r="E550" t="s">
        <v>6</v>
      </c>
      <c r="F550" t="s">
        <v>1310</v>
      </c>
      <c r="G550">
        <v>1</v>
      </c>
      <c r="H550" s="3">
        <v>5274677</v>
      </c>
      <c r="I550" s="3">
        <v>2637338</v>
      </c>
      <c r="J550" s="3">
        <v>4131829</v>
      </c>
      <c r="K550" s="3">
        <v>0</v>
      </c>
      <c r="L550" t="s">
        <v>1191</v>
      </c>
      <c r="M550">
        <v>24110</v>
      </c>
      <c r="N550" t="s">
        <v>1328</v>
      </c>
      <c r="P550" t="s">
        <v>1701</v>
      </c>
      <c r="Q550" t="s">
        <v>1240</v>
      </c>
      <c r="R550">
        <v>6752</v>
      </c>
      <c r="S550" t="s">
        <v>1702</v>
      </c>
      <c r="T550" t="s">
        <v>965</v>
      </c>
      <c r="U550">
        <v>0</v>
      </c>
      <c r="V550">
        <v>11</v>
      </c>
      <c r="W550" t="s">
        <v>1194</v>
      </c>
      <c r="X550" t="s">
        <v>973</v>
      </c>
      <c r="Y550">
        <v>10000</v>
      </c>
      <c r="Z550" s="2" t="s">
        <v>1194</v>
      </c>
      <c r="AA550" s="2" t="s">
        <v>1238</v>
      </c>
      <c r="AB550" t="s">
        <v>1238</v>
      </c>
      <c r="AC550">
        <v>815</v>
      </c>
      <c r="AD550" t="s">
        <v>1279</v>
      </c>
      <c r="AE550">
        <v>5</v>
      </c>
      <c r="AF550" t="s">
        <v>1290</v>
      </c>
      <c r="AG550">
        <v>0</v>
      </c>
      <c r="AH550">
        <v>0</v>
      </c>
      <c r="AI550">
        <v>0</v>
      </c>
      <c r="AJ550">
        <v>1990</v>
      </c>
      <c r="AK550">
        <v>2000</v>
      </c>
      <c r="AL550">
        <v>2000</v>
      </c>
      <c r="AM550" s="4" t="s">
        <v>1305</v>
      </c>
      <c r="AN550">
        <v>0</v>
      </c>
      <c r="AO550" t="s">
        <v>1315</v>
      </c>
      <c r="AP550">
        <f t="shared" si="16"/>
        <v>0</v>
      </c>
      <c r="AQ550">
        <v>0</v>
      </c>
      <c r="AR550" t="s">
        <v>1993</v>
      </c>
      <c r="AS550" t="s">
        <v>1996</v>
      </c>
      <c r="AT550" t="s">
        <v>1995</v>
      </c>
      <c r="AU550" t="s">
        <v>1995</v>
      </c>
      <c r="AV550" t="s">
        <v>1996</v>
      </c>
      <c r="AW550" t="s">
        <v>1995</v>
      </c>
      <c r="AX550" t="s">
        <v>2003</v>
      </c>
      <c r="AY550" t="s">
        <v>1996</v>
      </c>
      <c r="AZ550">
        <v>5130</v>
      </c>
      <c r="BA550" t="s">
        <v>1194</v>
      </c>
      <c r="BB550" t="s">
        <v>1194</v>
      </c>
      <c r="BC550" s="3">
        <v>0</v>
      </c>
      <c r="BD550" s="3">
        <v>0</v>
      </c>
      <c r="BE550" s="3">
        <v>0</v>
      </c>
      <c r="BF550" s="3">
        <v>0</v>
      </c>
      <c r="BG550" s="3">
        <v>160</v>
      </c>
      <c r="BH550" s="3">
        <v>0</v>
      </c>
      <c r="BI550" s="3">
        <v>0</v>
      </c>
      <c r="BJ550" s="3">
        <v>17335</v>
      </c>
      <c r="BK550" s="3">
        <v>341</v>
      </c>
      <c r="BL550" s="3">
        <v>17676</v>
      </c>
      <c r="BM550" s="2">
        <f t="shared" ca="1" si="17"/>
        <v>0</v>
      </c>
      <c r="BN550" s="3">
        <v>1000000</v>
      </c>
      <c r="BO550" s="3">
        <v>2000000</v>
      </c>
      <c r="BP550" s="3">
        <v>50000</v>
      </c>
      <c r="BQ550" s="3">
        <v>500000</v>
      </c>
      <c r="BR550" s="3">
        <v>2000000</v>
      </c>
      <c r="BS550">
        <v>50000</v>
      </c>
      <c r="BT550">
        <v>0</v>
      </c>
      <c r="BU550">
        <v>0</v>
      </c>
      <c r="BV550">
        <v>1</v>
      </c>
      <c r="BW550">
        <v>0</v>
      </c>
      <c r="BX550">
        <v>0</v>
      </c>
      <c r="BY550">
        <v>0</v>
      </c>
      <c r="BZ550" t="s">
        <v>2949</v>
      </c>
      <c r="CA550" t="s">
        <v>1194</v>
      </c>
      <c r="CB550" t="s">
        <v>2941</v>
      </c>
    </row>
    <row r="551" spans="1:80" x14ac:dyDescent="0.25">
      <c r="A551">
        <v>550</v>
      </c>
      <c r="B551" t="s">
        <v>2564</v>
      </c>
      <c r="C551" s="1">
        <v>44760</v>
      </c>
      <c r="D551">
        <v>12</v>
      </c>
      <c r="E551" t="s">
        <v>4</v>
      </c>
      <c r="F551" t="s">
        <v>1311</v>
      </c>
      <c r="G551">
        <v>0</v>
      </c>
      <c r="H551" s="3">
        <v>7650000</v>
      </c>
      <c r="I551" s="3">
        <v>600000</v>
      </c>
      <c r="J551" s="3">
        <v>0</v>
      </c>
      <c r="K551" s="3">
        <v>0</v>
      </c>
      <c r="L551" t="s">
        <v>1191</v>
      </c>
      <c r="M551">
        <v>1936974</v>
      </c>
      <c r="N551" t="s">
        <v>1329</v>
      </c>
      <c r="O551" t="s">
        <v>1330</v>
      </c>
      <c r="P551" t="s">
        <v>1704</v>
      </c>
      <c r="Q551" t="s">
        <v>1237</v>
      </c>
      <c r="R551">
        <v>85255</v>
      </c>
      <c r="S551" t="s">
        <v>1705</v>
      </c>
      <c r="T551" t="s">
        <v>965</v>
      </c>
      <c r="U551">
        <v>0</v>
      </c>
      <c r="V551">
        <v>3</v>
      </c>
      <c r="W551" t="s">
        <v>1194</v>
      </c>
      <c r="X551" t="s">
        <v>973</v>
      </c>
      <c r="Y551">
        <v>10000</v>
      </c>
      <c r="Z551" s="2" t="s">
        <v>1194</v>
      </c>
      <c r="AA551" s="2" t="s">
        <v>1238</v>
      </c>
      <c r="AB551" t="s">
        <v>1238</v>
      </c>
      <c r="AC551">
        <v>877</v>
      </c>
      <c r="AD551" t="s">
        <v>1279</v>
      </c>
      <c r="AE551">
        <v>2</v>
      </c>
      <c r="AF551" t="s">
        <v>1293</v>
      </c>
      <c r="AG551">
        <v>0</v>
      </c>
      <c r="AH551">
        <v>0</v>
      </c>
      <c r="AI551">
        <v>0</v>
      </c>
      <c r="AJ551">
        <v>2015</v>
      </c>
      <c r="AK551" t="s">
        <v>1194</v>
      </c>
      <c r="AL551">
        <v>2015</v>
      </c>
      <c r="AM551" s="4" t="s">
        <v>1238</v>
      </c>
      <c r="AN551">
        <v>1</v>
      </c>
      <c r="AO551" t="s">
        <v>1315</v>
      </c>
      <c r="AP551">
        <f t="shared" si="16"/>
        <v>0</v>
      </c>
      <c r="AQ551">
        <v>1</v>
      </c>
      <c r="AR551" t="s">
        <v>1992</v>
      </c>
      <c r="AS551" t="s">
        <v>1996</v>
      </c>
      <c r="AT551" t="s">
        <v>1995</v>
      </c>
      <c r="AU551" t="s">
        <v>1996</v>
      </c>
      <c r="AV551" t="s">
        <v>1996</v>
      </c>
      <c r="AW551" t="s">
        <v>1995</v>
      </c>
      <c r="AX551" t="s">
        <v>1194</v>
      </c>
      <c r="AY551" t="s">
        <v>1996</v>
      </c>
      <c r="AZ551">
        <v>7073</v>
      </c>
      <c r="BA551" t="s">
        <v>1194</v>
      </c>
      <c r="BB551" t="s">
        <v>2016</v>
      </c>
      <c r="BC551" s="3">
        <v>0</v>
      </c>
      <c r="BD551" s="3">
        <v>0</v>
      </c>
      <c r="BE551" s="3">
        <v>0</v>
      </c>
      <c r="BF551" s="3">
        <v>0</v>
      </c>
      <c r="BG551" s="3">
        <v>175</v>
      </c>
      <c r="BH551" s="3">
        <v>0</v>
      </c>
      <c r="BI551" s="3">
        <v>0</v>
      </c>
      <c r="BJ551" s="3">
        <v>12940.76</v>
      </c>
      <c r="BK551" s="3">
        <v>326</v>
      </c>
      <c r="BL551" s="3">
        <v>13267</v>
      </c>
      <c r="BM551" s="2">
        <f t="shared" ca="1" si="17"/>
        <v>5</v>
      </c>
      <c r="BN551" s="3">
        <v>100000</v>
      </c>
      <c r="BO551" s="3">
        <v>500000</v>
      </c>
      <c r="BP551" s="3">
        <v>100000</v>
      </c>
      <c r="BQ551" s="3">
        <v>1000000</v>
      </c>
      <c r="BR551" s="3">
        <v>1000000</v>
      </c>
      <c r="BS551" t="s">
        <v>2916</v>
      </c>
      <c r="BT551">
        <v>0</v>
      </c>
      <c r="BU551">
        <v>0</v>
      </c>
      <c r="BV551">
        <v>1</v>
      </c>
      <c r="BW551">
        <v>0</v>
      </c>
      <c r="BX551">
        <v>0</v>
      </c>
      <c r="BY551">
        <v>0</v>
      </c>
      <c r="BZ551" t="s">
        <v>2949</v>
      </c>
      <c r="CA551" t="s">
        <v>1194</v>
      </c>
      <c r="CB551" t="s">
        <v>2952</v>
      </c>
    </row>
    <row r="552" spans="1:80" x14ac:dyDescent="0.25">
      <c r="A552">
        <v>551</v>
      </c>
      <c r="B552" t="s">
        <v>2565</v>
      </c>
      <c r="C552" s="1">
        <v>44854</v>
      </c>
      <c r="D552">
        <v>12</v>
      </c>
      <c r="E552" t="s">
        <v>6</v>
      </c>
      <c r="F552" t="s">
        <v>1310</v>
      </c>
      <c r="G552">
        <v>1</v>
      </c>
      <c r="H552" s="3">
        <v>1656542</v>
      </c>
      <c r="I552" s="3">
        <v>36034</v>
      </c>
      <c r="J552" s="3">
        <v>720706</v>
      </c>
      <c r="K552" s="3">
        <v>331308.40000000002</v>
      </c>
      <c r="L552" t="s">
        <v>1191</v>
      </c>
      <c r="M552">
        <v>46704</v>
      </c>
      <c r="N552" t="s">
        <v>1331</v>
      </c>
      <c r="P552" t="s">
        <v>1706</v>
      </c>
      <c r="Q552" t="s">
        <v>1240</v>
      </c>
      <c r="R552">
        <v>6824</v>
      </c>
      <c r="S552" t="s">
        <v>1706</v>
      </c>
      <c r="T552" t="s">
        <v>972</v>
      </c>
      <c r="U552">
        <v>0</v>
      </c>
      <c r="V552">
        <v>53</v>
      </c>
      <c r="W552" t="s">
        <v>1194</v>
      </c>
      <c r="X552" t="s">
        <v>973</v>
      </c>
      <c r="Y552">
        <v>10000</v>
      </c>
      <c r="Z552" s="2" t="s">
        <v>1194</v>
      </c>
      <c r="AA552" s="2" t="s">
        <v>1238</v>
      </c>
      <c r="AB552" t="s">
        <v>1238</v>
      </c>
      <c r="AC552">
        <v>720</v>
      </c>
      <c r="AD552" t="s">
        <v>1279</v>
      </c>
      <c r="AE552">
        <v>3</v>
      </c>
      <c r="AF552" t="s">
        <v>1290</v>
      </c>
      <c r="AG552">
        <v>0</v>
      </c>
      <c r="AH552">
        <v>0</v>
      </c>
      <c r="AI552">
        <v>0</v>
      </c>
      <c r="AJ552">
        <v>1962</v>
      </c>
      <c r="AK552" t="s">
        <v>1194</v>
      </c>
      <c r="AL552" t="s">
        <v>1194</v>
      </c>
      <c r="AM552" s="4" t="s">
        <v>1307</v>
      </c>
      <c r="AN552">
        <v>1</v>
      </c>
      <c r="AO552" t="s">
        <v>1317</v>
      </c>
      <c r="AP552">
        <f t="shared" si="16"/>
        <v>0</v>
      </c>
      <c r="AQ552">
        <v>0</v>
      </c>
      <c r="AR552" t="s">
        <v>1993</v>
      </c>
      <c r="AS552" t="s">
        <v>1995</v>
      </c>
      <c r="AT552" t="s">
        <v>1996</v>
      </c>
      <c r="AU552" t="s">
        <v>1995</v>
      </c>
      <c r="AV552" t="s">
        <v>1995</v>
      </c>
      <c r="AW552" t="s">
        <v>1995</v>
      </c>
      <c r="AX552" t="s">
        <v>2003</v>
      </c>
      <c r="AY552" t="s">
        <v>1996</v>
      </c>
      <c r="AZ552">
        <v>2348</v>
      </c>
      <c r="BA552" t="s">
        <v>1194</v>
      </c>
      <c r="BB552" t="s">
        <v>1194</v>
      </c>
      <c r="BC552" s="3">
        <v>0</v>
      </c>
      <c r="BD552" s="3">
        <v>392.43</v>
      </c>
      <c r="BE552" s="3">
        <v>0</v>
      </c>
      <c r="BF552" s="3">
        <v>0</v>
      </c>
      <c r="BG552" s="3">
        <v>130</v>
      </c>
      <c r="BH552" s="3">
        <v>0</v>
      </c>
      <c r="BI552" s="3">
        <v>0</v>
      </c>
      <c r="BJ552" s="3">
        <v>5347</v>
      </c>
      <c r="BK552" s="3">
        <v>-5</v>
      </c>
      <c r="BL552" s="3">
        <v>5342</v>
      </c>
      <c r="BM552" s="2">
        <f t="shared" ca="1" si="17"/>
        <v>1</v>
      </c>
      <c r="BN552" s="3" t="s">
        <v>2916</v>
      </c>
      <c r="BO552" s="3">
        <v>50000</v>
      </c>
      <c r="BP552" s="3">
        <v>50000</v>
      </c>
      <c r="BQ552" s="3">
        <v>500000</v>
      </c>
      <c r="BR552" s="3">
        <v>50000</v>
      </c>
      <c r="BS552" t="s">
        <v>2916</v>
      </c>
      <c r="BT552">
        <v>0</v>
      </c>
      <c r="BU552">
        <v>0</v>
      </c>
      <c r="BV552">
        <v>1</v>
      </c>
      <c r="BW552">
        <v>0</v>
      </c>
      <c r="BX552">
        <v>0</v>
      </c>
      <c r="BY552">
        <v>0</v>
      </c>
      <c r="BZ552" t="s">
        <v>2949</v>
      </c>
      <c r="CA552" t="s">
        <v>1194</v>
      </c>
      <c r="CB552" t="s">
        <v>2941</v>
      </c>
    </row>
    <row r="553" spans="1:80" x14ac:dyDescent="0.25">
      <c r="A553">
        <v>552</v>
      </c>
      <c r="B553" t="s">
        <v>2566</v>
      </c>
      <c r="C553" s="1">
        <v>44984</v>
      </c>
      <c r="D553">
        <v>12</v>
      </c>
      <c r="E553" t="s">
        <v>4</v>
      </c>
      <c r="F553" t="s">
        <v>1311</v>
      </c>
      <c r="G553">
        <v>0</v>
      </c>
      <c r="H553" s="3">
        <v>1800000</v>
      </c>
      <c r="I553" s="3">
        <v>180000</v>
      </c>
      <c r="J553" s="3">
        <v>0</v>
      </c>
      <c r="K553" s="3">
        <v>360000</v>
      </c>
      <c r="L553" t="s">
        <v>1191</v>
      </c>
      <c r="M553">
        <v>2054536</v>
      </c>
      <c r="N553" t="s">
        <v>1332</v>
      </c>
      <c r="P553" t="s">
        <v>1704</v>
      </c>
      <c r="Q553" t="s">
        <v>1237</v>
      </c>
      <c r="R553">
        <v>85255</v>
      </c>
      <c r="S553" t="s">
        <v>1705</v>
      </c>
      <c r="T553" t="s">
        <v>965</v>
      </c>
      <c r="U553">
        <v>0</v>
      </c>
      <c r="V553">
        <v>3</v>
      </c>
      <c r="W553" t="s">
        <v>1194</v>
      </c>
      <c r="X553" t="s">
        <v>973</v>
      </c>
      <c r="Y553">
        <v>10000</v>
      </c>
      <c r="Z553" s="2" t="s">
        <v>1194</v>
      </c>
      <c r="AA553" s="2" t="s">
        <v>1238</v>
      </c>
      <c r="AB553" t="s">
        <v>1238</v>
      </c>
      <c r="AC553">
        <v>896</v>
      </c>
      <c r="AD553" t="s">
        <v>1279</v>
      </c>
      <c r="AE553">
        <v>2</v>
      </c>
      <c r="AF553" t="s">
        <v>1293</v>
      </c>
      <c r="AG553">
        <v>0</v>
      </c>
      <c r="AH553">
        <v>0</v>
      </c>
      <c r="AI553">
        <v>0</v>
      </c>
      <c r="AJ553">
        <v>2004</v>
      </c>
      <c r="AK553" t="s">
        <v>1194</v>
      </c>
      <c r="AL553" t="s">
        <v>1194</v>
      </c>
      <c r="AM553" s="4" t="s">
        <v>1238</v>
      </c>
      <c r="AN553">
        <v>1</v>
      </c>
      <c r="AO553" t="s">
        <v>1316</v>
      </c>
      <c r="AP553">
        <f t="shared" si="16"/>
        <v>0</v>
      </c>
      <c r="AQ553">
        <v>0</v>
      </c>
      <c r="AR553" t="s">
        <v>1993</v>
      </c>
      <c r="AS553" t="s">
        <v>1995</v>
      </c>
      <c r="AT553" t="s">
        <v>1995</v>
      </c>
      <c r="AU553" t="s">
        <v>1996</v>
      </c>
      <c r="AV553" t="s">
        <v>1995</v>
      </c>
      <c r="AW553" t="s">
        <v>1996</v>
      </c>
      <c r="AX553" t="s">
        <v>1194</v>
      </c>
      <c r="AY553" t="s">
        <v>1996</v>
      </c>
      <c r="AZ553">
        <v>3702</v>
      </c>
      <c r="BA553" t="s">
        <v>1194</v>
      </c>
      <c r="BB553" t="s">
        <v>2016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4105.16</v>
      </c>
      <c r="BK553" s="3">
        <v>125</v>
      </c>
      <c r="BL553" s="3">
        <v>4230</v>
      </c>
      <c r="BM553" s="2">
        <f t="shared" ca="1" si="17"/>
        <v>2</v>
      </c>
      <c r="BN553" s="3" t="s">
        <v>2916</v>
      </c>
      <c r="BO553" s="3">
        <v>25000</v>
      </c>
      <c r="BP553" s="3">
        <v>50000</v>
      </c>
      <c r="BQ553" s="3">
        <v>250000</v>
      </c>
      <c r="BR553" s="3">
        <v>250000</v>
      </c>
      <c r="BS553">
        <v>250000</v>
      </c>
      <c r="BT553">
        <v>0</v>
      </c>
      <c r="BU553">
        <v>0</v>
      </c>
      <c r="BV553">
        <v>0</v>
      </c>
      <c r="BW553">
        <v>1</v>
      </c>
      <c r="BX553">
        <v>1</v>
      </c>
      <c r="BY553">
        <v>0</v>
      </c>
      <c r="BZ553" t="s">
        <v>2949</v>
      </c>
      <c r="CA553" t="s">
        <v>1194</v>
      </c>
      <c r="CB553" t="s">
        <v>2952</v>
      </c>
    </row>
    <row r="554" spans="1:80" x14ac:dyDescent="0.25">
      <c r="A554">
        <v>553</v>
      </c>
      <c r="B554" t="s">
        <v>2567</v>
      </c>
      <c r="C554" s="1">
        <v>44901</v>
      </c>
      <c r="D554">
        <v>12</v>
      </c>
      <c r="E554" t="s">
        <v>4</v>
      </c>
      <c r="F554" t="s">
        <v>1311</v>
      </c>
      <c r="G554">
        <v>1</v>
      </c>
      <c r="H554" s="3">
        <v>1090000</v>
      </c>
      <c r="I554" s="3">
        <v>125000</v>
      </c>
      <c r="J554" s="3">
        <v>0</v>
      </c>
      <c r="K554" s="3">
        <v>0</v>
      </c>
      <c r="L554" t="s">
        <v>1191</v>
      </c>
      <c r="M554">
        <v>2032230</v>
      </c>
      <c r="N554" t="s">
        <v>1333</v>
      </c>
      <c r="P554" t="s">
        <v>1707</v>
      </c>
      <c r="Q554" t="s">
        <v>1263</v>
      </c>
      <c r="R554">
        <v>18049</v>
      </c>
      <c r="S554" t="s">
        <v>1708</v>
      </c>
      <c r="T554" t="s">
        <v>965</v>
      </c>
      <c r="U554">
        <v>0</v>
      </c>
      <c r="V554">
        <v>1</v>
      </c>
      <c r="W554" t="s">
        <v>1194</v>
      </c>
      <c r="X554" t="s">
        <v>973</v>
      </c>
      <c r="Y554">
        <v>10000</v>
      </c>
      <c r="Z554" s="2" t="s">
        <v>1194</v>
      </c>
      <c r="AA554" s="2">
        <v>1</v>
      </c>
      <c r="AB554">
        <v>2500</v>
      </c>
      <c r="AC554">
        <v>793</v>
      </c>
      <c r="AD554" t="s">
        <v>1284</v>
      </c>
      <c r="AE554">
        <v>4</v>
      </c>
      <c r="AF554" t="s">
        <v>1290</v>
      </c>
      <c r="AG554">
        <v>0</v>
      </c>
      <c r="AH554">
        <v>0</v>
      </c>
      <c r="AI554">
        <v>0</v>
      </c>
      <c r="AJ554">
        <v>1999</v>
      </c>
      <c r="AK554" t="s">
        <v>1194</v>
      </c>
      <c r="AL554">
        <v>2020</v>
      </c>
      <c r="AM554" s="4" t="s">
        <v>1238</v>
      </c>
      <c r="AN554">
        <v>0</v>
      </c>
      <c r="AO554" t="s">
        <v>1315</v>
      </c>
      <c r="AP554">
        <f t="shared" si="16"/>
        <v>0</v>
      </c>
      <c r="AQ554">
        <v>0</v>
      </c>
      <c r="AR554" t="s">
        <v>1993</v>
      </c>
      <c r="AS554" t="s">
        <v>1995</v>
      </c>
      <c r="AT554" t="s">
        <v>1995</v>
      </c>
      <c r="AU554" t="s">
        <v>1995</v>
      </c>
      <c r="AV554" t="s">
        <v>1995</v>
      </c>
      <c r="AW554" t="s">
        <v>1996</v>
      </c>
      <c r="AX554" t="s">
        <v>2003</v>
      </c>
      <c r="AY554" t="s">
        <v>1996</v>
      </c>
      <c r="AZ554">
        <v>2718</v>
      </c>
      <c r="BA554" t="s">
        <v>1194</v>
      </c>
      <c r="BB554" t="s">
        <v>1194</v>
      </c>
      <c r="BC554" s="3">
        <v>0</v>
      </c>
      <c r="BD554" s="3">
        <v>0</v>
      </c>
      <c r="BE554" s="3">
        <v>0</v>
      </c>
      <c r="BF554" s="3">
        <v>0</v>
      </c>
      <c r="BG554" s="3">
        <v>200</v>
      </c>
      <c r="BH554" s="3">
        <v>0</v>
      </c>
      <c r="BI554" s="3">
        <v>0</v>
      </c>
      <c r="BJ554" s="3">
        <v>2699.97</v>
      </c>
      <c r="BK554" s="3">
        <v>-15</v>
      </c>
      <c r="BL554" s="3">
        <v>2684.97</v>
      </c>
      <c r="BM554" s="2">
        <f t="shared" ca="1" si="17"/>
        <v>1</v>
      </c>
      <c r="BN554" s="3">
        <v>250000</v>
      </c>
      <c r="BO554" s="3">
        <v>50000</v>
      </c>
      <c r="BP554" s="3">
        <v>200000</v>
      </c>
      <c r="BQ554" s="3">
        <v>100000</v>
      </c>
      <c r="BR554" s="3">
        <v>50000</v>
      </c>
      <c r="BS554">
        <v>50000</v>
      </c>
      <c r="BT554">
        <v>0</v>
      </c>
      <c r="BU554">
        <v>0</v>
      </c>
      <c r="BV554">
        <v>0</v>
      </c>
      <c r="BW554">
        <v>1</v>
      </c>
      <c r="BX554">
        <v>1</v>
      </c>
      <c r="BY554">
        <v>1</v>
      </c>
      <c r="BZ554" t="s">
        <v>2949</v>
      </c>
      <c r="CA554" t="s">
        <v>1194</v>
      </c>
      <c r="CB554" t="s">
        <v>2949</v>
      </c>
    </row>
    <row r="555" spans="1:80" x14ac:dyDescent="0.25">
      <c r="A555">
        <v>554</v>
      </c>
      <c r="B555" t="s">
        <v>2568</v>
      </c>
      <c r="C555" s="1">
        <v>44642</v>
      </c>
      <c r="D555">
        <v>12</v>
      </c>
      <c r="E555" t="s">
        <v>4</v>
      </c>
      <c r="F555" t="s">
        <v>1311</v>
      </c>
      <c r="G555">
        <v>0</v>
      </c>
      <c r="H555" s="3">
        <v>988535</v>
      </c>
      <c r="I555" s="3">
        <v>227959</v>
      </c>
      <c r="J555" s="3">
        <v>633000</v>
      </c>
      <c r="K555" s="3">
        <v>197707</v>
      </c>
      <c r="L555" t="s">
        <v>1191</v>
      </c>
      <c r="M555">
        <v>1633195</v>
      </c>
      <c r="N555" t="s">
        <v>1334</v>
      </c>
      <c r="P555" t="s">
        <v>1709</v>
      </c>
      <c r="Q555" t="s">
        <v>1240</v>
      </c>
      <c r="R555">
        <v>6615</v>
      </c>
      <c r="S555" t="s">
        <v>1706</v>
      </c>
      <c r="T555" t="s">
        <v>979</v>
      </c>
      <c r="U555">
        <v>0</v>
      </c>
      <c r="V555">
        <v>51</v>
      </c>
      <c r="W555" t="s">
        <v>1194</v>
      </c>
      <c r="X555" t="s">
        <v>973</v>
      </c>
      <c r="Y555">
        <v>10000</v>
      </c>
      <c r="Z555" s="2" t="s">
        <v>1194</v>
      </c>
      <c r="AA555" s="2" t="s">
        <v>1238</v>
      </c>
      <c r="AB555" t="s">
        <v>1238</v>
      </c>
      <c r="AC555">
        <v>0</v>
      </c>
      <c r="AD555" t="s">
        <v>1279</v>
      </c>
      <c r="AE555">
        <v>2</v>
      </c>
      <c r="AF555" t="s">
        <v>1290</v>
      </c>
      <c r="AG555">
        <v>0</v>
      </c>
      <c r="AH555">
        <v>0</v>
      </c>
      <c r="AI555">
        <v>0</v>
      </c>
      <c r="AJ555">
        <v>1918</v>
      </c>
      <c r="AK555" t="s">
        <v>1194</v>
      </c>
      <c r="AL555" t="s">
        <v>1194</v>
      </c>
      <c r="AM555" s="4" t="s">
        <v>1238</v>
      </c>
      <c r="AN555">
        <v>0</v>
      </c>
      <c r="AO555" t="s">
        <v>1315</v>
      </c>
      <c r="AP555">
        <f t="shared" si="16"/>
        <v>0</v>
      </c>
      <c r="AQ555">
        <v>1</v>
      </c>
      <c r="AR555" t="s">
        <v>1992</v>
      </c>
      <c r="AS555" t="s">
        <v>1996</v>
      </c>
      <c r="AT555" t="s">
        <v>1996</v>
      </c>
      <c r="AU555" t="s">
        <v>1996</v>
      </c>
      <c r="AV555" t="s">
        <v>1995</v>
      </c>
      <c r="AW555" t="s">
        <v>1995</v>
      </c>
      <c r="AX555" t="s">
        <v>2003</v>
      </c>
      <c r="AY555" t="s">
        <v>1996</v>
      </c>
      <c r="AZ555">
        <v>2373</v>
      </c>
      <c r="BA555" t="s">
        <v>1194</v>
      </c>
      <c r="BB555" t="s">
        <v>1194</v>
      </c>
      <c r="BC555" s="3">
        <v>0</v>
      </c>
      <c r="BD555" s="3">
        <v>1394.57</v>
      </c>
      <c r="BE555" s="3">
        <v>0</v>
      </c>
      <c r="BF555" s="3">
        <v>0</v>
      </c>
      <c r="BG555" s="3">
        <v>160</v>
      </c>
      <c r="BH555" s="3">
        <v>0</v>
      </c>
      <c r="BI555" s="3">
        <v>0</v>
      </c>
      <c r="BJ555" s="3">
        <v>9865</v>
      </c>
      <c r="BK555" s="3">
        <v>240</v>
      </c>
      <c r="BL555" s="3">
        <v>10105</v>
      </c>
      <c r="BM555" s="2">
        <f t="shared" ca="1" si="17"/>
        <v>2</v>
      </c>
      <c r="BN555" s="3">
        <v>1000000</v>
      </c>
      <c r="BO555" s="3">
        <v>100000</v>
      </c>
      <c r="BP555" s="3">
        <v>200000</v>
      </c>
      <c r="BQ555" s="3">
        <v>1000000</v>
      </c>
      <c r="BR555" s="3">
        <v>50000</v>
      </c>
      <c r="BS555">
        <v>100000</v>
      </c>
      <c r="BT555">
        <v>0</v>
      </c>
      <c r="BU555">
        <v>0</v>
      </c>
      <c r="BV555">
        <v>0</v>
      </c>
      <c r="BW555">
        <v>1</v>
      </c>
      <c r="BX555">
        <v>0</v>
      </c>
      <c r="BY555">
        <v>0</v>
      </c>
      <c r="BZ555" t="s">
        <v>2949</v>
      </c>
      <c r="CA555" t="s">
        <v>1194</v>
      </c>
      <c r="CB555" t="s">
        <v>2949</v>
      </c>
    </row>
    <row r="556" spans="1:80" x14ac:dyDescent="0.25">
      <c r="A556">
        <v>555</v>
      </c>
      <c r="B556" t="s">
        <v>2569</v>
      </c>
      <c r="C556" s="1">
        <v>44810</v>
      </c>
      <c r="D556">
        <v>12</v>
      </c>
      <c r="E556" t="s">
        <v>4</v>
      </c>
      <c r="F556" t="s">
        <v>1311</v>
      </c>
      <c r="G556">
        <v>1</v>
      </c>
      <c r="H556" s="3">
        <v>1491162</v>
      </c>
      <c r="I556" s="3">
        <v>159930</v>
      </c>
      <c r="J556" s="3">
        <v>0</v>
      </c>
      <c r="K556" s="3">
        <v>0</v>
      </c>
      <c r="L556" t="s">
        <v>1191</v>
      </c>
      <c r="M556">
        <v>2298</v>
      </c>
      <c r="N556" t="s">
        <v>1335</v>
      </c>
      <c r="P556" t="s">
        <v>1710</v>
      </c>
      <c r="Q556" t="s">
        <v>1271</v>
      </c>
      <c r="R556">
        <v>54211</v>
      </c>
      <c r="S556" t="s">
        <v>1711</v>
      </c>
      <c r="T556" t="s">
        <v>965</v>
      </c>
      <c r="U556">
        <v>0</v>
      </c>
      <c r="V556">
        <v>2</v>
      </c>
      <c r="W556" t="s">
        <v>1194</v>
      </c>
      <c r="X556" t="s">
        <v>973</v>
      </c>
      <c r="Y556">
        <v>10000</v>
      </c>
      <c r="Z556" s="2" t="s">
        <v>1194</v>
      </c>
      <c r="AA556" s="2">
        <v>1</v>
      </c>
      <c r="AB556">
        <v>2.5000000000000001E-3</v>
      </c>
      <c r="AC556">
        <v>875</v>
      </c>
      <c r="AD556" t="s">
        <v>1279</v>
      </c>
      <c r="AE556">
        <v>7</v>
      </c>
      <c r="AF556" t="s">
        <v>1290</v>
      </c>
      <c r="AG556">
        <v>0</v>
      </c>
      <c r="AH556">
        <v>0</v>
      </c>
      <c r="AI556">
        <v>0</v>
      </c>
      <c r="AJ556">
        <v>1968</v>
      </c>
      <c r="AK556" t="s">
        <v>1194</v>
      </c>
      <c r="AL556">
        <v>2006</v>
      </c>
      <c r="AM556" s="4" t="s">
        <v>1238</v>
      </c>
      <c r="AN556">
        <v>1</v>
      </c>
      <c r="AO556" t="s">
        <v>1317</v>
      </c>
      <c r="AP556">
        <f t="shared" si="16"/>
        <v>0</v>
      </c>
      <c r="AQ556">
        <v>1</v>
      </c>
      <c r="AR556" t="s">
        <v>1992</v>
      </c>
      <c r="AS556" t="s">
        <v>1995</v>
      </c>
      <c r="AT556" t="s">
        <v>1995</v>
      </c>
      <c r="AU556" t="s">
        <v>1995</v>
      </c>
      <c r="AV556" t="s">
        <v>1995</v>
      </c>
      <c r="AW556" t="s">
        <v>1996</v>
      </c>
      <c r="AX556" t="s">
        <v>1194</v>
      </c>
      <c r="AY556" t="s">
        <v>1996</v>
      </c>
      <c r="AZ556">
        <v>1800</v>
      </c>
      <c r="BA556" t="s">
        <v>1194</v>
      </c>
      <c r="BB556" t="s">
        <v>1194</v>
      </c>
      <c r="BC556" s="3">
        <v>0</v>
      </c>
      <c r="BD556" s="3">
        <v>0</v>
      </c>
      <c r="BE556" s="3">
        <v>0</v>
      </c>
      <c r="BF556" s="3">
        <v>0</v>
      </c>
      <c r="BG556" s="3">
        <v>175</v>
      </c>
      <c r="BH556" s="3">
        <v>0</v>
      </c>
      <c r="BI556" s="3">
        <v>0</v>
      </c>
      <c r="BJ556" s="3">
        <v>3964.96</v>
      </c>
      <c r="BK556" s="3">
        <v>110</v>
      </c>
      <c r="BL556" s="3">
        <v>4074.96</v>
      </c>
      <c r="BM556" s="2">
        <f t="shared" ca="1" si="17"/>
        <v>5</v>
      </c>
      <c r="BN556" s="3">
        <v>1000000</v>
      </c>
      <c r="BO556" s="3">
        <v>100000</v>
      </c>
      <c r="BP556" s="3">
        <v>200000</v>
      </c>
      <c r="BQ556" s="3">
        <v>1000000</v>
      </c>
      <c r="BR556" s="3">
        <v>100000</v>
      </c>
      <c r="BS556">
        <v>500000</v>
      </c>
      <c r="BT556">
        <v>0</v>
      </c>
      <c r="BU556">
        <v>0</v>
      </c>
      <c r="BV556">
        <v>0</v>
      </c>
      <c r="BW556">
        <v>1</v>
      </c>
      <c r="BX556">
        <v>1</v>
      </c>
      <c r="BY556">
        <v>0</v>
      </c>
      <c r="BZ556" t="s">
        <v>2958</v>
      </c>
      <c r="CA556" t="s">
        <v>1194</v>
      </c>
      <c r="CB556" t="s">
        <v>2949</v>
      </c>
    </row>
    <row r="557" spans="1:80" x14ac:dyDescent="0.25">
      <c r="A557">
        <v>556</v>
      </c>
      <c r="B557" t="s">
        <v>2570</v>
      </c>
      <c r="C557" s="1">
        <v>44877</v>
      </c>
      <c r="D557">
        <v>30</v>
      </c>
      <c r="E557" t="s">
        <v>4</v>
      </c>
      <c r="F557" t="s">
        <v>1311</v>
      </c>
      <c r="G557">
        <v>1</v>
      </c>
      <c r="H557" s="3">
        <v>5581062</v>
      </c>
      <c r="I557" s="3">
        <v>857307</v>
      </c>
      <c r="J557" s="3">
        <v>1224724</v>
      </c>
      <c r="K557" s="3">
        <v>0</v>
      </c>
      <c r="L557" t="s">
        <v>1191</v>
      </c>
      <c r="M557">
        <v>1420950</v>
      </c>
      <c r="N557" t="s">
        <v>1336</v>
      </c>
      <c r="P557" t="s">
        <v>1712</v>
      </c>
      <c r="Q557" t="s">
        <v>1239</v>
      </c>
      <c r="R557">
        <v>80304</v>
      </c>
      <c r="S557" t="s">
        <v>1712</v>
      </c>
      <c r="T557" t="s">
        <v>965</v>
      </c>
      <c r="U557">
        <v>0</v>
      </c>
      <c r="V557">
        <v>76</v>
      </c>
      <c r="W557" t="s">
        <v>1194</v>
      </c>
      <c r="X557" t="s">
        <v>973</v>
      </c>
      <c r="Y557">
        <v>10000</v>
      </c>
      <c r="Z557" s="2" t="s">
        <v>1194</v>
      </c>
      <c r="AA557" s="2">
        <v>1</v>
      </c>
      <c r="AB557">
        <v>5.0000000000000001E-3</v>
      </c>
      <c r="AC557">
        <v>762</v>
      </c>
      <c r="AD557" t="s">
        <v>1279</v>
      </c>
      <c r="AE557">
        <v>3</v>
      </c>
      <c r="AF557" t="s">
        <v>1290</v>
      </c>
      <c r="AG557">
        <v>0</v>
      </c>
      <c r="AH557">
        <v>0</v>
      </c>
      <c r="AI557">
        <v>0</v>
      </c>
      <c r="AJ557">
        <v>1973</v>
      </c>
      <c r="AK557">
        <v>2018</v>
      </c>
      <c r="AL557">
        <v>2000</v>
      </c>
      <c r="AM557" s="4" t="s">
        <v>1238</v>
      </c>
      <c r="AN557">
        <v>0</v>
      </c>
      <c r="AO557" t="s">
        <v>1315</v>
      </c>
      <c r="AP557">
        <f t="shared" si="16"/>
        <v>0</v>
      </c>
      <c r="AQ557">
        <v>1</v>
      </c>
      <c r="AR557" t="s">
        <v>1992</v>
      </c>
      <c r="AS557" t="s">
        <v>1995</v>
      </c>
      <c r="AT557" t="s">
        <v>1995</v>
      </c>
      <c r="AU557" t="s">
        <v>1995</v>
      </c>
      <c r="AV557" t="s">
        <v>1996</v>
      </c>
      <c r="AW557" t="s">
        <v>1996</v>
      </c>
      <c r="AX557" t="s">
        <v>1194</v>
      </c>
      <c r="AY557" t="s">
        <v>1996</v>
      </c>
      <c r="AZ557">
        <v>6500</v>
      </c>
      <c r="BA557">
        <v>3</v>
      </c>
      <c r="BB557" t="s">
        <v>2014</v>
      </c>
      <c r="BC557" s="3">
        <v>0</v>
      </c>
      <c r="BD557" s="3">
        <v>0</v>
      </c>
      <c r="BE557" s="3">
        <v>0</v>
      </c>
      <c r="BF557" s="3">
        <v>937.97</v>
      </c>
      <c r="BG557" s="3">
        <v>175</v>
      </c>
      <c r="BH557" s="3">
        <v>0</v>
      </c>
      <c r="BI557" s="3">
        <v>0</v>
      </c>
      <c r="BJ557" s="3">
        <v>18823.68</v>
      </c>
      <c r="BK557" s="3">
        <v>1430.41</v>
      </c>
      <c r="BL557" s="3">
        <v>20254.09</v>
      </c>
      <c r="BM557" s="2">
        <f t="shared" ca="1" si="17"/>
        <v>5</v>
      </c>
      <c r="BN557" s="3">
        <v>1000000</v>
      </c>
      <c r="BO557" s="3">
        <v>250000</v>
      </c>
      <c r="BP557" s="3">
        <v>50000</v>
      </c>
      <c r="BQ557" s="3">
        <v>2000000</v>
      </c>
      <c r="BR557" s="3">
        <v>250000</v>
      </c>
      <c r="BS557">
        <v>2000000</v>
      </c>
      <c r="BT557">
        <v>0</v>
      </c>
      <c r="BU557">
        <v>0</v>
      </c>
      <c r="BV557">
        <v>0</v>
      </c>
      <c r="BW557">
        <v>1</v>
      </c>
      <c r="BX557">
        <v>1</v>
      </c>
      <c r="BY557">
        <v>0</v>
      </c>
      <c r="BZ557" t="s">
        <v>2958</v>
      </c>
      <c r="CA557" t="s">
        <v>1194</v>
      </c>
      <c r="CB557" t="s">
        <v>2941</v>
      </c>
    </row>
    <row r="558" spans="1:80" x14ac:dyDescent="0.25">
      <c r="A558">
        <v>557</v>
      </c>
      <c r="B558" t="s">
        <v>2571</v>
      </c>
      <c r="C558" s="1">
        <v>44880</v>
      </c>
      <c r="D558">
        <v>12</v>
      </c>
      <c r="E558" t="s">
        <v>4</v>
      </c>
      <c r="F558" t="s">
        <v>1311</v>
      </c>
      <c r="G558">
        <v>1</v>
      </c>
      <c r="H558" s="3">
        <v>0</v>
      </c>
      <c r="I558" s="3">
        <v>0</v>
      </c>
      <c r="J558" s="3">
        <v>412254</v>
      </c>
      <c r="K558" s="3">
        <v>0</v>
      </c>
      <c r="L558" t="s">
        <v>1192</v>
      </c>
      <c r="M558">
        <v>272161</v>
      </c>
      <c r="N558" t="s">
        <v>1337</v>
      </c>
      <c r="P558" t="s">
        <v>1713</v>
      </c>
      <c r="Q558" t="s">
        <v>1253</v>
      </c>
      <c r="R558">
        <v>55346</v>
      </c>
      <c r="S558" t="s">
        <v>1714</v>
      </c>
      <c r="T558" t="s">
        <v>965</v>
      </c>
      <c r="U558">
        <v>0</v>
      </c>
      <c r="V558">
        <v>1</v>
      </c>
      <c r="W558" t="s">
        <v>1194</v>
      </c>
      <c r="X558" t="s">
        <v>973</v>
      </c>
      <c r="Y558">
        <v>10000</v>
      </c>
      <c r="Z558" s="2" t="s">
        <v>1194</v>
      </c>
      <c r="AA558" s="2">
        <v>1</v>
      </c>
      <c r="AB558">
        <v>5.0000000000000001E-3</v>
      </c>
      <c r="AC558">
        <v>916</v>
      </c>
      <c r="AD558" t="s">
        <v>1279</v>
      </c>
      <c r="AE558">
        <v>4</v>
      </c>
      <c r="AF558" t="s">
        <v>1290</v>
      </c>
      <c r="AG558">
        <v>0</v>
      </c>
      <c r="AH558">
        <v>0</v>
      </c>
      <c r="AI558">
        <v>0</v>
      </c>
      <c r="AJ558">
        <v>1995</v>
      </c>
      <c r="AK558" t="s">
        <v>1194</v>
      </c>
      <c r="AL558" t="s">
        <v>1194</v>
      </c>
      <c r="AM558" s="4" t="s">
        <v>1238</v>
      </c>
      <c r="AN558">
        <v>1</v>
      </c>
      <c r="AO558" t="s">
        <v>1315</v>
      </c>
      <c r="AP558">
        <f t="shared" si="16"/>
        <v>0</v>
      </c>
      <c r="AQ558">
        <v>0</v>
      </c>
      <c r="AR558" t="s">
        <v>1993</v>
      </c>
      <c r="AS558" t="s">
        <v>1995</v>
      </c>
      <c r="AT558" t="s">
        <v>1995</v>
      </c>
      <c r="AU558" t="s">
        <v>1996</v>
      </c>
      <c r="AV558" t="s">
        <v>1996</v>
      </c>
      <c r="AW558" t="s">
        <v>1995</v>
      </c>
      <c r="AX558" t="s">
        <v>1194</v>
      </c>
      <c r="AY558" t="s">
        <v>1996</v>
      </c>
      <c r="AZ558">
        <v>2614</v>
      </c>
      <c r="BA558" t="s">
        <v>1194</v>
      </c>
      <c r="BB558" t="s">
        <v>1194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735.21</v>
      </c>
      <c r="BK558" s="3">
        <v>220</v>
      </c>
      <c r="BL558" s="3">
        <v>955.21</v>
      </c>
      <c r="BM558" s="2">
        <f t="shared" ca="1" si="17"/>
        <v>1</v>
      </c>
      <c r="BN558" s="3">
        <v>1000000</v>
      </c>
      <c r="BO558" s="3">
        <v>20000</v>
      </c>
      <c r="BP558" s="3">
        <v>50000</v>
      </c>
      <c r="BQ558" s="3">
        <v>250000</v>
      </c>
      <c r="BR558" s="3" t="s">
        <v>2916</v>
      </c>
      <c r="BS558">
        <v>100000</v>
      </c>
      <c r="BT558">
        <v>0</v>
      </c>
      <c r="BU558">
        <v>0</v>
      </c>
      <c r="BV558">
        <v>0</v>
      </c>
      <c r="BW558">
        <v>1</v>
      </c>
      <c r="BX558">
        <v>1</v>
      </c>
      <c r="BY558">
        <v>0</v>
      </c>
      <c r="BZ558" t="s">
        <v>1194</v>
      </c>
      <c r="CA558" t="s">
        <v>1194</v>
      </c>
      <c r="CB558" t="s">
        <v>1194</v>
      </c>
    </row>
    <row r="559" spans="1:80" x14ac:dyDescent="0.25">
      <c r="A559">
        <v>558</v>
      </c>
      <c r="B559" t="s">
        <v>2572</v>
      </c>
      <c r="C559" s="1">
        <v>44848</v>
      </c>
      <c r="D559">
        <v>33</v>
      </c>
      <c r="E559" t="s">
        <v>4</v>
      </c>
      <c r="F559" t="s">
        <v>1311</v>
      </c>
      <c r="G559">
        <v>1</v>
      </c>
      <c r="H559" s="3">
        <v>776362</v>
      </c>
      <c r="I559" s="3">
        <v>841972</v>
      </c>
      <c r="J559" s="3">
        <v>388182</v>
      </c>
      <c r="K559" s="3">
        <v>155272.4</v>
      </c>
      <c r="L559" t="s">
        <v>1191</v>
      </c>
      <c r="M559">
        <v>165100</v>
      </c>
      <c r="N559" t="s">
        <v>1338</v>
      </c>
      <c r="P559" t="s">
        <v>1715</v>
      </c>
      <c r="Q559" t="s">
        <v>1264</v>
      </c>
      <c r="R559">
        <v>2807</v>
      </c>
      <c r="S559" t="s">
        <v>1716</v>
      </c>
      <c r="T559" t="s">
        <v>1715</v>
      </c>
      <c r="U559">
        <v>0</v>
      </c>
      <c r="V559">
        <v>8</v>
      </c>
      <c r="W559" t="s">
        <v>1194</v>
      </c>
      <c r="X559" t="s">
        <v>973</v>
      </c>
      <c r="Y559">
        <v>10000</v>
      </c>
      <c r="Z559" s="2">
        <v>1.999969087</v>
      </c>
      <c r="AA559" s="2" t="s">
        <v>1238</v>
      </c>
      <c r="AB559" t="s">
        <v>1238</v>
      </c>
      <c r="AC559">
        <v>839</v>
      </c>
      <c r="AD559" t="s">
        <v>1279</v>
      </c>
      <c r="AE559">
        <v>8</v>
      </c>
      <c r="AF559" t="s">
        <v>1290</v>
      </c>
      <c r="AG559">
        <v>0</v>
      </c>
      <c r="AH559">
        <v>0</v>
      </c>
      <c r="AI559">
        <v>0</v>
      </c>
      <c r="AJ559">
        <v>1870</v>
      </c>
      <c r="AK559">
        <v>1997</v>
      </c>
      <c r="AL559" t="s">
        <v>1194</v>
      </c>
      <c r="AM559" s="4" t="s">
        <v>1238</v>
      </c>
      <c r="AN559">
        <v>1</v>
      </c>
      <c r="AO559" t="s">
        <v>1315</v>
      </c>
      <c r="AP559">
        <f t="shared" si="16"/>
        <v>0</v>
      </c>
      <c r="AQ559">
        <v>1</v>
      </c>
      <c r="AR559" t="s">
        <v>1992</v>
      </c>
      <c r="AS559" t="s">
        <v>1996</v>
      </c>
      <c r="AT559" t="s">
        <v>1995</v>
      </c>
      <c r="AU559" t="s">
        <v>1995</v>
      </c>
      <c r="AV559" t="s">
        <v>1996</v>
      </c>
      <c r="AW559" t="s">
        <v>1995</v>
      </c>
      <c r="AX559" t="s">
        <v>2003</v>
      </c>
      <c r="AY559" t="s">
        <v>1996</v>
      </c>
      <c r="AZ559">
        <v>1247</v>
      </c>
      <c r="BA559" t="s">
        <v>1194</v>
      </c>
      <c r="BB559" t="s">
        <v>1194</v>
      </c>
      <c r="BC559" s="3">
        <v>0</v>
      </c>
      <c r="BD559" s="3">
        <v>4199.18</v>
      </c>
      <c r="BE559" s="3">
        <v>0</v>
      </c>
      <c r="BF559" s="3">
        <v>0</v>
      </c>
      <c r="BG559" s="3">
        <v>160</v>
      </c>
      <c r="BH559" s="3">
        <v>0</v>
      </c>
      <c r="BI559" s="3">
        <v>0</v>
      </c>
      <c r="BJ559" s="3">
        <v>13649.83</v>
      </c>
      <c r="BK559" s="3">
        <v>-5</v>
      </c>
      <c r="BL559" s="3">
        <v>13644.83</v>
      </c>
      <c r="BM559" s="2">
        <f t="shared" ca="1" si="17"/>
        <v>4</v>
      </c>
      <c r="BN559" s="3" t="s">
        <v>2916</v>
      </c>
      <c r="BO559" s="3">
        <v>25000</v>
      </c>
      <c r="BP559" s="3" t="s">
        <v>2922</v>
      </c>
      <c r="BQ559" s="3">
        <v>250000</v>
      </c>
      <c r="BR559" s="3">
        <v>50000</v>
      </c>
      <c r="BS559">
        <v>250000</v>
      </c>
      <c r="BT559">
        <v>0</v>
      </c>
      <c r="BU559">
        <v>0</v>
      </c>
      <c r="BV559">
        <v>0</v>
      </c>
      <c r="BW559">
        <v>1</v>
      </c>
      <c r="BX559">
        <v>1</v>
      </c>
      <c r="BY559">
        <v>1</v>
      </c>
      <c r="BZ559" t="s">
        <v>2949</v>
      </c>
      <c r="CA559" t="s">
        <v>1194</v>
      </c>
      <c r="CB559" t="s">
        <v>2941</v>
      </c>
    </row>
    <row r="560" spans="1:80" x14ac:dyDescent="0.25">
      <c r="A560">
        <v>559</v>
      </c>
      <c r="B560" t="s">
        <v>2573</v>
      </c>
      <c r="C560" s="1">
        <v>44740</v>
      </c>
      <c r="D560">
        <v>39</v>
      </c>
      <c r="E560" t="s">
        <v>5</v>
      </c>
      <c r="F560" t="s">
        <v>1310</v>
      </c>
      <c r="G560">
        <v>1</v>
      </c>
      <c r="H560" s="3">
        <v>4705635</v>
      </c>
      <c r="I560" s="3">
        <v>872500</v>
      </c>
      <c r="J560" s="3">
        <v>2180000</v>
      </c>
      <c r="K560" s="3">
        <v>0</v>
      </c>
      <c r="L560" t="s">
        <v>1191</v>
      </c>
      <c r="M560">
        <v>1691621</v>
      </c>
      <c r="N560" t="s">
        <v>1339</v>
      </c>
      <c r="P560" t="s">
        <v>1717</v>
      </c>
      <c r="Q560" t="s">
        <v>1258</v>
      </c>
      <c r="R560">
        <v>87501</v>
      </c>
      <c r="S560" t="s">
        <v>1717</v>
      </c>
      <c r="T560" t="s">
        <v>965</v>
      </c>
      <c r="U560">
        <v>0</v>
      </c>
      <c r="V560">
        <v>2</v>
      </c>
      <c r="W560" t="s">
        <v>1194</v>
      </c>
      <c r="X560" t="s">
        <v>973</v>
      </c>
      <c r="Y560">
        <v>10000</v>
      </c>
      <c r="Z560" s="2" t="s">
        <v>1194</v>
      </c>
      <c r="AA560" s="2" t="s">
        <v>1238</v>
      </c>
      <c r="AB560" t="s">
        <v>1238</v>
      </c>
      <c r="AC560">
        <v>766</v>
      </c>
      <c r="AD560" t="s">
        <v>1279</v>
      </c>
      <c r="AE560">
        <v>5</v>
      </c>
      <c r="AF560" t="s">
        <v>1290</v>
      </c>
      <c r="AG560">
        <v>0</v>
      </c>
      <c r="AH560">
        <v>0</v>
      </c>
      <c r="AI560">
        <v>0</v>
      </c>
      <c r="AJ560">
        <v>2012</v>
      </c>
      <c r="AK560" t="s">
        <v>1194</v>
      </c>
      <c r="AL560" t="s">
        <v>1194</v>
      </c>
      <c r="AM560" s="4" t="s">
        <v>1304</v>
      </c>
      <c r="AN560">
        <v>0</v>
      </c>
      <c r="AO560" t="s">
        <v>1317</v>
      </c>
      <c r="AP560">
        <f t="shared" si="16"/>
        <v>0</v>
      </c>
      <c r="AQ560">
        <v>1</v>
      </c>
      <c r="AR560" t="s">
        <v>1992</v>
      </c>
      <c r="AS560" t="s">
        <v>1996</v>
      </c>
      <c r="AT560" t="s">
        <v>1995</v>
      </c>
      <c r="AU560" t="s">
        <v>1996</v>
      </c>
      <c r="AV560" t="s">
        <v>1995</v>
      </c>
      <c r="AW560" t="s">
        <v>1995</v>
      </c>
      <c r="AX560" t="s">
        <v>1194</v>
      </c>
      <c r="AY560" t="s">
        <v>1996</v>
      </c>
      <c r="AZ560">
        <v>6311</v>
      </c>
      <c r="BA560">
        <v>1</v>
      </c>
      <c r="BB560" t="s">
        <v>2018</v>
      </c>
      <c r="BC560" s="3">
        <v>0</v>
      </c>
      <c r="BD560" s="3">
        <v>6311.65</v>
      </c>
      <c r="BE560" s="3">
        <v>0</v>
      </c>
      <c r="BF560" s="3">
        <v>6311.65</v>
      </c>
      <c r="BG560" s="3">
        <v>150</v>
      </c>
      <c r="BH560" s="3">
        <v>0</v>
      </c>
      <c r="BI560" s="3">
        <v>0</v>
      </c>
      <c r="BJ560" s="3">
        <v>18454.060000000001</v>
      </c>
      <c r="BK560" s="3">
        <v>581</v>
      </c>
      <c r="BL560" s="3">
        <v>19035.060000000001</v>
      </c>
      <c r="BM560" s="2">
        <f t="shared" ca="1" si="17"/>
        <v>5</v>
      </c>
      <c r="BN560" s="3" t="s">
        <v>2916</v>
      </c>
      <c r="BO560" s="3">
        <v>100000</v>
      </c>
      <c r="BP560" s="3" t="s">
        <v>2922</v>
      </c>
      <c r="BQ560" s="3">
        <v>50000</v>
      </c>
      <c r="BR560" s="3">
        <v>250000</v>
      </c>
      <c r="BS560">
        <v>50000</v>
      </c>
      <c r="BT560">
        <v>0</v>
      </c>
      <c r="BU560">
        <v>0</v>
      </c>
      <c r="BV560">
        <v>0</v>
      </c>
      <c r="BW560">
        <v>1</v>
      </c>
      <c r="BX560">
        <v>1</v>
      </c>
      <c r="BY560">
        <v>0</v>
      </c>
      <c r="BZ560" t="s">
        <v>2949</v>
      </c>
      <c r="CA560" t="s">
        <v>1194</v>
      </c>
      <c r="CB560" t="s">
        <v>2952</v>
      </c>
    </row>
    <row r="561" spans="1:80" x14ac:dyDescent="0.25">
      <c r="A561">
        <v>560</v>
      </c>
      <c r="B561" t="s">
        <v>2574</v>
      </c>
      <c r="C561" s="1">
        <v>44941</v>
      </c>
      <c r="D561">
        <v>12</v>
      </c>
      <c r="E561" t="s">
        <v>4</v>
      </c>
      <c r="F561" t="s">
        <v>1311</v>
      </c>
      <c r="G561">
        <v>0</v>
      </c>
      <c r="H561" s="3">
        <v>1544530</v>
      </c>
      <c r="I561" s="3">
        <v>221706</v>
      </c>
      <c r="J561" s="3">
        <v>554265</v>
      </c>
      <c r="K561" s="3">
        <v>0</v>
      </c>
      <c r="L561" t="s">
        <v>1191</v>
      </c>
      <c r="M561">
        <v>1699175</v>
      </c>
      <c r="N561" t="s">
        <v>1340</v>
      </c>
      <c r="P561" t="s">
        <v>1718</v>
      </c>
      <c r="Q561" t="s">
        <v>1260</v>
      </c>
      <c r="R561">
        <v>43221</v>
      </c>
      <c r="S561" t="s">
        <v>105</v>
      </c>
      <c r="T561" t="s">
        <v>965</v>
      </c>
      <c r="U561">
        <v>0</v>
      </c>
      <c r="V561">
        <v>2</v>
      </c>
      <c r="W561" t="s">
        <v>1194</v>
      </c>
      <c r="X561" t="s">
        <v>973</v>
      </c>
      <c r="Y561">
        <v>10000</v>
      </c>
      <c r="Z561" s="2" t="s">
        <v>1194</v>
      </c>
      <c r="AA561" s="2">
        <v>1</v>
      </c>
      <c r="AB561" t="s">
        <v>1277</v>
      </c>
      <c r="AC561">
        <v>799</v>
      </c>
      <c r="AD561" t="s">
        <v>1284</v>
      </c>
      <c r="AE561">
        <v>2</v>
      </c>
      <c r="AF561" t="s">
        <v>1290</v>
      </c>
      <c r="AG561">
        <v>0</v>
      </c>
      <c r="AH561">
        <v>0</v>
      </c>
      <c r="AI561">
        <v>0</v>
      </c>
      <c r="AJ561">
        <v>1941</v>
      </c>
      <c r="AK561">
        <v>2006</v>
      </c>
      <c r="AL561">
        <v>2006</v>
      </c>
      <c r="AM561" s="4" t="s">
        <v>1238</v>
      </c>
      <c r="AN561">
        <v>0</v>
      </c>
      <c r="AO561" t="s">
        <v>1317</v>
      </c>
      <c r="AP561">
        <f t="shared" si="16"/>
        <v>0</v>
      </c>
      <c r="AQ561">
        <v>0</v>
      </c>
      <c r="AR561" t="s">
        <v>1993</v>
      </c>
      <c r="AS561" t="s">
        <v>1995</v>
      </c>
      <c r="AT561" t="s">
        <v>1996</v>
      </c>
      <c r="AU561" t="s">
        <v>1995</v>
      </c>
      <c r="AV561" t="s">
        <v>1996</v>
      </c>
      <c r="AW561" t="s">
        <v>1995</v>
      </c>
      <c r="AX561" t="s">
        <v>1194</v>
      </c>
      <c r="AY561" t="s">
        <v>1996</v>
      </c>
      <c r="AZ561">
        <v>2905</v>
      </c>
      <c r="BA561" t="s">
        <v>1194</v>
      </c>
      <c r="BB561" t="s">
        <v>1194</v>
      </c>
      <c r="BC561" s="3">
        <v>0</v>
      </c>
      <c r="BD561" s="3">
        <v>0</v>
      </c>
      <c r="BE561" s="3">
        <v>0</v>
      </c>
      <c r="BF561" s="3">
        <v>0</v>
      </c>
      <c r="BG561" s="3">
        <v>210</v>
      </c>
      <c r="BH561" s="3">
        <v>0</v>
      </c>
      <c r="BI561" s="3">
        <v>0</v>
      </c>
      <c r="BJ561" s="3">
        <v>3895.91</v>
      </c>
      <c r="BK561" s="3">
        <v>573.36</v>
      </c>
      <c r="BL561" s="3">
        <v>4469.2700000000004</v>
      </c>
      <c r="BM561" s="2">
        <f t="shared" ca="1" si="17"/>
        <v>4</v>
      </c>
      <c r="BN561" s="3" t="s">
        <v>2916</v>
      </c>
      <c r="BO561" s="3">
        <v>20000</v>
      </c>
      <c r="BP561" s="3">
        <v>100000</v>
      </c>
      <c r="BQ561" s="3">
        <v>25000</v>
      </c>
      <c r="BR561" s="3">
        <v>1000000</v>
      </c>
      <c r="BS561">
        <v>100000</v>
      </c>
      <c r="BT561">
        <v>0</v>
      </c>
      <c r="BU561">
        <v>1</v>
      </c>
      <c r="BV561">
        <v>0</v>
      </c>
      <c r="BW561">
        <v>1</v>
      </c>
      <c r="BX561">
        <v>1</v>
      </c>
      <c r="BY561">
        <v>0</v>
      </c>
      <c r="BZ561" t="s">
        <v>2958</v>
      </c>
      <c r="CA561" t="s">
        <v>1194</v>
      </c>
      <c r="CB561" t="s">
        <v>2945</v>
      </c>
    </row>
    <row r="562" spans="1:80" x14ac:dyDescent="0.25">
      <c r="A562">
        <v>561</v>
      </c>
      <c r="B562" t="s">
        <v>2575</v>
      </c>
      <c r="C562" s="1">
        <v>44949</v>
      </c>
      <c r="D562">
        <v>12</v>
      </c>
      <c r="E562" t="s">
        <v>4</v>
      </c>
      <c r="F562" t="s">
        <v>1311</v>
      </c>
      <c r="G562">
        <v>0</v>
      </c>
      <c r="H562" s="3">
        <v>1716750</v>
      </c>
      <c r="I562" s="3">
        <v>84121</v>
      </c>
      <c r="J562" s="3">
        <v>240345</v>
      </c>
      <c r="K562" s="3">
        <v>0</v>
      </c>
      <c r="L562" t="s">
        <v>1191</v>
      </c>
      <c r="M562">
        <v>1397207</v>
      </c>
      <c r="N562" t="s">
        <v>1341</v>
      </c>
      <c r="P562" t="s">
        <v>1719</v>
      </c>
      <c r="Q562" t="s">
        <v>1269</v>
      </c>
      <c r="R562">
        <v>5360</v>
      </c>
      <c r="S562" t="s">
        <v>504</v>
      </c>
      <c r="T562" t="s">
        <v>965</v>
      </c>
      <c r="U562">
        <v>0</v>
      </c>
      <c r="V562">
        <v>1</v>
      </c>
      <c r="W562" t="s">
        <v>1194</v>
      </c>
      <c r="X562" t="s">
        <v>973</v>
      </c>
      <c r="Y562">
        <v>10000</v>
      </c>
      <c r="Z562" s="2" t="s">
        <v>1194</v>
      </c>
      <c r="AA562" s="2">
        <v>1</v>
      </c>
      <c r="AB562">
        <v>0.02</v>
      </c>
      <c r="AC562">
        <v>707</v>
      </c>
      <c r="AD562" t="s">
        <v>1279</v>
      </c>
      <c r="AE562">
        <v>10</v>
      </c>
      <c r="AF562" t="s">
        <v>1290</v>
      </c>
      <c r="AG562">
        <v>0</v>
      </c>
      <c r="AH562">
        <v>0</v>
      </c>
      <c r="AI562">
        <v>0</v>
      </c>
      <c r="AJ562">
        <v>1982</v>
      </c>
      <c r="AK562" t="s">
        <v>1194</v>
      </c>
      <c r="AL562" t="s">
        <v>1194</v>
      </c>
      <c r="AM562" s="4" t="s">
        <v>1238</v>
      </c>
      <c r="AN562">
        <v>0</v>
      </c>
      <c r="AO562" t="s">
        <v>1316</v>
      </c>
      <c r="AP562">
        <f t="shared" si="16"/>
        <v>0</v>
      </c>
      <c r="AQ562">
        <v>1</v>
      </c>
      <c r="AR562" t="s">
        <v>1992</v>
      </c>
      <c r="AS562" t="s">
        <v>1996</v>
      </c>
      <c r="AT562" t="s">
        <v>1995</v>
      </c>
      <c r="AU562" t="s">
        <v>1995</v>
      </c>
      <c r="AV562" t="s">
        <v>1996</v>
      </c>
      <c r="AW562" t="s">
        <v>1996</v>
      </c>
      <c r="AX562" t="s">
        <v>1194</v>
      </c>
      <c r="AY562" t="s">
        <v>1996</v>
      </c>
      <c r="AZ562">
        <v>1548</v>
      </c>
      <c r="BA562" t="s">
        <v>1194</v>
      </c>
      <c r="BB562" t="s">
        <v>1194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10591.43</v>
      </c>
      <c r="BK562" s="3">
        <v>-15</v>
      </c>
      <c r="BL562" s="3">
        <v>10576.43</v>
      </c>
      <c r="BM562" s="2">
        <f t="shared" ca="1" si="17"/>
        <v>2</v>
      </c>
      <c r="BN562" s="3">
        <v>100000</v>
      </c>
      <c r="BO562" s="3">
        <v>50000</v>
      </c>
      <c r="BP562" s="3">
        <v>50000</v>
      </c>
      <c r="BQ562" s="3">
        <v>50000</v>
      </c>
      <c r="BR562" s="3">
        <v>500000</v>
      </c>
      <c r="BS562">
        <v>250000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 t="s">
        <v>2949</v>
      </c>
      <c r="CA562" t="s">
        <v>1194</v>
      </c>
      <c r="CB562" t="s">
        <v>2941</v>
      </c>
    </row>
    <row r="563" spans="1:80" x14ac:dyDescent="0.25">
      <c r="A563">
        <v>562</v>
      </c>
      <c r="B563" t="s">
        <v>2576</v>
      </c>
      <c r="C563" s="1">
        <v>44827</v>
      </c>
      <c r="D563">
        <v>12</v>
      </c>
      <c r="E563" t="s">
        <v>4</v>
      </c>
      <c r="F563" t="s">
        <v>1311</v>
      </c>
      <c r="G563">
        <v>0</v>
      </c>
      <c r="H563" s="3">
        <v>1000000</v>
      </c>
      <c r="I563" s="3">
        <v>10000</v>
      </c>
      <c r="J563" s="3">
        <v>50000</v>
      </c>
      <c r="K563" s="3">
        <v>200000</v>
      </c>
      <c r="L563" t="s">
        <v>1191</v>
      </c>
      <c r="M563">
        <v>1994048</v>
      </c>
      <c r="N563" t="s">
        <v>1342</v>
      </c>
      <c r="P563" t="s">
        <v>1720</v>
      </c>
      <c r="Q563" t="s">
        <v>1253</v>
      </c>
      <c r="R563">
        <v>55340</v>
      </c>
      <c r="S563" t="s">
        <v>1714</v>
      </c>
      <c r="T563" t="s">
        <v>965</v>
      </c>
      <c r="U563">
        <v>0</v>
      </c>
      <c r="V563">
        <v>1</v>
      </c>
      <c r="W563" t="s">
        <v>1194</v>
      </c>
      <c r="X563" t="s">
        <v>973</v>
      </c>
      <c r="Y563">
        <v>2500</v>
      </c>
      <c r="Z563" s="2" t="s">
        <v>1194</v>
      </c>
      <c r="AA563" s="2">
        <v>1</v>
      </c>
      <c r="AB563">
        <v>0.03</v>
      </c>
      <c r="AC563">
        <v>743</v>
      </c>
      <c r="AD563" t="s">
        <v>1279</v>
      </c>
      <c r="AE563">
        <v>4</v>
      </c>
      <c r="AF563" t="s">
        <v>1290</v>
      </c>
      <c r="AG563">
        <v>0</v>
      </c>
      <c r="AH563">
        <v>0</v>
      </c>
      <c r="AI563">
        <v>0</v>
      </c>
      <c r="AJ563">
        <v>2022</v>
      </c>
      <c r="AK563">
        <v>2022</v>
      </c>
      <c r="AL563">
        <v>2022</v>
      </c>
      <c r="AM563" s="4" t="s">
        <v>1238</v>
      </c>
      <c r="AN563">
        <v>1</v>
      </c>
      <c r="AO563" t="s">
        <v>1315</v>
      </c>
      <c r="AP563">
        <f t="shared" si="16"/>
        <v>0</v>
      </c>
      <c r="AQ563">
        <v>0</v>
      </c>
      <c r="AR563" t="s">
        <v>1993</v>
      </c>
      <c r="AS563" t="s">
        <v>1995</v>
      </c>
      <c r="AT563" t="s">
        <v>1996</v>
      </c>
      <c r="AU563" t="s">
        <v>1995</v>
      </c>
      <c r="AV563" t="s">
        <v>1996</v>
      </c>
      <c r="AW563" t="s">
        <v>1995</v>
      </c>
      <c r="AX563" t="s">
        <v>1194</v>
      </c>
      <c r="AY563" t="s">
        <v>1996</v>
      </c>
      <c r="AZ563">
        <v>3508</v>
      </c>
      <c r="BA563" t="s">
        <v>1194</v>
      </c>
      <c r="BB563" t="s">
        <v>1194</v>
      </c>
      <c r="BC563" s="3">
        <v>0</v>
      </c>
      <c r="BD563" s="3">
        <v>0</v>
      </c>
      <c r="BE563" s="3">
        <v>0</v>
      </c>
      <c r="BF563" s="3">
        <v>0</v>
      </c>
      <c r="BG563" s="3">
        <v>150</v>
      </c>
      <c r="BH563" s="3">
        <v>0</v>
      </c>
      <c r="BI563" s="3">
        <v>0</v>
      </c>
      <c r="BJ563" s="3">
        <v>2672.31</v>
      </c>
      <c r="BK563" s="3">
        <v>125</v>
      </c>
      <c r="BL563" s="3">
        <v>2797.31</v>
      </c>
      <c r="BM563" s="2">
        <f t="shared" ca="1" si="17"/>
        <v>1</v>
      </c>
      <c r="BN563" s="3">
        <v>250000</v>
      </c>
      <c r="BO563" s="3">
        <v>500000</v>
      </c>
      <c r="BP563" s="3">
        <v>50000</v>
      </c>
      <c r="BQ563" s="3">
        <v>50000</v>
      </c>
      <c r="BR563" s="3">
        <v>50000</v>
      </c>
      <c r="BS563">
        <v>250000</v>
      </c>
      <c r="BT563">
        <v>0</v>
      </c>
      <c r="BU563">
        <v>0</v>
      </c>
      <c r="BV563">
        <v>0</v>
      </c>
      <c r="BW563">
        <v>1</v>
      </c>
      <c r="BX563">
        <v>1</v>
      </c>
      <c r="BY563">
        <v>0</v>
      </c>
      <c r="BZ563" t="s">
        <v>2958</v>
      </c>
      <c r="CA563" t="s">
        <v>1194</v>
      </c>
      <c r="CB563" t="s">
        <v>2941</v>
      </c>
    </row>
    <row r="564" spans="1:80" x14ac:dyDescent="0.25">
      <c r="A564">
        <v>563</v>
      </c>
      <c r="B564" t="s">
        <v>2577</v>
      </c>
      <c r="C564" s="1">
        <v>44801</v>
      </c>
      <c r="D564">
        <v>12</v>
      </c>
      <c r="E564" t="s">
        <v>4</v>
      </c>
      <c r="F564" t="s">
        <v>1311</v>
      </c>
      <c r="G564">
        <v>0</v>
      </c>
      <c r="H564" s="3">
        <v>1462276</v>
      </c>
      <c r="I564" s="3">
        <v>126173</v>
      </c>
      <c r="J564" s="3">
        <v>315432</v>
      </c>
      <c r="K564" s="3">
        <v>0</v>
      </c>
      <c r="L564" t="s">
        <v>1191</v>
      </c>
      <c r="M564">
        <v>1311506</v>
      </c>
      <c r="N564" t="s">
        <v>1343</v>
      </c>
      <c r="P564" t="s">
        <v>1721</v>
      </c>
      <c r="Q564" t="s">
        <v>1252</v>
      </c>
      <c r="R564">
        <v>49712</v>
      </c>
      <c r="S564" t="s">
        <v>1722</v>
      </c>
      <c r="T564" t="s">
        <v>965</v>
      </c>
      <c r="U564">
        <v>0</v>
      </c>
      <c r="V564">
        <v>1</v>
      </c>
      <c r="W564" t="s">
        <v>1194</v>
      </c>
      <c r="X564" t="s">
        <v>973</v>
      </c>
      <c r="Y564">
        <v>10000</v>
      </c>
      <c r="Z564" s="2" t="s">
        <v>1194</v>
      </c>
      <c r="AA564" s="2">
        <v>1</v>
      </c>
      <c r="AB564">
        <v>5.0000000000000001E-3</v>
      </c>
      <c r="AC564">
        <v>691</v>
      </c>
      <c r="AD564" t="s">
        <v>1279</v>
      </c>
      <c r="AE564">
        <v>6</v>
      </c>
      <c r="AF564" t="s">
        <v>1290</v>
      </c>
      <c r="AG564">
        <v>0</v>
      </c>
      <c r="AH564">
        <v>0</v>
      </c>
      <c r="AI564">
        <v>0</v>
      </c>
      <c r="AJ564">
        <v>1978</v>
      </c>
      <c r="AK564" t="s">
        <v>1194</v>
      </c>
      <c r="AL564" t="s">
        <v>1194</v>
      </c>
      <c r="AM564" s="4" t="s">
        <v>1238</v>
      </c>
      <c r="AN564">
        <v>0</v>
      </c>
      <c r="AO564" t="s">
        <v>1315</v>
      </c>
      <c r="AP564">
        <f t="shared" si="16"/>
        <v>0</v>
      </c>
      <c r="AQ564">
        <v>0</v>
      </c>
      <c r="AR564" t="s">
        <v>1993</v>
      </c>
      <c r="AS564" t="s">
        <v>1995</v>
      </c>
      <c r="AT564" t="s">
        <v>1996</v>
      </c>
      <c r="AU564" t="s">
        <v>1996</v>
      </c>
      <c r="AV564" t="s">
        <v>1995</v>
      </c>
      <c r="AW564" t="s">
        <v>1996</v>
      </c>
      <c r="AX564" t="s">
        <v>1194</v>
      </c>
      <c r="AY564" t="s">
        <v>1996</v>
      </c>
      <c r="AZ564">
        <v>1435</v>
      </c>
      <c r="BA564" t="s">
        <v>1194</v>
      </c>
      <c r="BB564" t="s">
        <v>1194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6668.57</v>
      </c>
      <c r="BK564" s="3">
        <v>235</v>
      </c>
      <c r="BL564" s="3">
        <v>6903.57</v>
      </c>
      <c r="BM564" s="2">
        <f t="shared" ca="1" si="17"/>
        <v>4</v>
      </c>
      <c r="BN564" s="3">
        <v>1000000</v>
      </c>
      <c r="BO564" s="3">
        <v>25000</v>
      </c>
      <c r="BP564" s="3">
        <v>100000</v>
      </c>
      <c r="BQ564" s="3">
        <v>50000</v>
      </c>
      <c r="BR564" s="3">
        <v>250000</v>
      </c>
      <c r="BS564" t="s">
        <v>2916</v>
      </c>
      <c r="BT564">
        <v>0</v>
      </c>
      <c r="BU564">
        <v>0</v>
      </c>
      <c r="BV564">
        <v>0</v>
      </c>
      <c r="BW564">
        <v>1</v>
      </c>
      <c r="BX564">
        <v>1</v>
      </c>
      <c r="BY564">
        <v>0</v>
      </c>
      <c r="BZ564" t="s">
        <v>2958</v>
      </c>
      <c r="CA564" t="s">
        <v>1194</v>
      </c>
      <c r="CB564" t="s">
        <v>2945</v>
      </c>
    </row>
    <row r="565" spans="1:80" x14ac:dyDescent="0.25">
      <c r="A565">
        <v>564</v>
      </c>
      <c r="B565" t="s">
        <v>2578</v>
      </c>
      <c r="C565" s="1">
        <v>44865</v>
      </c>
      <c r="D565">
        <v>12</v>
      </c>
      <c r="E565" t="s">
        <v>4</v>
      </c>
      <c r="F565" t="s">
        <v>1311</v>
      </c>
      <c r="G565">
        <v>1</v>
      </c>
      <c r="H565" s="3">
        <v>3012189</v>
      </c>
      <c r="I565" s="3">
        <v>85749</v>
      </c>
      <c r="J565" s="3">
        <v>659609</v>
      </c>
      <c r="K565" s="3">
        <v>0</v>
      </c>
      <c r="L565" t="s">
        <v>1191</v>
      </c>
      <c r="M565">
        <v>70320</v>
      </c>
      <c r="N565" t="s">
        <v>1344</v>
      </c>
      <c r="P565" t="s">
        <v>1717</v>
      </c>
      <c r="Q565" t="s">
        <v>1258</v>
      </c>
      <c r="R565">
        <v>87506</v>
      </c>
      <c r="S565" t="s">
        <v>1717</v>
      </c>
      <c r="T565" t="s">
        <v>965</v>
      </c>
      <c r="U565">
        <v>0</v>
      </c>
      <c r="V565">
        <v>2</v>
      </c>
      <c r="W565" t="s">
        <v>1194</v>
      </c>
      <c r="X565" t="s">
        <v>973</v>
      </c>
      <c r="Y565">
        <v>10000</v>
      </c>
      <c r="Z565" s="2" t="s">
        <v>1194</v>
      </c>
      <c r="AA565" s="2" t="s">
        <v>1238</v>
      </c>
      <c r="AB565" t="s">
        <v>1238</v>
      </c>
      <c r="AC565">
        <v>650</v>
      </c>
      <c r="AD565" t="s">
        <v>1279</v>
      </c>
      <c r="AE565">
        <v>5</v>
      </c>
      <c r="AF565" t="s">
        <v>1290</v>
      </c>
      <c r="AG565">
        <v>0</v>
      </c>
      <c r="AH565">
        <v>0</v>
      </c>
      <c r="AI565">
        <v>0</v>
      </c>
      <c r="AJ565">
        <v>1987</v>
      </c>
      <c r="AK565" t="s">
        <v>1194</v>
      </c>
      <c r="AL565" t="s">
        <v>1194</v>
      </c>
      <c r="AM565" s="4" t="s">
        <v>1238</v>
      </c>
      <c r="AN565">
        <v>1</v>
      </c>
      <c r="AO565" t="s">
        <v>1316</v>
      </c>
      <c r="AP565">
        <f t="shared" si="16"/>
        <v>0</v>
      </c>
      <c r="AQ565">
        <v>1</v>
      </c>
      <c r="AR565" t="s">
        <v>1992</v>
      </c>
      <c r="AS565" t="s">
        <v>1996</v>
      </c>
      <c r="AT565" t="s">
        <v>1995</v>
      </c>
      <c r="AU565" t="s">
        <v>1995</v>
      </c>
      <c r="AV565" t="s">
        <v>1996</v>
      </c>
      <c r="AW565" t="s">
        <v>1996</v>
      </c>
      <c r="AX565" t="s">
        <v>1194</v>
      </c>
      <c r="AY565" t="s">
        <v>1996</v>
      </c>
      <c r="AZ565">
        <v>5079</v>
      </c>
      <c r="BA565">
        <v>3</v>
      </c>
      <c r="BB565" t="s">
        <v>2018</v>
      </c>
      <c r="BC565" s="3">
        <v>0</v>
      </c>
      <c r="BD565" s="3">
        <v>3365.54</v>
      </c>
      <c r="BE565" s="3">
        <v>0</v>
      </c>
      <c r="BF565" s="3">
        <v>3365.54</v>
      </c>
      <c r="BG565" s="3">
        <v>0</v>
      </c>
      <c r="BH565" s="3">
        <v>0</v>
      </c>
      <c r="BI565" s="3">
        <v>0</v>
      </c>
      <c r="BJ565" s="3">
        <v>12634.34</v>
      </c>
      <c r="BK565" s="3">
        <v>-15</v>
      </c>
      <c r="BL565" s="3">
        <v>12619.34</v>
      </c>
      <c r="BM565" s="2">
        <f t="shared" ca="1" si="17"/>
        <v>3</v>
      </c>
      <c r="BN565" s="3" t="s">
        <v>2916</v>
      </c>
      <c r="BO565" s="3">
        <v>2000000</v>
      </c>
      <c r="BP565" s="3">
        <v>50000</v>
      </c>
      <c r="BQ565" s="3">
        <v>50000</v>
      </c>
      <c r="BR565" s="3">
        <v>50000</v>
      </c>
      <c r="BS565">
        <v>250000</v>
      </c>
      <c r="BT565">
        <v>0</v>
      </c>
      <c r="BU565">
        <v>0</v>
      </c>
      <c r="BV565">
        <v>0</v>
      </c>
      <c r="BW565">
        <v>1</v>
      </c>
      <c r="BX565">
        <v>1</v>
      </c>
      <c r="BY565">
        <v>0</v>
      </c>
      <c r="BZ565" t="s">
        <v>2949</v>
      </c>
      <c r="CA565" t="s">
        <v>1194</v>
      </c>
      <c r="CB565" t="s">
        <v>2952</v>
      </c>
    </row>
    <row r="566" spans="1:80" x14ac:dyDescent="0.25">
      <c r="A566">
        <v>565</v>
      </c>
      <c r="B566" t="s">
        <v>2579</v>
      </c>
      <c r="C566" s="1">
        <v>44835</v>
      </c>
      <c r="D566">
        <v>12</v>
      </c>
      <c r="E566" t="s">
        <v>5</v>
      </c>
      <c r="F566" t="s">
        <v>1310</v>
      </c>
      <c r="G566">
        <v>1</v>
      </c>
      <c r="H566" s="3">
        <v>10035938</v>
      </c>
      <c r="I566" s="3">
        <v>1159885</v>
      </c>
      <c r="J566" s="3">
        <v>5530217</v>
      </c>
      <c r="K566" s="3">
        <v>2007187.6</v>
      </c>
      <c r="L566" t="s">
        <v>1191</v>
      </c>
      <c r="M566">
        <v>76798</v>
      </c>
      <c r="N566" t="s">
        <v>1345</v>
      </c>
      <c r="P566" t="s">
        <v>1723</v>
      </c>
      <c r="Q566" t="s">
        <v>1252</v>
      </c>
      <c r="R566">
        <v>49301</v>
      </c>
      <c r="S566" t="s">
        <v>1724</v>
      </c>
      <c r="T566" t="s">
        <v>965</v>
      </c>
      <c r="U566">
        <v>0</v>
      </c>
      <c r="V566">
        <v>8</v>
      </c>
      <c r="W566" t="s">
        <v>1194</v>
      </c>
      <c r="X566" t="s">
        <v>973</v>
      </c>
      <c r="Y566">
        <v>10000</v>
      </c>
      <c r="Z566" s="2" t="s">
        <v>1194</v>
      </c>
      <c r="AA566" s="2">
        <v>1</v>
      </c>
      <c r="AB566">
        <v>5.0000000000000001E-3</v>
      </c>
      <c r="AC566">
        <v>861</v>
      </c>
      <c r="AD566" t="s">
        <v>1284</v>
      </c>
      <c r="AE566">
        <v>5</v>
      </c>
      <c r="AF566" t="s">
        <v>1290</v>
      </c>
      <c r="AG566">
        <v>0</v>
      </c>
      <c r="AH566">
        <v>0</v>
      </c>
      <c r="AI566">
        <v>0</v>
      </c>
      <c r="AJ566">
        <v>2005</v>
      </c>
      <c r="AK566" t="s">
        <v>1194</v>
      </c>
      <c r="AL566" t="s">
        <v>1194</v>
      </c>
      <c r="AM566" s="4" t="s">
        <v>1305</v>
      </c>
      <c r="AN566">
        <v>1</v>
      </c>
      <c r="AO566" t="s">
        <v>1316</v>
      </c>
      <c r="AP566">
        <f t="shared" si="16"/>
        <v>0</v>
      </c>
      <c r="AQ566">
        <v>0</v>
      </c>
      <c r="AR566" t="s">
        <v>1993</v>
      </c>
      <c r="AS566" t="s">
        <v>1996</v>
      </c>
      <c r="AT566" t="s">
        <v>1995</v>
      </c>
      <c r="AU566" t="s">
        <v>1996</v>
      </c>
      <c r="AV566" t="s">
        <v>1996</v>
      </c>
      <c r="AW566" t="s">
        <v>1996</v>
      </c>
      <c r="AX566" t="s">
        <v>1194</v>
      </c>
      <c r="AY566" t="s">
        <v>1996</v>
      </c>
      <c r="AZ566">
        <v>10840</v>
      </c>
      <c r="BA566" t="s">
        <v>1194</v>
      </c>
      <c r="BB566" t="s">
        <v>1194</v>
      </c>
      <c r="BC566" s="3">
        <v>0</v>
      </c>
      <c r="BD566" s="3">
        <v>0</v>
      </c>
      <c r="BE566" s="3">
        <v>0</v>
      </c>
      <c r="BF566" s="3">
        <v>0</v>
      </c>
      <c r="BG566" s="3">
        <v>200</v>
      </c>
      <c r="BH566" s="3">
        <v>0</v>
      </c>
      <c r="BI566" s="3">
        <v>0</v>
      </c>
      <c r="BJ566" s="3">
        <v>12544.21</v>
      </c>
      <c r="BK566" s="3">
        <v>1414.59</v>
      </c>
      <c r="BL566" s="3">
        <v>13958.8</v>
      </c>
      <c r="BM566" s="2">
        <f t="shared" ca="1" si="17"/>
        <v>6</v>
      </c>
      <c r="BN566" s="3">
        <v>100000</v>
      </c>
      <c r="BO566" s="3">
        <v>1000000</v>
      </c>
      <c r="BP566" s="3">
        <v>50000</v>
      </c>
      <c r="BQ566" s="3">
        <v>1000000</v>
      </c>
      <c r="BR566" s="3">
        <v>500000</v>
      </c>
      <c r="BS566">
        <v>250000</v>
      </c>
      <c r="BT566">
        <v>0</v>
      </c>
      <c r="BU566">
        <v>0</v>
      </c>
      <c r="BV566">
        <v>1</v>
      </c>
      <c r="BW566">
        <v>0</v>
      </c>
      <c r="BX566">
        <v>0</v>
      </c>
      <c r="BY566">
        <v>0</v>
      </c>
      <c r="BZ566" t="s">
        <v>2958</v>
      </c>
      <c r="CA566" t="s">
        <v>1194</v>
      </c>
      <c r="CB566" t="s">
        <v>2949</v>
      </c>
    </row>
    <row r="567" spans="1:80" x14ac:dyDescent="0.25">
      <c r="A567">
        <v>566</v>
      </c>
      <c r="B567" t="s">
        <v>2580</v>
      </c>
      <c r="C567" s="1">
        <v>44842</v>
      </c>
      <c r="D567">
        <v>12</v>
      </c>
      <c r="E567" t="s">
        <v>4</v>
      </c>
      <c r="F567" t="s">
        <v>1311</v>
      </c>
      <c r="G567">
        <v>1</v>
      </c>
      <c r="H567" s="3">
        <v>572610</v>
      </c>
      <c r="I567" s="3">
        <v>142000</v>
      </c>
      <c r="J567" s="3">
        <v>327000</v>
      </c>
      <c r="K567" s="3">
        <v>114522</v>
      </c>
      <c r="L567" t="s">
        <v>1191</v>
      </c>
      <c r="M567">
        <v>1784658</v>
      </c>
      <c r="N567" t="s">
        <v>1346</v>
      </c>
      <c r="P567" t="s">
        <v>1725</v>
      </c>
      <c r="Q567" t="s">
        <v>1246</v>
      </c>
      <c r="R567">
        <v>60521</v>
      </c>
      <c r="S567" t="s">
        <v>1726</v>
      </c>
      <c r="T567" t="s">
        <v>965</v>
      </c>
      <c r="U567">
        <v>0</v>
      </c>
      <c r="V567">
        <v>10</v>
      </c>
      <c r="W567" t="s">
        <v>1194</v>
      </c>
      <c r="X567" t="s">
        <v>973</v>
      </c>
      <c r="Y567">
        <v>10000</v>
      </c>
      <c r="Z567" s="2" t="s">
        <v>1194</v>
      </c>
      <c r="AA567" s="2">
        <v>0</v>
      </c>
      <c r="AB567" t="s">
        <v>1238</v>
      </c>
      <c r="AC567">
        <v>859</v>
      </c>
      <c r="AD567" t="s">
        <v>1279</v>
      </c>
      <c r="AE567">
        <v>2</v>
      </c>
      <c r="AF567" t="s">
        <v>1290</v>
      </c>
      <c r="AG567">
        <v>0</v>
      </c>
      <c r="AH567">
        <v>0</v>
      </c>
      <c r="AI567">
        <v>0</v>
      </c>
      <c r="AJ567">
        <v>1956</v>
      </c>
      <c r="AK567">
        <v>2010</v>
      </c>
      <c r="AL567">
        <v>2005</v>
      </c>
      <c r="AM567" s="4" t="s">
        <v>1238</v>
      </c>
      <c r="AN567">
        <v>1</v>
      </c>
      <c r="AO567" t="s">
        <v>1316</v>
      </c>
      <c r="AP567">
        <f t="shared" si="16"/>
        <v>0</v>
      </c>
      <c r="AQ567">
        <v>1</v>
      </c>
      <c r="AR567" t="s">
        <v>1992</v>
      </c>
      <c r="AS567" t="s">
        <v>1995</v>
      </c>
      <c r="AT567" t="s">
        <v>1996</v>
      </c>
      <c r="AU567" t="s">
        <v>1996</v>
      </c>
      <c r="AV567" t="s">
        <v>1995</v>
      </c>
      <c r="AW567" t="s">
        <v>1995</v>
      </c>
      <c r="AX567" t="s">
        <v>1194</v>
      </c>
      <c r="AY567" t="s">
        <v>1996</v>
      </c>
      <c r="AZ567">
        <v>1524</v>
      </c>
      <c r="BA567" t="s">
        <v>1194</v>
      </c>
      <c r="BB567" t="s">
        <v>1194</v>
      </c>
      <c r="BC567" s="3">
        <v>0</v>
      </c>
      <c r="BD567" s="3">
        <v>0</v>
      </c>
      <c r="BE567" s="3">
        <v>0</v>
      </c>
      <c r="BF567" s="3">
        <v>0</v>
      </c>
      <c r="BG567" s="3">
        <v>175</v>
      </c>
      <c r="BH567" s="3">
        <v>0</v>
      </c>
      <c r="BI567" s="3">
        <v>0</v>
      </c>
      <c r="BJ567" s="3">
        <v>2554.34</v>
      </c>
      <c r="BK567" s="3">
        <v>-15</v>
      </c>
      <c r="BL567" s="3">
        <v>2539.34</v>
      </c>
      <c r="BM567" s="2">
        <f t="shared" ca="1" si="17"/>
        <v>3</v>
      </c>
      <c r="BN567" s="3">
        <v>100000</v>
      </c>
      <c r="BO567" s="3">
        <v>1000000</v>
      </c>
      <c r="BP567" s="3">
        <v>100000</v>
      </c>
      <c r="BQ567" s="3">
        <v>50000</v>
      </c>
      <c r="BR567" s="3">
        <v>50000</v>
      </c>
      <c r="BS567">
        <v>50000</v>
      </c>
      <c r="BT567">
        <v>0</v>
      </c>
      <c r="BU567">
        <v>0</v>
      </c>
      <c r="BV567">
        <v>0</v>
      </c>
      <c r="BW567">
        <v>1</v>
      </c>
      <c r="BX567">
        <v>1</v>
      </c>
      <c r="BY567">
        <v>0</v>
      </c>
      <c r="BZ567" t="s">
        <v>2958</v>
      </c>
      <c r="CA567" t="s">
        <v>1194</v>
      </c>
      <c r="CB567" t="s">
        <v>2945</v>
      </c>
    </row>
    <row r="568" spans="1:80" x14ac:dyDescent="0.25">
      <c r="A568">
        <v>567</v>
      </c>
      <c r="B568" t="s">
        <v>2581</v>
      </c>
      <c r="C568" s="1">
        <v>44713</v>
      </c>
      <c r="D568">
        <v>12</v>
      </c>
      <c r="E568" t="s">
        <v>4</v>
      </c>
      <c r="F568" t="s">
        <v>1311</v>
      </c>
      <c r="G568">
        <v>0</v>
      </c>
      <c r="H568" s="3">
        <v>4500000</v>
      </c>
      <c r="I568" s="3">
        <v>426000</v>
      </c>
      <c r="J568" s="3">
        <v>0</v>
      </c>
      <c r="K568" s="3">
        <v>900000</v>
      </c>
      <c r="L568" t="s">
        <v>1191</v>
      </c>
      <c r="M568">
        <v>1703394</v>
      </c>
      <c r="N568" t="s">
        <v>1347</v>
      </c>
      <c r="P568" t="s">
        <v>1727</v>
      </c>
      <c r="Q568" t="s">
        <v>1240</v>
      </c>
      <c r="R568">
        <v>6840</v>
      </c>
      <c r="S568" t="s">
        <v>1706</v>
      </c>
      <c r="T568" t="s">
        <v>972</v>
      </c>
      <c r="U568">
        <v>0</v>
      </c>
      <c r="V568">
        <v>53</v>
      </c>
      <c r="W568" t="s">
        <v>1194</v>
      </c>
      <c r="X568" t="s">
        <v>973</v>
      </c>
      <c r="Y568">
        <v>25000</v>
      </c>
      <c r="Z568" s="2" t="s">
        <v>1194</v>
      </c>
      <c r="AA568" s="2" t="s">
        <v>1238</v>
      </c>
      <c r="AB568" t="s">
        <v>1238</v>
      </c>
      <c r="AC568">
        <v>704</v>
      </c>
      <c r="AD568" t="s">
        <v>1280</v>
      </c>
      <c r="AE568">
        <v>8</v>
      </c>
      <c r="AF568" t="s">
        <v>1290</v>
      </c>
      <c r="AG568">
        <v>0</v>
      </c>
      <c r="AH568">
        <v>0</v>
      </c>
      <c r="AI568">
        <v>0</v>
      </c>
      <c r="AJ568">
        <v>1910</v>
      </c>
      <c r="AK568" t="s">
        <v>1194</v>
      </c>
      <c r="AL568" t="s">
        <v>1194</v>
      </c>
      <c r="AM568" s="4" t="s">
        <v>1238</v>
      </c>
      <c r="AN568">
        <v>0</v>
      </c>
      <c r="AO568" t="s">
        <v>1316</v>
      </c>
      <c r="AP568">
        <f t="shared" si="16"/>
        <v>0</v>
      </c>
      <c r="AQ568">
        <v>0</v>
      </c>
      <c r="AR568" t="s">
        <v>1993</v>
      </c>
      <c r="AS568" t="s">
        <v>1995</v>
      </c>
      <c r="AT568" t="s">
        <v>1996</v>
      </c>
      <c r="AU568" t="s">
        <v>1996</v>
      </c>
      <c r="AV568" t="s">
        <v>1995</v>
      </c>
      <c r="AW568" t="s">
        <v>1995</v>
      </c>
      <c r="AX568" t="s">
        <v>2003</v>
      </c>
      <c r="AY568" t="s">
        <v>1996</v>
      </c>
      <c r="AZ568">
        <v>4279</v>
      </c>
      <c r="BA568" t="s">
        <v>1194</v>
      </c>
      <c r="BB568" t="s">
        <v>1194</v>
      </c>
      <c r="BC568" s="3">
        <v>0</v>
      </c>
      <c r="BD568" s="3">
        <v>675.1</v>
      </c>
      <c r="BE568" s="3">
        <v>0</v>
      </c>
      <c r="BF568" s="3">
        <v>0</v>
      </c>
      <c r="BG568" s="3">
        <v>115</v>
      </c>
      <c r="BH568" s="3">
        <v>0</v>
      </c>
      <c r="BI568" s="3">
        <v>0</v>
      </c>
      <c r="BJ568" s="3">
        <v>16723</v>
      </c>
      <c r="BK568" s="3">
        <v>-10</v>
      </c>
      <c r="BL568" s="3">
        <v>16713</v>
      </c>
      <c r="BM568" s="2">
        <f t="shared" ca="1" si="17"/>
        <v>6</v>
      </c>
      <c r="BN568" s="3" t="s">
        <v>2916</v>
      </c>
      <c r="BO568" s="3">
        <v>20000</v>
      </c>
      <c r="BP568" s="3">
        <v>100000</v>
      </c>
      <c r="BQ568" s="3">
        <v>25000</v>
      </c>
      <c r="BR568" s="3">
        <v>100000</v>
      </c>
      <c r="BS568">
        <v>250000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 t="s">
        <v>2959</v>
      </c>
      <c r="CA568" t="s">
        <v>1194</v>
      </c>
      <c r="CB568" t="s">
        <v>2949</v>
      </c>
    </row>
    <row r="569" spans="1:80" x14ac:dyDescent="0.25">
      <c r="A569">
        <v>568</v>
      </c>
      <c r="B569" t="s">
        <v>2582</v>
      </c>
      <c r="C569" s="1">
        <v>44681</v>
      </c>
      <c r="D569">
        <v>12</v>
      </c>
      <c r="E569" t="s">
        <v>4</v>
      </c>
      <c r="F569" t="s">
        <v>1311</v>
      </c>
      <c r="G569">
        <v>0</v>
      </c>
      <c r="H569" s="3">
        <v>0</v>
      </c>
      <c r="I569" s="3">
        <v>0</v>
      </c>
      <c r="J569" s="3">
        <v>6528010</v>
      </c>
      <c r="K569" s="3">
        <v>0</v>
      </c>
      <c r="L569" t="s">
        <v>1192</v>
      </c>
      <c r="M569">
        <v>426454</v>
      </c>
      <c r="N569" t="s">
        <v>1348</v>
      </c>
      <c r="P569" t="s">
        <v>1728</v>
      </c>
      <c r="Q569" t="s">
        <v>1239</v>
      </c>
      <c r="R569">
        <v>81611</v>
      </c>
      <c r="S569" t="s">
        <v>1729</v>
      </c>
      <c r="T569" t="s">
        <v>965</v>
      </c>
      <c r="U569">
        <v>0</v>
      </c>
      <c r="V569">
        <v>59</v>
      </c>
      <c r="W569" t="s">
        <v>1194</v>
      </c>
      <c r="X569" t="s">
        <v>973</v>
      </c>
      <c r="Y569">
        <v>10000</v>
      </c>
      <c r="Z569" s="2" t="s">
        <v>1194</v>
      </c>
      <c r="AA569" s="2">
        <v>1</v>
      </c>
      <c r="AB569">
        <v>0.02</v>
      </c>
      <c r="AC569">
        <v>804</v>
      </c>
      <c r="AD569" t="s">
        <v>1280</v>
      </c>
      <c r="AE569">
        <v>5</v>
      </c>
      <c r="AF569" t="s">
        <v>1290</v>
      </c>
      <c r="AG569">
        <v>0</v>
      </c>
      <c r="AH569">
        <v>0</v>
      </c>
      <c r="AI569">
        <v>0</v>
      </c>
      <c r="AJ569">
        <v>2012</v>
      </c>
      <c r="AK569" t="s">
        <v>1194</v>
      </c>
      <c r="AL569" t="s">
        <v>1194</v>
      </c>
      <c r="AM569" s="4" t="s">
        <v>1238</v>
      </c>
      <c r="AN569">
        <v>0</v>
      </c>
      <c r="AO569" t="s">
        <v>1315</v>
      </c>
      <c r="AP569">
        <f t="shared" si="16"/>
        <v>0</v>
      </c>
      <c r="AQ569">
        <v>0</v>
      </c>
      <c r="AR569" t="s">
        <v>1993</v>
      </c>
      <c r="AS569" t="s">
        <v>1995</v>
      </c>
      <c r="AT569" t="s">
        <v>1995</v>
      </c>
      <c r="AU569" t="s">
        <v>1996</v>
      </c>
      <c r="AV569" t="s">
        <v>1995</v>
      </c>
      <c r="AW569" t="s">
        <v>1995</v>
      </c>
      <c r="AX569" t="s">
        <v>1194</v>
      </c>
      <c r="AY569" t="s">
        <v>1996</v>
      </c>
      <c r="AZ569">
        <v>4900</v>
      </c>
      <c r="BA569">
        <v>3</v>
      </c>
      <c r="BB569" t="s">
        <v>2016</v>
      </c>
      <c r="BC569" s="3">
        <v>0</v>
      </c>
      <c r="BD569" s="3">
        <v>0</v>
      </c>
      <c r="BE569" s="3">
        <v>0</v>
      </c>
      <c r="BF569" s="3">
        <v>869</v>
      </c>
      <c r="BG569" s="3">
        <v>0</v>
      </c>
      <c r="BH569" s="3">
        <v>0</v>
      </c>
      <c r="BI569" s="3">
        <v>0</v>
      </c>
      <c r="BJ569" s="3">
        <v>11937.28</v>
      </c>
      <c r="BK569" s="3">
        <v>1095</v>
      </c>
      <c r="BL569" s="3">
        <v>13032.28</v>
      </c>
      <c r="BM569" s="2">
        <f t="shared" ca="1" si="17"/>
        <v>4</v>
      </c>
      <c r="BN569" s="3">
        <v>50000</v>
      </c>
      <c r="BO569" s="3">
        <v>50000</v>
      </c>
      <c r="BP569" s="3">
        <v>50000</v>
      </c>
      <c r="BQ569" s="3">
        <v>500000</v>
      </c>
      <c r="BR569" s="3" t="s">
        <v>2916</v>
      </c>
      <c r="BS569">
        <v>1000000</v>
      </c>
      <c r="BT569">
        <v>0</v>
      </c>
      <c r="BU569">
        <v>0</v>
      </c>
      <c r="BV569">
        <v>0</v>
      </c>
      <c r="BW569">
        <v>1</v>
      </c>
      <c r="BX569">
        <v>1</v>
      </c>
      <c r="BY569">
        <v>1</v>
      </c>
      <c r="BZ569" t="s">
        <v>1194</v>
      </c>
      <c r="CA569" t="s">
        <v>1194</v>
      </c>
      <c r="CB569" t="s">
        <v>1194</v>
      </c>
    </row>
    <row r="570" spans="1:80" x14ac:dyDescent="0.25">
      <c r="A570">
        <v>569</v>
      </c>
      <c r="B570" t="s">
        <v>2583</v>
      </c>
      <c r="C570" s="1">
        <v>44682</v>
      </c>
      <c r="D570">
        <v>12</v>
      </c>
      <c r="E570" t="s">
        <v>4</v>
      </c>
      <c r="F570" t="s">
        <v>1311</v>
      </c>
      <c r="G570">
        <v>1</v>
      </c>
      <c r="H570" s="3">
        <v>10000000</v>
      </c>
      <c r="I570" s="3">
        <v>3500000</v>
      </c>
      <c r="J570" s="3">
        <v>6842839</v>
      </c>
      <c r="K570" s="3">
        <v>0</v>
      </c>
      <c r="L570" t="s">
        <v>1191</v>
      </c>
      <c r="M570">
        <v>14153</v>
      </c>
      <c r="N570" t="s">
        <v>1349</v>
      </c>
      <c r="P570" t="s">
        <v>1730</v>
      </c>
      <c r="Q570" t="s">
        <v>1261</v>
      </c>
      <c r="R570">
        <v>74114</v>
      </c>
      <c r="S570" t="s">
        <v>1730</v>
      </c>
      <c r="T570" t="s">
        <v>965</v>
      </c>
      <c r="U570">
        <v>0</v>
      </c>
      <c r="V570">
        <v>4</v>
      </c>
      <c r="W570" t="s">
        <v>1194</v>
      </c>
      <c r="X570" t="s">
        <v>973</v>
      </c>
      <c r="Y570">
        <v>250000</v>
      </c>
      <c r="Z570" s="2" t="s">
        <v>1194</v>
      </c>
      <c r="AA570" s="2">
        <v>1</v>
      </c>
      <c r="AB570" t="s">
        <v>1277</v>
      </c>
      <c r="AC570">
        <v>791</v>
      </c>
      <c r="AD570" t="s">
        <v>1284</v>
      </c>
      <c r="AE570">
        <v>3</v>
      </c>
      <c r="AF570" t="s">
        <v>1290</v>
      </c>
      <c r="AG570">
        <v>0</v>
      </c>
      <c r="AH570">
        <v>0</v>
      </c>
      <c r="AI570">
        <v>0</v>
      </c>
      <c r="AJ570">
        <v>2005</v>
      </c>
      <c r="AK570" t="s">
        <v>1194</v>
      </c>
      <c r="AL570">
        <v>2005</v>
      </c>
      <c r="AM570" s="4" t="s">
        <v>1238</v>
      </c>
      <c r="AN570">
        <v>0</v>
      </c>
      <c r="AO570" t="s">
        <v>1315</v>
      </c>
      <c r="AP570">
        <f t="shared" si="16"/>
        <v>0</v>
      </c>
      <c r="AQ570">
        <v>0</v>
      </c>
      <c r="AR570" t="s">
        <v>1993</v>
      </c>
      <c r="AS570" t="s">
        <v>1996</v>
      </c>
      <c r="AT570" t="s">
        <v>1996</v>
      </c>
      <c r="AU570" t="s">
        <v>1995</v>
      </c>
      <c r="AV570" t="s">
        <v>1996</v>
      </c>
      <c r="AW570" t="s">
        <v>1996</v>
      </c>
      <c r="AX570" t="s">
        <v>1194</v>
      </c>
      <c r="AY570" t="s">
        <v>1996</v>
      </c>
      <c r="AZ570">
        <v>13914</v>
      </c>
      <c r="BA570" t="s">
        <v>1194</v>
      </c>
      <c r="BB570" t="s">
        <v>1194</v>
      </c>
      <c r="BC570" s="3">
        <v>0</v>
      </c>
      <c r="BD570" s="3">
        <v>0</v>
      </c>
      <c r="BE570" s="3">
        <v>0</v>
      </c>
      <c r="BF570" s="3">
        <v>0</v>
      </c>
      <c r="BG570" s="3">
        <v>175</v>
      </c>
      <c r="BH570" s="3">
        <v>0</v>
      </c>
      <c r="BI570" s="3">
        <v>0</v>
      </c>
      <c r="BJ570" s="3">
        <v>41775.15</v>
      </c>
      <c r="BK570" s="3">
        <v>785</v>
      </c>
      <c r="BL570" s="3">
        <v>39737.43</v>
      </c>
      <c r="BM570" s="2">
        <f t="shared" ca="1" si="17"/>
        <v>1</v>
      </c>
      <c r="BN570" s="3">
        <v>500000</v>
      </c>
      <c r="BO570" s="3">
        <v>2000000</v>
      </c>
      <c r="BP570" s="3">
        <v>50000</v>
      </c>
      <c r="BQ570" s="3">
        <v>1000000</v>
      </c>
      <c r="BR570" s="3">
        <v>50000</v>
      </c>
      <c r="BS570">
        <v>100000</v>
      </c>
      <c r="BT570">
        <v>0</v>
      </c>
      <c r="BU570">
        <v>1</v>
      </c>
      <c r="BV570">
        <v>0</v>
      </c>
      <c r="BW570">
        <v>0</v>
      </c>
      <c r="BX570">
        <v>0</v>
      </c>
      <c r="BY570">
        <v>0</v>
      </c>
      <c r="BZ570" t="s">
        <v>2959</v>
      </c>
      <c r="CA570" t="s">
        <v>1194</v>
      </c>
      <c r="CB570" t="s">
        <v>2941</v>
      </c>
    </row>
    <row r="571" spans="1:80" x14ac:dyDescent="0.25">
      <c r="A571">
        <v>570</v>
      </c>
      <c r="B571" t="s">
        <v>2584</v>
      </c>
      <c r="C571" s="1">
        <v>44803</v>
      </c>
      <c r="D571">
        <v>12</v>
      </c>
      <c r="E571" t="s">
        <v>4</v>
      </c>
      <c r="F571" t="s">
        <v>1311</v>
      </c>
      <c r="G571">
        <v>0</v>
      </c>
      <c r="H571" s="3">
        <v>2471186</v>
      </c>
      <c r="I571" s="3">
        <v>412488</v>
      </c>
      <c r="J571" s="3">
        <v>1546827</v>
      </c>
      <c r="K571" s="3">
        <v>494237.2</v>
      </c>
      <c r="L571" t="s">
        <v>1191</v>
      </c>
      <c r="M571">
        <v>1299823</v>
      </c>
      <c r="N571" t="s">
        <v>1350</v>
      </c>
      <c r="P571" t="s">
        <v>1731</v>
      </c>
      <c r="Q571" t="s">
        <v>1271</v>
      </c>
      <c r="R571">
        <v>53122</v>
      </c>
      <c r="S571" t="s">
        <v>1732</v>
      </c>
      <c r="T571" t="s">
        <v>965</v>
      </c>
      <c r="U571">
        <v>0</v>
      </c>
      <c r="V571">
        <v>1</v>
      </c>
      <c r="W571" t="s">
        <v>1194</v>
      </c>
      <c r="X571" t="s">
        <v>973</v>
      </c>
      <c r="Y571">
        <v>10000</v>
      </c>
      <c r="Z571" s="2" t="s">
        <v>1194</v>
      </c>
      <c r="AA571" s="2">
        <v>1</v>
      </c>
      <c r="AB571">
        <v>0.02</v>
      </c>
      <c r="AC571">
        <v>728</v>
      </c>
      <c r="AD571" t="s">
        <v>1279</v>
      </c>
      <c r="AE571">
        <v>4</v>
      </c>
      <c r="AF571" t="s">
        <v>1290</v>
      </c>
      <c r="AG571">
        <v>0</v>
      </c>
      <c r="AH571">
        <v>0</v>
      </c>
      <c r="AI571">
        <v>0</v>
      </c>
      <c r="AJ571">
        <v>2014</v>
      </c>
      <c r="AK571" t="s">
        <v>1194</v>
      </c>
      <c r="AL571" t="s">
        <v>1194</v>
      </c>
      <c r="AM571" s="4" t="s">
        <v>1238</v>
      </c>
      <c r="AN571">
        <v>0</v>
      </c>
      <c r="AO571" t="s">
        <v>1315</v>
      </c>
      <c r="AP571">
        <f t="shared" si="16"/>
        <v>0</v>
      </c>
      <c r="AQ571">
        <v>1</v>
      </c>
      <c r="AR571" t="s">
        <v>1992</v>
      </c>
      <c r="AS571" t="s">
        <v>1996</v>
      </c>
      <c r="AT571" t="s">
        <v>1996</v>
      </c>
      <c r="AU571" t="s">
        <v>1995</v>
      </c>
      <c r="AV571" t="s">
        <v>1996</v>
      </c>
      <c r="AW571" t="s">
        <v>1995</v>
      </c>
      <c r="AX571" t="s">
        <v>1194</v>
      </c>
      <c r="AY571" t="s">
        <v>1996</v>
      </c>
      <c r="AZ571">
        <v>6761</v>
      </c>
      <c r="BA571" t="s">
        <v>1194</v>
      </c>
      <c r="BB571" t="s">
        <v>1194</v>
      </c>
      <c r="BC571" s="3">
        <v>0</v>
      </c>
      <c r="BD571" s="3">
        <v>0</v>
      </c>
      <c r="BE571" s="3">
        <v>0</v>
      </c>
      <c r="BF571" s="3">
        <v>0</v>
      </c>
      <c r="BG571" s="3">
        <v>175</v>
      </c>
      <c r="BH571" s="3">
        <v>0</v>
      </c>
      <c r="BI571" s="3">
        <v>0</v>
      </c>
      <c r="BJ571" s="3">
        <v>5092.71</v>
      </c>
      <c r="BK571" s="3">
        <v>235</v>
      </c>
      <c r="BL571" s="3">
        <v>5327.71</v>
      </c>
      <c r="BM571" s="2">
        <f t="shared" ca="1" si="17"/>
        <v>5</v>
      </c>
      <c r="BN571" s="3">
        <v>2000000</v>
      </c>
      <c r="BO571" s="3">
        <v>100000</v>
      </c>
      <c r="BP571" s="3">
        <v>50000</v>
      </c>
      <c r="BQ571" s="3">
        <v>50000</v>
      </c>
      <c r="BR571" s="3">
        <v>1000000</v>
      </c>
      <c r="BS571">
        <v>100000</v>
      </c>
      <c r="BT571">
        <v>0</v>
      </c>
      <c r="BU571">
        <v>0</v>
      </c>
      <c r="BV571">
        <v>1</v>
      </c>
      <c r="BW571">
        <v>0</v>
      </c>
      <c r="BX571">
        <v>0</v>
      </c>
      <c r="BY571">
        <v>0</v>
      </c>
      <c r="BZ571" t="s">
        <v>2958</v>
      </c>
      <c r="CA571" t="s">
        <v>1194</v>
      </c>
      <c r="CB571" t="s">
        <v>2941</v>
      </c>
    </row>
    <row r="572" spans="1:80" x14ac:dyDescent="0.25">
      <c r="A572">
        <v>571</v>
      </c>
      <c r="B572" t="s">
        <v>2585</v>
      </c>
      <c r="C572" s="1">
        <v>44733</v>
      </c>
      <c r="D572">
        <v>12</v>
      </c>
      <c r="E572" t="s">
        <v>5</v>
      </c>
      <c r="F572" t="s">
        <v>1310</v>
      </c>
      <c r="G572">
        <v>1</v>
      </c>
      <c r="H572" s="3">
        <v>0</v>
      </c>
      <c r="I572" s="3">
        <v>0</v>
      </c>
      <c r="J572" s="3">
        <v>500000</v>
      </c>
      <c r="K572" s="3">
        <v>0</v>
      </c>
      <c r="L572" t="s">
        <v>1192</v>
      </c>
      <c r="M572">
        <v>1899165</v>
      </c>
      <c r="N572" t="s">
        <v>1351</v>
      </c>
      <c r="O572" t="s">
        <v>1352</v>
      </c>
      <c r="P572" t="s">
        <v>1694</v>
      </c>
      <c r="Q572" t="s">
        <v>1239</v>
      </c>
      <c r="R572">
        <v>80206</v>
      </c>
      <c r="S572" t="s">
        <v>1695</v>
      </c>
      <c r="T572" t="s">
        <v>965</v>
      </c>
      <c r="U572">
        <v>0</v>
      </c>
      <c r="V572">
        <v>94</v>
      </c>
      <c r="W572" t="s">
        <v>1194</v>
      </c>
      <c r="X572" t="s">
        <v>973</v>
      </c>
      <c r="Y572">
        <v>10000</v>
      </c>
      <c r="Z572" s="2" t="s">
        <v>1194</v>
      </c>
      <c r="AA572" s="2">
        <v>1</v>
      </c>
      <c r="AB572">
        <v>0.02</v>
      </c>
      <c r="AC572">
        <v>826</v>
      </c>
      <c r="AD572" t="s">
        <v>1281</v>
      </c>
      <c r="AE572">
        <v>1</v>
      </c>
      <c r="AF572" t="s">
        <v>1290</v>
      </c>
      <c r="AG572">
        <v>0</v>
      </c>
      <c r="AH572">
        <v>0</v>
      </c>
      <c r="AI572">
        <v>0</v>
      </c>
      <c r="AJ572">
        <v>2006</v>
      </c>
      <c r="AK572" t="s">
        <v>1194</v>
      </c>
      <c r="AL572" t="s">
        <v>1194</v>
      </c>
      <c r="AM572" s="4" t="s">
        <v>1305</v>
      </c>
      <c r="AN572">
        <v>0</v>
      </c>
      <c r="AO572" t="s">
        <v>1315</v>
      </c>
      <c r="AP572">
        <f t="shared" si="16"/>
        <v>0</v>
      </c>
      <c r="AQ572">
        <v>1</v>
      </c>
      <c r="AR572" t="s">
        <v>1992</v>
      </c>
      <c r="AS572" t="s">
        <v>1995</v>
      </c>
      <c r="AT572" t="s">
        <v>1996</v>
      </c>
      <c r="AU572" t="s">
        <v>1996</v>
      </c>
      <c r="AV572" t="s">
        <v>1995</v>
      </c>
      <c r="AW572" t="s">
        <v>1995</v>
      </c>
      <c r="AX572" t="s">
        <v>1194</v>
      </c>
      <c r="AY572" t="s">
        <v>1996</v>
      </c>
      <c r="AZ572">
        <v>1336</v>
      </c>
      <c r="BA572" t="s">
        <v>1194</v>
      </c>
      <c r="BB572" t="s">
        <v>2014</v>
      </c>
      <c r="BC572" s="3">
        <v>0</v>
      </c>
      <c r="BD572" s="3">
        <v>0</v>
      </c>
      <c r="BE572" s="3">
        <v>0</v>
      </c>
      <c r="BF572" s="3">
        <v>42.05</v>
      </c>
      <c r="BG572" s="3">
        <v>175</v>
      </c>
      <c r="BH572" s="3">
        <v>0</v>
      </c>
      <c r="BI572" s="3">
        <v>0</v>
      </c>
      <c r="BJ572" s="3">
        <v>699.48</v>
      </c>
      <c r="BK572" s="3">
        <v>-5</v>
      </c>
      <c r="BL572" s="3">
        <v>694.48</v>
      </c>
      <c r="BM572" s="2">
        <f t="shared" ca="1" si="17"/>
        <v>3</v>
      </c>
      <c r="BN572" s="3">
        <v>50000</v>
      </c>
      <c r="BO572" s="3">
        <v>50000</v>
      </c>
      <c r="BP572" s="3">
        <v>100000</v>
      </c>
      <c r="BQ572" s="3">
        <v>100000</v>
      </c>
      <c r="BR572" s="3">
        <v>250000</v>
      </c>
      <c r="BS572">
        <v>2000000</v>
      </c>
      <c r="BT572">
        <v>0</v>
      </c>
      <c r="BU572">
        <v>0</v>
      </c>
      <c r="BV572">
        <v>0</v>
      </c>
      <c r="BW572">
        <v>1</v>
      </c>
      <c r="BX572">
        <v>1</v>
      </c>
      <c r="BY572">
        <v>0</v>
      </c>
      <c r="BZ572" t="s">
        <v>1194</v>
      </c>
      <c r="CA572" t="s">
        <v>1194</v>
      </c>
      <c r="CB572" t="s">
        <v>1194</v>
      </c>
    </row>
    <row r="573" spans="1:80" x14ac:dyDescent="0.25">
      <c r="A573">
        <v>572</v>
      </c>
      <c r="B573" t="s">
        <v>2586</v>
      </c>
      <c r="C573" s="1">
        <v>44661</v>
      </c>
      <c r="D573">
        <v>12</v>
      </c>
      <c r="E573" t="s">
        <v>5</v>
      </c>
      <c r="F573" t="s">
        <v>1310</v>
      </c>
      <c r="G573">
        <v>1</v>
      </c>
      <c r="H573" s="3">
        <v>1351191</v>
      </c>
      <c r="I573" s="3">
        <v>270238</v>
      </c>
      <c r="J573" s="3">
        <v>675594</v>
      </c>
      <c r="K573" s="3">
        <v>270238.2</v>
      </c>
      <c r="L573" t="s">
        <v>1191</v>
      </c>
      <c r="M573">
        <v>1410681</v>
      </c>
      <c r="N573" t="s">
        <v>1353</v>
      </c>
      <c r="P573" t="s">
        <v>1730</v>
      </c>
      <c r="Q573" t="s">
        <v>1261</v>
      </c>
      <c r="R573">
        <v>74105</v>
      </c>
      <c r="S573" t="s">
        <v>1730</v>
      </c>
      <c r="T573" t="s">
        <v>965</v>
      </c>
      <c r="U573">
        <v>0</v>
      </c>
      <c r="V573">
        <v>4</v>
      </c>
      <c r="W573" t="s">
        <v>1194</v>
      </c>
      <c r="X573" t="s">
        <v>973</v>
      </c>
      <c r="Y573">
        <v>5000</v>
      </c>
      <c r="Z573" s="2">
        <v>1.000006661</v>
      </c>
      <c r="AA573" s="2">
        <v>1</v>
      </c>
      <c r="AB573">
        <v>2.5000000000000001E-3</v>
      </c>
      <c r="AC573">
        <v>657</v>
      </c>
      <c r="AD573" t="s">
        <v>1284</v>
      </c>
      <c r="AE573">
        <v>1</v>
      </c>
      <c r="AF573" t="s">
        <v>1290</v>
      </c>
      <c r="AG573">
        <v>0</v>
      </c>
      <c r="AH573">
        <v>0</v>
      </c>
      <c r="AI573">
        <v>0</v>
      </c>
      <c r="AJ573">
        <v>1961</v>
      </c>
      <c r="AK573" t="s">
        <v>1194</v>
      </c>
      <c r="AL573">
        <v>2018</v>
      </c>
      <c r="AM573" s="4" t="s">
        <v>1307</v>
      </c>
      <c r="AN573">
        <v>0</v>
      </c>
      <c r="AO573" t="s">
        <v>1316</v>
      </c>
      <c r="AP573">
        <f t="shared" si="16"/>
        <v>0</v>
      </c>
      <c r="AQ573">
        <v>0</v>
      </c>
      <c r="AR573" t="s">
        <v>1993</v>
      </c>
      <c r="AS573" t="s">
        <v>1996</v>
      </c>
      <c r="AT573" t="s">
        <v>1995</v>
      </c>
      <c r="AU573" t="s">
        <v>1996</v>
      </c>
      <c r="AV573" t="s">
        <v>1995</v>
      </c>
      <c r="AW573" t="s">
        <v>1995</v>
      </c>
      <c r="AX573" t="s">
        <v>1194</v>
      </c>
      <c r="AY573" t="s">
        <v>1996</v>
      </c>
      <c r="AZ573">
        <v>4077</v>
      </c>
      <c r="BA573" t="s">
        <v>1194</v>
      </c>
      <c r="BB573" t="s">
        <v>1194</v>
      </c>
      <c r="BC573" s="3">
        <v>0</v>
      </c>
      <c r="BD573" s="3">
        <v>0</v>
      </c>
      <c r="BE573" s="3">
        <v>0</v>
      </c>
      <c r="BF573" s="3">
        <v>0</v>
      </c>
      <c r="BG573" s="3">
        <v>210</v>
      </c>
      <c r="BH573" s="3">
        <v>0</v>
      </c>
      <c r="BI573" s="3">
        <v>0</v>
      </c>
      <c r="BJ573" s="3">
        <v>13918.99</v>
      </c>
      <c r="BK573" s="3">
        <v>330</v>
      </c>
      <c r="BL573" s="3">
        <v>11506.53</v>
      </c>
      <c r="BM573" s="2">
        <f t="shared" ca="1" si="17"/>
        <v>5</v>
      </c>
      <c r="BN573" s="3">
        <v>500000</v>
      </c>
      <c r="BO573" s="3">
        <v>20000</v>
      </c>
      <c r="BP573" s="3">
        <v>200000</v>
      </c>
      <c r="BQ573" s="3">
        <v>500000</v>
      </c>
      <c r="BR573" s="3">
        <v>1000000</v>
      </c>
      <c r="BS573">
        <v>250000</v>
      </c>
      <c r="BT573">
        <v>0</v>
      </c>
      <c r="BU573">
        <v>0</v>
      </c>
      <c r="BV573">
        <v>1</v>
      </c>
      <c r="BW573">
        <v>0</v>
      </c>
      <c r="BX573">
        <v>0</v>
      </c>
      <c r="BY573">
        <v>0</v>
      </c>
      <c r="BZ573" t="s">
        <v>2949</v>
      </c>
      <c r="CA573" t="s">
        <v>1194</v>
      </c>
      <c r="CB573" t="s">
        <v>2945</v>
      </c>
    </row>
    <row r="574" spans="1:80" x14ac:dyDescent="0.25">
      <c r="A574">
        <v>573</v>
      </c>
      <c r="B574" t="s">
        <v>2587</v>
      </c>
      <c r="C574" s="1">
        <v>44651</v>
      </c>
      <c r="D574">
        <v>12</v>
      </c>
      <c r="E574" t="s">
        <v>4</v>
      </c>
      <c r="F574" t="s">
        <v>1311</v>
      </c>
      <c r="G574">
        <v>0</v>
      </c>
      <c r="H574" s="3">
        <v>0</v>
      </c>
      <c r="I574" s="3">
        <v>0</v>
      </c>
      <c r="J574" s="3">
        <v>2270888</v>
      </c>
      <c r="K574" s="3">
        <v>454177.6</v>
      </c>
      <c r="L574" t="s">
        <v>1192</v>
      </c>
      <c r="M574">
        <v>611657</v>
      </c>
      <c r="N574" t="s">
        <v>1354</v>
      </c>
      <c r="O574" t="s">
        <v>1355</v>
      </c>
      <c r="P574" t="s">
        <v>1733</v>
      </c>
      <c r="Q574" t="s">
        <v>1246</v>
      </c>
      <c r="R574">
        <v>60610</v>
      </c>
      <c r="S574" t="s">
        <v>1734</v>
      </c>
      <c r="T574" t="s">
        <v>965</v>
      </c>
      <c r="U574">
        <v>0</v>
      </c>
      <c r="V574">
        <v>13</v>
      </c>
      <c r="W574" t="s">
        <v>1194</v>
      </c>
      <c r="X574" t="s">
        <v>973</v>
      </c>
      <c r="Y574">
        <v>5000</v>
      </c>
      <c r="Z574" s="2" t="s">
        <v>1194</v>
      </c>
      <c r="AA574" s="2">
        <v>0</v>
      </c>
      <c r="AB574" t="s">
        <v>1238</v>
      </c>
      <c r="AC574">
        <v>728</v>
      </c>
      <c r="AD574" t="s">
        <v>1281</v>
      </c>
      <c r="AE574">
        <v>2</v>
      </c>
      <c r="AF574" t="s">
        <v>1290</v>
      </c>
      <c r="AG574">
        <v>0</v>
      </c>
      <c r="AH574">
        <v>0</v>
      </c>
      <c r="AI574">
        <v>0</v>
      </c>
      <c r="AJ574">
        <v>1930</v>
      </c>
      <c r="AK574" t="s">
        <v>1194</v>
      </c>
      <c r="AL574" t="s">
        <v>1194</v>
      </c>
      <c r="AM574" s="4" t="s">
        <v>1238</v>
      </c>
      <c r="AN574">
        <v>0</v>
      </c>
      <c r="AO574" t="s">
        <v>1316</v>
      </c>
      <c r="AP574">
        <f t="shared" si="16"/>
        <v>0</v>
      </c>
      <c r="AQ574">
        <v>1</v>
      </c>
      <c r="AR574" t="s">
        <v>1992</v>
      </c>
      <c r="AS574" t="s">
        <v>1996</v>
      </c>
      <c r="AT574" t="s">
        <v>1996</v>
      </c>
      <c r="AU574" t="s">
        <v>1996</v>
      </c>
      <c r="AV574" t="s">
        <v>1995</v>
      </c>
      <c r="AW574" t="s">
        <v>1995</v>
      </c>
      <c r="AX574" t="s">
        <v>1194</v>
      </c>
      <c r="AY574" t="s">
        <v>1996</v>
      </c>
      <c r="AZ574">
        <v>4048</v>
      </c>
      <c r="BA574" t="s">
        <v>1194</v>
      </c>
      <c r="BB574" t="s">
        <v>1194</v>
      </c>
      <c r="BC574" s="3">
        <v>0</v>
      </c>
      <c r="BD574" s="3">
        <v>0</v>
      </c>
      <c r="BE574" s="3">
        <v>0</v>
      </c>
      <c r="BF574" s="3">
        <v>0</v>
      </c>
      <c r="BG574" s="3">
        <v>175</v>
      </c>
      <c r="BH574" s="3">
        <v>0</v>
      </c>
      <c r="BI574" s="3">
        <v>0</v>
      </c>
      <c r="BJ574" s="3">
        <v>4930.1400000000003</v>
      </c>
      <c r="BK574" s="3">
        <v>220</v>
      </c>
      <c r="BL574" s="3">
        <v>5150.1400000000003</v>
      </c>
      <c r="BM574" s="2">
        <f t="shared" ca="1" si="17"/>
        <v>2</v>
      </c>
      <c r="BN574" s="3">
        <v>250000</v>
      </c>
      <c r="BO574" s="3">
        <v>50000</v>
      </c>
      <c r="BP574" s="3">
        <v>100000</v>
      </c>
      <c r="BQ574" s="3">
        <v>50000</v>
      </c>
      <c r="BR574" s="3">
        <v>1000000</v>
      </c>
      <c r="BS574">
        <v>250000</v>
      </c>
      <c r="BT574">
        <v>0</v>
      </c>
      <c r="BU574">
        <v>0</v>
      </c>
      <c r="BV574">
        <v>0</v>
      </c>
      <c r="BW574">
        <v>1</v>
      </c>
      <c r="BX574">
        <v>1</v>
      </c>
      <c r="BY574">
        <v>0</v>
      </c>
      <c r="BZ574" t="s">
        <v>1194</v>
      </c>
      <c r="CA574" t="s">
        <v>1194</v>
      </c>
      <c r="CB574" t="s">
        <v>1194</v>
      </c>
    </row>
    <row r="575" spans="1:80" x14ac:dyDescent="0.25">
      <c r="A575">
        <v>574</v>
      </c>
      <c r="B575" t="s">
        <v>2588</v>
      </c>
      <c r="C575" s="1">
        <v>44651</v>
      </c>
      <c r="D575">
        <v>9</v>
      </c>
      <c r="E575" t="s">
        <v>4</v>
      </c>
      <c r="F575" t="s">
        <v>1310</v>
      </c>
      <c r="G575">
        <v>1</v>
      </c>
      <c r="H575" s="3">
        <v>4414500</v>
      </c>
      <c r="I575" s="3">
        <v>136250</v>
      </c>
      <c r="J575" s="3">
        <v>708500</v>
      </c>
      <c r="K575" s="3">
        <v>882900</v>
      </c>
      <c r="L575" t="s">
        <v>1191</v>
      </c>
      <c r="M575">
        <v>1657181</v>
      </c>
      <c r="N575" t="s">
        <v>1356</v>
      </c>
      <c r="P575" t="s">
        <v>1735</v>
      </c>
      <c r="Q575" t="s">
        <v>1249</v>
      </c>
      <c r="R575">
        <v>40222</v>
      </c>
      <c r="S575" t="s">
        <v>1736</v>
      </c>
      <c r="T575" t="s">
        <v>965</v>
      </c>
      <c r="U575">
        <v>0</v>
      </c>
      <c r="V575">
        <v>2</v>
      </c>
      <c r="W575" t="s">
        <v>1194</v>
      </c>
      <c r="X575" t="s">
        <v>973</v>
      </c>
      <c r="Y575">
        <v>25000</v>
      </c>
      <c r="Z575" s="2" t="s">
        <v>1194</v>
      </c>
      <c r="AA575" s="2">
        <v>1</v>
      </c>
      <c r="AB575">
        <v>0.02</v>
      </c>
      <c r="AC575">
        <v>906</v>
      </c>
      <c r="AD575" t="s">
        <v>1284</v>
      </c>
      <c r="AE575">
        <v>2</v>
      </c>
      <c r="AF575" t="s">
        <v>1290</v>
      </c>
      <c r="AG575">
        <v>0</v>
      </c>
      <c r="AH575">
        <v>0</v>
      </c>
      <c r="AI575">
        <v>0</v>
      </c>
      <c r="AJ575">
        <v>1972</v>
      </c>
      <c r="AK575">
        <v>2011</v>
      </c>
      <c r="AL575">
        <v>2011</v>
      </c>
      <c r="AM575" s="4" t="s">
        <v>1305</v>
      </c>
      <c r="AN575">
        <v>0</v>
      </c>
      <c r="AO575" t="s">
        <v>1317</v>
      </c>
      <c r="AP575">
        <f t="shared" si="16"/>
        <v>0</v>
      </c>
      <c r="AQ575">
        <v>1</v>
      </c>
      <c r="AR575" t="s">
        <v>1992</v>
      </c>
      <c r="AS575" t="s">
        <v>1995</v>
      </c>
      <c r="AT575" t="s">
        <v>1996</v>
      </c>
      <c r="AU575" t="s">
        <v>1996</v>
      </c>
      <c r="AV575" t="s">
        <v>1996</v>
      </c>
      <c r="AW575" t="s">
        <v>1995</v>
      </c>
      <c r="AX575" t="s">
        <v>1194</v>
      </c>
      <c r="AY575" t="s">
        <v>1996</v>
      </c>
      <c r="AZ575">
        <v>5049</v>
      </c>
      <c r="BA575" t="s">
        <v>1194</v>
      </c>
      <c r="BB575" t="s">
        <v>1194</v>
      </c>
      <c r="BC575" s="3">
        <v>0</v>
      </c>
      <c r="BD575" s="3">
        <v>0</v>
      </c>
      <c r="BE575" s="3">
        <v>0</v>
      </c>
      <c r="BF575" s="3">
        <v>0</v>
      </c>
      <c r="BG575" s="3">
        <v>210</v>
      </c>
      <c r="BH575" s="3">
        <v>0</v>
      </c>
      <c r="BI575" s="3">
        <v>0</v>
      </c>
      <c r="BJ575" s="3">
        <v>8400.1200000000008</v>
      </c>
      <c r="BK575" s="3">
        <v>475</v>
      </c>
      <c r="BL575" s="3">
        <v>8875.1200000000008</v>
      </c>
      <c r="BM575" s="2">
        <f t="shared" ca="1" si="17"/>
        <v>4</v>
      </c>
      <c r="BN575" s="3">
        <v>100000</v>
      </c>
      <c r="BO575" s="3">
        <v>250000</v>
      </c>
      <c r="BP575" s="3" t="s">
        <v>2922</v>
      </c>
      <c r="BQ575" s="3">
        <v>50000</v>
      </c>
      <c r="BR575" s="3">
        <v>2000000</v>
      </c>
      <c r="BS575">
        <v>250000</v>
      </c>
      <c r="BT575">
        <v>0</v>
      </c>
      <c r="BU575">
        <v>0</v>
      </c>
      <c r="BV575">
        <v>1</v>
      </c>
      <c r="BW575">
        <v>0</v>
      </c>
      <c r="BX575">
        <v>0</v>
      </c>
      <c r="BY575">
        <v>0</v>
      </c>
      <c r="BZ575" t="s">
        <v>2958</v>
      </c>
      <c r="CA575" t="s">
        <v>1194</v>
      </c>
      <c r="CB575" t="s">
        <v>2949</v>
      </c>
    </row>
    <row r="576" spans="1:80" x14ac:dyDescent="0.25">
      <c r="A576">
        <v>575</v>
      </c>
      <c r="B576" t="s">
        <v>2589</v>
      </c>
      <c r="C576" s="1">
        <v>44801</v>
      </c>
      <c r="D576">
        <v>12</v>
      </c>
      <c r="E576" t="s">
        <v>4</v>
      </c>
      <c r="F576" t="s">
        <v>1311</v>
      </c>
      <c r="G576">
        <v>1</v>
      </c>
      <c r="H576" s="3">
        <v>1241000</v>
      </c>
      <c r="I576" s="3">
        <v>145000</v>
      </c>
      <c r="J576" s="3">
        <v>678525</v>
      </c>
      <c r="K576" s="3">
        <v>0</v>
      </c>
      <c r="L576" t="s">
        <v>1191</v>
      </c>
      <c r="M576">
        <v>1535931</v>
      </c>
      <c r="N576" t="s">
        <v>1357</v>
      </c>
      <c r="P576" t="s">
        <v>1737</v>
      </c>
      <c r="Q576" t="s">
        <v>1237</v>
      </c>
      <c r="R576">
        <v>85028</v>
      </c>
      <c r="S576" t="s">
        <v>1705</v>
      </c>
      <c r="T576" t="s">
        <v>965</v>
      </c>
      <c r="U576">
        <v>0</v>
      </c>
      <c r="V576">
        <v>3</v>
      </c>
      <c r="W576" t="s">
        <v>1194</v>
      </c>
      <c r="X576" t="s">
        <v>973</v>
      </c>
      <c r="Y576">
        <v>10000</v>
      </c>
      <c r="Z576" s="2" t="s">
        <v>1194</v>
      </c>
      <c r="AA576" s="2" t="s">
        <v>1238</v>
      </c>
      <c r="AB576" t="s">
        <v>1238</v>
      </c>
      <c r="AC576">
        <v>770</v>
      </c>
      <c r="AD576" t="s">
        <v>1280</v>
      </c>
      <c r="AE576">
        <v>1</v>
      </c>
      <c r="AF576" t="s">
        <v>1290</v>
      </c>
      <c r="AG576">
        <v>0</v>
      </c>
      <c r="AH576">
        <v>0</v>
      </c>
      <c r="AI576">
        <v>0</v>
      </c>
      <c r="AJ576">
        <v>1982</v>
      </c>
      <c r="AK576" t="s">
        <v>1194</v>
      </c>
      <c r="AL576">
        <v>2021</v>
      </c>
      <c r="AM576" s="4" t="s">
        <v>1238</v>
      </c>
      <c r="AN576">
        <v>1</v>
      </c>
      <c r="AO576" t="s">
        <v>1315</v>
      </c>
      <c r="AP576">
        <f t="shared" si="16"/>
        <v>0</v>
      </c>
      <c r="AQ576">
        <v>1</v>
      </c>
      <c r="AR576" t="s">
        <v>1992</v>
      </c>
      <c r="AS576" t="s">
        <v>1995</v>
      </c>
      <c r="AT576" t="s">
        <v>1996</v>
      </c>
      <c r="AU576" t="s">
        <v>1996</v>
      </c>
      <c r="AV576" t="s">
        <v>1995</v>
      </c>
      <c r="AW576" t="s">
        <v>1996</v>
      </c>
      <c r="AX576" t="s">
        <v>1194</v>
      </c>
      <c r="AY576" t="s">
        <v>1996</v>
      </c>
      <c r="AZ576">
        <v>3214</v>
      </c>
      <c r="BA576">
        <v>3</v>
      </c>
      <c r="BB576" t="s">
        <v>2014</v>
      </c>
      <c r="BC576" s="3">
        <v>0</v>
      </c>
      <c r="BD576" s="3">
        <v>0</v>
      </c>
      <c r="BE576" s="3">
        <v>0</v>
      </c>
      <c r="BF576" s="3">
        <v>0</v>
      </c>
      <c r="BG576" s="3">
        <v>175</v>
      </c>
      <c r="BH576" s="3">
        <v>0</v>
      </c>
      <c r="BI576" s="3">
        <v>0</v>
      </c>
      <c r="BJ576" s="3">
        <v>3524.43</v>
      </c>
      <c r="BK576" s="3">
        <v>235</v>
      </c>
      <c r="BL576" s="3">
        <v>3759</v>
      </c>
      <c r="BM576" s="2">
        <f t="shared" ca="1" si="17"/>
        <v>1</v>
      </c>
      <c r="BN576" s="3">
        <v>250000</v>
      </c>
      <c r="BO576" s="3">
        <v>50000</v>
      </c>
      <c r="BP576" s="3">
        <v>50000</v>
      </c>
      <c r="BQ576" s="3">
        <v>100000</v>
      </c>
      <c r="BR576" s="3">
        <v>100000</v>
      </c>
      <c r="BS576">
        <v>50000</v>
      </c>
      <c r="BT576">
        <v>0</v>
      </c>
      <c r="BU576">
        <v>0</v>
      </c>
      <c r="BV576">
        <v>1</v>
      </c>
      <c r="BW576">
        <v>0</v>
      </c>
      <c r="BX576">
        <v>0</v>
      </c>
      <c r="BY576">
        <v>0</v>
      </c>
      <c r="BZ576" t="s">
        <v>2949</v>
      </c>
      <c r="CA576" t="s">
        <v>1194</v>
      </c>
      <c r="CB576" t="s">
        <v>2952</v>
      </c>
    </row>
    <row r="577" spans="1:80" x14ac:dyDescent="0.25">
      <c r="A577">
        <v>576</v>
      </c>
      <c r="B577" t="s">
        <v>2590</v>
      </c>
      <c r="C577" s="1">
        <v>44788</v>
      </c>
      <c r="D577">
        <v>12</v>
      </c>
      <c r="E577" t="s">
        <v>4</v>
      </c>
      <c r="F577" t="s">
        <v>1311</v>
      </c>
      <c r="G577">
        <v>1</v>
      </c>
      <c r="H577" s="3">
        <v>4882262</v>
      </c>
      <c r="I577" s="3">
        <v>976454</v>
      </c>
      <c r="J577" s="3">
        <v>1627421</v>
      </c>
      <c r="K577" s="3">
        <v>976452.4</v>
      </c>
      <c r="L577" t="s">
        <v>1191</v>
      </c>
      <c r="M577">
        <v>571057</v>
      </c>
      <c r="N577" t="s">
        <v>1358</v>
      </c>
      <c r="P577" t="s">
        <v>1706</v>
      </c>
      <c r="Q577" t="s">
        <v>1240</v>
      </c>
      <c r="R577">
        <v>6825</v>
      </c>
      <c r="S577" t="s">
        <v>1706</v>
      </c>
      <c r="T577" t="s">
        <v>972</v>
      </c>
      <c r="U577">
        <v>0</v>
      </c>
      <c r="V577">
        <v>53</v>
      </c>
      <c r="W577" t="s">
        <v>1194</v>
      </c>
      <c r="X577" t="s">
        <v>973</v>
      </c>
      <c r="Y577">
        <v>25000</v>
      </c>
      <c r="Z577" s="2" t="s">
        <v>1194</v>
      </c>
      <c r="AA577" s="2" t="s">
        <v>1238</v>
      </c>
      <c r="AB577" t="s">
        <v>1238</v>
      </c>
      <c r="AC577">
        <v>832</v>
      </c>
      <c r="AD577" t="s">
        <v>1279</v>
      </c>
      <c r="AE577">
        <v>3</v>
      </c>
      <c r="AF577" t="s">
        <v>1290</v>
      </c>
      <c r="AG577">
        <v>0</v>
      </c>
      <c r="AH577">
        <v>0</v>
      </c>
      <c r="AI577">
        <v>0</v>
      </c>
      <c r="AJ577">
        <v>1917</v>
      </c>
      <c r="AK577">
        <v>2017</v>
      </c>
      <c r="AL577" t="s">
        <v>1194</v>
      </c>
      <c r="AM577" s="4" t="s">
        <v>1238</v>
      </c>
      <c r="AN577">
        <v>1</v>
      </c>
      <c r="AO577" t="s">
        <v>1315</v>
      </c>
      <c r="AP577">
        <f t="shared" si="16"/>
        <v>0</v>
      </c>
      <c r="AQ577">
        <v>0</v>
      </c>
      <c r="AR577" t="s">
        <v>1993</v>
      </c>
      <c r="AS577" t="s">
        <v>1996</v>
      </c>
      <c r="AT577" t="s">
        <v>1995</v>
      </c>
      <c r="AU577" t="s">
        <v>1996</v>
      </c>
      <c r="AV577" t="s">
        <v>1996</v>
      </c>
      <c r="AW577" t="s">
        <v>1996</v>
      </c>
      <c r="AX577" t="s">
        <v>2003</v>
      </c>
      <c r="AY577" t="s">
        <v>1996</v>
      </c>
      <c r="AZ577">
        <v>6818</v>
      </c>
      <c r="BA577" t="s">
        <v>1194</v>
      </c>
      <c r="BB577" t="s">
        <v>1194</v>
      </c>
      <c r="BC577" s="3">
        <v>0</v>
      </c>
      <c r="BD577" s="3">
        <v>668.64</v>
      </c>
      <c r="BE577" s="3">
        <v>0</v>
      </c>
      <c r="BF577" s="3">
        <v>0</v>
      </c>
      <c r="BG577" s="3">
        <v>160</v>
      </c>
      <c r="BH577" s="3">
        <v>0</v>
      </c>
      <c r="BI577" s="3">
        <v>0</v>
      </c>
      <c r="BJ577" s="3">
        <v>8921</v>
      </c>
      <c r="BK577" s="3">
        <v>-5</v>
      </c>
      <c r="BL577" s="3">
        <v>8916</v>
      </c>
      <c r="BM577" s="2">
        <f t="shared" ca="1" si="17"/>
        <v>3</v>
      </c>
      <c r="BN577" s="3">
        <v>2000000</v>
      </c>
      <c r="BO577" s="3">
        <v>2000000</v>
      </c>
      <c r="BP577" s="3">
        <v>100000</v>
      </c>
      <c r="BQ577" s="3">
        <v>100000</v>
      </c>
      <c r="BR577" s="3">
        <v>250000</v>
      </c>
      <c r="BS577">
        <v>250000</v>
      </c>
      <c r="BT577">
        <v>0</v>
      </c>
      <c r="BU577">
        <v>0</v>
      </c>
      <c r="BV577">
        <v>1</v>
      </c>
      <c r="BW577">
        <v>0</v>
      </c>
      <c r="BX577">
        <v>0</v>
      </c>
      <c r="BY577">
        <v>0</v>
      </c>
      <c r="BZ577" t="s">
        <v>2949</v>
      </c>
      <c r="CA577" t="s">
        <v>1194</v>
      </c>
      <c r="CB577" t="s">
        <v>2949</v>
      </c>
    </row>
    <row r="578" spans="1:80" x14ac:dyDescent="0.25">
      <c r="A578">
        <v>577</v>
      </c>
      <c r="B578" t="s">
        <v>2591</v>
      </c>
      <c r="C578" s="1">
        <v>44685</v>
      </c>
      <c r="D578">
        <v>12</v>
      </c>
      <c r="E578" t="s">
        <v>5</v>
      </c>
      <c r="F578" t="s">
        <v>1310</v>
      </c>
      <c r="G578">
        <v>0</v>
      </c>
      <c r="H578" s="3">
        <v>2331470</v>
      </c>
      <c r="I578" s="3">
        <v>3547950</v>
      </c>
      <c r="J578" s="3">
        <v>1080735</v>
      </c>
      <c r="K578" s="3">
        <v>466294</v>
      </c>
      <c r="L578" t="s">
        <v>1191</v>
      </c>
      <c r="M578">
        <v>1460501</v>
      </c>
      <c r="N578" t="s">
        <v>1359</v>
      </c>
      <c r="P578" t="s">
        <v>1738</v>
      </c>
      <c r="Q578" t="s">
        <v>1255</v>
      </c>
      <c r="R578">
        <v>59747</v>
      </c>
      <c r="S578" t="s">
        <v>1739</v>
      </c>
      <c r="T578" t="s">
        <v>965</v>
      </c>
      <c r="U578">
        <v>0</v>
      </c>
      <c r="V578">
        <v>1</v>
      </c>
      <c r="W578" t="s">
        <v>1194</v>
      </c>
      <c r="X578" t="s">
        <v>973</v>
      </c>
      <c r="Y578">
        <v>10000</v>
      </c>
      <c r="Z578" s="2" t="s">
        <v>1194</v>
      </c>
      <c r="AA578" s="2">
        <v>1</v>
      </c>
      <c r="AB578">
        <v>2.5000000000000001E-3</v>
      </c>
      <c r="AC578">
        <v>818</v>
      </c>
      <c r="AD578" t="s">
        <v>1279</v>
      </c>
      <c r="AE578">
        <v>9</v>
      </c>
      <c r="AF578" t="s">
        <v>1290</v>
      </c>
      <c r="AG578">
        <v>0</v>
      </c>
      <c r="AH578">
        <v>0</v>
      </c>
      <c r="AI578">
        <v>0</v>
      </c>
      <c r="AJ578">
        <v>2012</v>
      </c>
      <c r="AK578" t="s">
        <v>1194</v>
      </c>
      <c r="AL578" t="s">
        <v>1194</v>
      </c>
      <c r="AM578" s="4" t="s">
        <v>1304</v>
      </c>
      <c r="AN578">
        <v>1</v>
      </c>
      <c r="AO578" t="s">
        <v>1315</v>
      </c>
      <c r="AP578">
        <f t="shared" si="16"/>
        <v>0</v>
      </c>
      <c r="AQ578">
        <v>1</v>
      </c>
      <c r="AR578" t="s">
        <v>1992</v>
      </c>
      <c r="AS578" t="s">
        <v>1996</v>
      </c>
      <c r="AT578" t="s">
        <v>1995</v>
      </c>
      <c r="AU578" t="s">
        <v>1995</v>
      </c>
      <c r="AV578" t="s">
        <v>1995</v>
      </c>
      <c r="AW578" t="s">
        <v>1995</v>
      </c>
      <c r="AX578" t="s">
        <v>1194</v>
      </c>
      <c r="AY578" t="s">
        <v>1996</v>
      </c>
      <c r="AZ578">
        <v>4200</v>
      </c>
      <c r="BA578">
        <v>3</v>
      </c>
      <c r="BB578" t="s">
        <v>2016</v>
      </c>
      <c r="BC578" s="3">
        <v>0</v>
      </c>
      <c r="BD578" s="3">
        <v>0</v>
      </c>
      <c r="BE578" s="3">
        <v>0</v>
      </c>
      <c r="BF578" s="3">
        <v>0</v>
      </c>
      <c r="BG578" s="3">
        <v>130</v>
      </c>
      <c r="BH578" s="3">
        <v>0</v>
      </c>
      <c r="BI578" s="3">
        <v>0</v>
      </c>
      <c r="BJ578" s="3">
        <v>12150.43</v>
      </c>
      <c r="BK578" s="3">
        <v>290</v>
      </c>
      <c r="BL578" s="3">
        <v>12440.43</v>
      </c>
      <c r="BM578" s="2">
        <f t="shared" ca="1" si="17"/>
        <v>5</v>
      </c>
      <c r="BN578" s="3">
        <v>50000</v>
      </c>
      <c r="BO578" s="3">
        <v>1000000</v>
      </c>
      <c r="BP578" s="3">
        <v>50000</v>
      </c>
      <c r="BQ578" s="3">
        <v>50000</v>
      </c>
      <c r="BR578" s="3">
        <v>500000</v>
      </c>
      <c r="BS578">
        <v>50000</v>
      </c>
      <c r="BT578">
        <v>0</v>
      </c>
      <c r="BU578">
        <v>0</v>
      </c>
      <c r="BV578">
        <v>1</v>
      </c>
      <c r="BW578">
        <v>0</v>
      </c>
      <c r="BX578">
        <v>0</v>
      </c>
      <c r="BY578">
        <v>0</v>
      </c>
      <c r="BZ578" t="s">
        <v>2958</v>
      </c>
      <c r="CA578" t="s">
        <v>1194</v>
      </c>
      <c r="CB578" t="s">
        <v>2945</v>
      </c>
    </row>
    <row r="579" spans="1:80" x14ac:dyDescent="0.25">
      <c r="A579">
        <v>578</v>
      </c>
      <c r="B579" t="s">
        <v>2592</v>
      </c>
      <c r="C579" s="1">
        <v>44719</v>
      </c>
      <c r="D579">
        <v>12</v>
      </c>
      <c r="E579" t="s">
        <v>4</v>
      </c>
      <c r="F579" t="s">
        <v>1311</v>
      </c>
      <c r="G579">
        <v>0</v>
      </c>
      <c r="H579" s="3">
        <v>0</v>
      </c>
      <c r="I579" s="3">
        <v>0</v>
      </c>
      <c r="J579" s="3">
        <v>1998977</v>
      </c>
      <c r="K579" s="3">
        <v>399795.4</v>
      </c>
      <c r="L579" t="s">
        <v>1192</v>
      </c>
      <c r="M579">
        <v>1261587</v>
      </c>
      <c r="N579" t="s">
        <v>1360</v>
      </c>
      <c r="O579" t="s">
        <v>1361</v>
      </c>
      <c r="P579" t="s">
        <v>1740</v>
      </c>
      <c r="Q579" t="s">
        <v>1239</v>
      </c>
      <c r="R579">
        <v>81615</v>
      </c>
      <c r="S579" t="s">
        <v>1729</v>
      </c>
      <c r="T579" t="s">
        <v>965</v>
      </c>
      <c r="U579">
        <v>0</v>
      </c>
      <c r="V579">
        <v>59</v>
      </c>
      <c r="W579" t="s">
        <v>1194</v>
      </c>
      <c r="X579" t="s">
        <v>973</v>
      </c>
      <c r="Y579">
        <v>10000</v>
      </c>
      <c r="Z579" s="2" t="s">
        <v>1194</v>
      </c>
      <c r="AA579" s="2">
        <v>1</v>
      </c>
      <c r="AB579">
        <v>2.5000000000000001E-3</v>
      </c>
      <c r="AC579">
        <v>805</v>
      </c>
      <c r="AD579" t="s">
        <v>1279</v>
      </c>
      <c r="AE579">
        <v>3</v>
      </c>
      <c r="AF579" t="s">
        <v>1290</v>
      </c>
      <c r="AG579">
        <v>0</v>
      </c>
      <c r="AH579">
        <v>0</v>
      </c>
      <c r="AI579">
        <v>0</v>
      </c>
      <c r="AJ579">
        <v>1990</v>
      </c>
      <c r="AK579" t="s">
        <v>1194</v>
      </c>
      <c r="AL579" t="s">
        <v>1194</v>
      </c>
      <c r="AM579" s="4" t="s">
        <v>1238</v>
      </c>
      <c r="AN579">
        <v>1</v>
      </c>
      <c r="AO579" t="s">
        <v>1316</v>
      </c>
      <c r="AP579">
        <f t="shared" si="16"/>
        <v>0</v>
      </c>
      <c r="AQ579">
        <v>0</v>
      </c>
      <c r="AR579" t="s">
        <v>1993</v>
      </c>
      <c r="AS579" t="s">
        <v>1995</v>
      </c>
      <c r="AT579" t="s">
        <v>1995</v>
      </c>
      <c r="AU579" t="s">
        <v>1995</v>
      </c>
      <c r="AV579" t="s">
        <v>1996</v>
      </c>
      <c r="AW579" t="s">
        <v>1995</v>
      </c>
      <c r="AX579" t="s">
        <v>1194</v>
      </c>
      <c r="AY579" t="s">
        <v>1996</v>
      </c>
      <c r="AZ579">
        <v>2929</v>
      </c>
      <c r="BA579">
        <v>2</v>
      </c>
      <c r="BB579" t="s">
        <v>1194</v>
      </c>
      <c r="BC579" s="3">
        <v>0</v>
      </c>
      <c r="BD579" s="3">
        <v>0</v>
      </c>
      <c r="BE579" s="3">
        <v>0</v>
      </c>
      <c r="BF579" s="3">
        <v>2535.66</v>
      </c>
      <c r="BG579" s="3">
        <v>175</v>
      </c>
      <c r="BH579" s="3">
        <v>0</v>
      </c>
      <c r="BI579" s="3">
        <v>0</v>
      </c>
      <c r="BJ579" s="3">
        <v>8732.85</v>
      </c>
      <c r="BK579" s="3">
        <v>250</v>
      </c>
      <c r="BL579" s="3">
        <v>8982.85</v>
      </c>
      <c r="BM579" s="2">
        <f t="shared" ca="1" si="17"/>
        <v>5</v>
      </c>
      <c r="BN579" s="3" t="s">
        <v>2916</v>
      </c>
      <c r="BO579" s="3">
        <v>50000</v>
      </c>
      <c r="BP579" s="3">
        <v>100000</v>
      </c>
      <c r="BQ579" s="3">
        <v>500000</v>
      </c>
      <c r="BR579" s="3">
        <v>500000</v>
      </c>
      <c r="BS579">
        <v>50000</v>
      </c>
      <c r="BT579">
        <v>0</v>
      </c>
      <c r="BU579">
        <v>0</v>
      </c>
      <c r="BV579">
        <v>0</v>
      </c>
      <c r="BW579">
        <v>1</v>
      </c>
      <c r="BX579">
        <v>1</v>
      </c>
      <c r="BY579">
        <v>0</v>
      </c>
      <c r="BZ579" t="s">
        <v>1194</v>
      </c>
      <c r="CA579" t="s">
        <v>1194</v>
      </c>
      <c r="CB579" t="s">
        <v>1194</v>
      </c>
    </row>
    <row r="580" spans="1:80" x14ac:dyDescent="0.25">
      <c r="A580">
        <v>579</v>
      </c>
      <c r="B580" t="s">
        <v>2593</v>
      </c>
      <c r="C580" s="1">
        <v>44848</v>
      </c>
      <c r="D580">
        <v>12</v>
      </c>
      <c r="E580" t="s">
        <v>5</v>
      </c>
      <c r="F580" t="s">
        <v>1310</v>
      </c>
      <c r="G580">
        <v>1</v>
      </c>
      <c r="H580" s="3">
        <v>2322000</v>
      </c>
      <c r="I580" s="3">
        <v>364000</v>
      </c>
      <c r="J580" s="3">
        <v>0</v>
      </c>
      <c r="K580" s="3">
        <v>0</v>
      </c>
      <c r="L580" t="s">
        <v>1191</v>
      </c>
      <c r="M580">
        <v>2005874</v>
      </c>
      <c r="N580" t="s">
        <v>1362</v>
      </c>
      <c r="P580" t="s">
        <v>1741</v>
      </c>
      <c r="Q580" t="s">
        <v>1246</v>
      </c>
      <c r="R580">
        <v>60022</v>
      </c>
      <c r="S580" t="s">
        <v>1734</v>
      </c>
      <c r="T580" t="s">
        <v>965</v>
      </c>
      <c r="U580">
        <v>0</v>
      </c>
      <c r="V580">
        <v>7</v>
      </c>
      <c r="W580" t="s">
        <v>1194</v>
      </c>
      <c r="X580" t="s">
        <v>973</v>
      </c>
      <c r="Y580">
        <v>50000</v>
      </c>
      <c r="Z580" s="2" t="s">
        <v>1194</v>
      </c>
      <c r="AA580" s="2">
        <v>0</v>
      </c>
      <c r="AB580" t="s">
        <v>1238</v>
      </c>
      <c r="AC580">
        <v>855</v>
      </c>
      <c r="AD580" t="s">
        <v>1284</v>
      </c>
      <c r="AE580">
        <v>2</v>
      </c>
      <c r="AF580" t="s">
        <v>1290</v>
      </c>
      <c r="AG580">
        <v>0</v>
      </c>
      <c r="AH580">
        <v>0</v>
      </c>
      <c r="AI580">
        <v>0</v>
      </c>
      <c r="AJ580">
        <v>1958</v>
      </c>
      <c r="AK580">
        <v>1986</v>
      </c>
      <c r="AL580">
        <v>2000</v>
      </c>
      <c r="AM580" s="4" t="s">
        <v>1306</v>
      </c>
      <c r="AN580">
        <v>1</v>
      </c>
      <c r="AO580" t="s">
        <v>1315</v>
      </c>
      <c r="AP580">
        <f t="shared" ref="AP580:AP643" si="18">AI580</f>
        <v>0</v>
      </c>
      <c r="AQ580">
        <v>1</v>
      </c>
      <c r="AR580" t="s">
        <v>1992</v>
      </c>
      <c r="AS580" t="s">
        <v>1996</v>
      </c>
      <c r="AT580" t="s">
        <v>1995</v>
      </c>
      <c r="AU580" t="s">
        <v>1996</v>
      </c>
      <c r="AV580" t="s">
        <v>1996</v>
      </c>
      <c r="AW580" t="s">
        <v>1995</v>
      </c>
      <c r="AX580" t="s">
        <v>1194</v>
      </c>
      <c r="AY580" t="s">
        <v>1996</v>
      </c>
      <c r="AZ580">
        <v>4200</v>
      </c>
      <c r="BA580" t="s">
        <v>1194</v>
      </c>
      <c r="BB580" t="s">
        <v>1194</v>
      </c>
      <c r="BC580" s="3">
        <v>0</v>
      </c>
      <c r="BD580" s="3">
        <v>0</v>
      </c>
      <c r="BE580" s="3">
        <v>0</v>
      </c>
      <c r="BF580" s="3">
        <v>0</v>
      </c>
      <c r="BG580" s="3">
        <v>175</v>
      </c>
      <c r="BH580" s="3">
        <v>0</v>
      </c>
      <c r="BI580" s="3">
        <v>0</v>
      </c>
      <c r="BJ580" s="3">
        <v>4516.91</v>
      </c>
      <c r="BK580" s="3">
        <v>-10</v>
      </c>
      <c r="BL580" s="3">
        <v>4506.91</v>
      </c>
      <c r="BM580" s="2">
        <f t="shared" ref="BM580:BM643" ca="1" si="19">IF(ROUND((6*RAND()),0)=0,1,(ROUND((6*RAND()),0)))</f>
        <v>3</v>
      </c>
      <c r="BN580" s="3">
        <v>100000</v>
      </c>
      <c r="BO580" s="3">
        <v>50000</v>
      </c>
      <c r="BP580" s="3">
        <v>50000</v>
      </c>
      <c r="BQ580" s="3">
        <v>50000</v>
      </c>
      <c r="BR580" s="3">
        <v>250000</v>
      </c>
      <c r="BS580">
        <v>500000</v>
      </c>
      <c r="BT580">
        <v>0</v>
      </c>
      <c r="BU580">
        <v>0</v>
      </c>
      <c r="BV580">
        <v>0</v>
      </c>
      <c r="BW580">
        <v>1</v>
      </c>
      <c r="BX580">
        <v>1</v>
      </c>
      <c r="BY580">
        <v>0</v>
      </c>
      <c r="BZ580" t="s">
        <v>2949</v>
      </c>
      <c r="CA580" t="s">
        <v>1194</v>
      </c>
      <c r="CB580" t="s">
        <v>2952</v>
      </c>
    </row>
    <row r="581" spans="1:80" x14ac:dyDescent="0.25">
      <c r="A581">
        <v>580</v>
      </c>
      <c r="B581" t="s">
        <v>2594</v>
      </c>
      <c r="C581" s="1">
        <v>44805</v>
      </c>
      <c r="D581">
        <v>39</v>
      </c>
      <c r="E581" t="s">
        <v>4</v>
      </c>
      <c r="F581" t="s">
        <v>1311</v>
      </c>
      <c r="G581">
        <v>1</v>
      </c>
      <c r="H581" s="3">
        <v>2115064</v>
      </c>
      <c r="I581" s="3">
        <v>303257</v>
      </c>
      <c r="J581" s="3">
        <v>1057532</v>
      </c>
      <c r="K581" s="3">
        <v>0</v>
      </c>
      <c r="L581" t="s">
        <v>1191</v>
      </c>
      <c r="M581">
        <v>247947</v>
      </c>
      <c r="N581" t="s">
        <v>1363</v>
      </c>
      <c r="P581" t="s">
        <v>1742</v>
      </c>
      <c r="Q581" t="s">
        <v>1267</v>
      </c>
      <c r="R581">
        <v>84103</v>
      </c>
      <c r="S581" t="s">
        <v>1743</v>
      </c>
      <c r="T581" t="s">
        <v>965</v>
      </c>
      <c r="U581">
        <v>0</v>
      </c>
      <c r="V581">
        <v>2</v>
      </c>
      <c r="W581" t="s">
        <v>1194</v>
      </c>
      <c r="X581" t="s">
        <v>973</v>
      </c>
      <c r="Y581">
        <v>10000</v>
      </c>
      <c r="Z581" s="2" t="s">
        <v>1194</v>
      </c>
      <c r="AA581" s="2" t="s">
        <v>1238</v>
      </c>
      <c r="AB581" t="s">
        <v>1238</v>
      </c>
      <c r="AC581">
        <v>730</v>
      </c>
      <c r="AD581" t="s">
        <v>1279</v>
      </c>
      <c r="AE581">
        <v>1</v>
      </c>
      <c r="AF581" t="s">
        <v>1290</v>
      </c>
      <c r="AG581">
        <v>0</v>
      </c>
      <c r="AH581">
        <v>1</v>
      </c>
      <c r="AI581">
        <v>1</v>
      </c>
      <c r="AJ581">
        <v>1994</v>
      </c>
      <c r="AK581" t="s">
        <v>1194</v>
      </c>
      <c r="AL581">
        <v>2010</v>
      </c>
      <c r="AM581" s="4" t="s">
        <v>1238</v>
      </c>
      <c r="AN581">
        <v>1</v>
      </c>
      <c r="AO581" t="s">
        <v>1316</v>
      </c>
      <c r="AP581">
        <f t="shared" si="18"/>
        <v>1</v>
      </c>
      <c r="AQ581">
        <v>0</v>
      </c>
      <c r="AR581" t="s">
        <v>1993</v>
      </c>
      <c r="AS581" t="s">
        <v>1996</v>
      </c>
      <c r="AT581" t="s">
        <v>1995</v>
      </c>
      <c r="AU581" t="s">
        <v>1995</v>
      </c>
      <c r="AV581" t="s">
        <v>1995</v>
      </c>
      <c r="AW581" t="s">
        <v>1996</v>
      </c>
      <c r="AX581" t="s">
        <v>1194</v>
      </c>
      <c r="AY581" t="s">
        <v>1996</v>
      </c>
      <c r="AZ581">
        <v>4043</v>
      </c>
      <c r="BA581">
        <v>1</v>
      </c>
      <c r="BB581" t="s">
        <v>2017</v>
      </c>
      <c r="BC581" s="3">
        <v>0</v>
      </c>
      <c r="BD581" s="3">
        <v>3021.39</v>
      </c>
      <c r="BE581" s="3">
        <v>0</v>
      </c>
      <c r="BF581" s="3">
        <v>3021.39</v>
      </c>
      <c r="BG581" s="3">
        <v>120</v>
      </c>
      <c r="BH581" s="3">
        <v>0</v>
      </c>
      <c r="BI581" s="3">
        <v>0</v>
      </c>
      <c r="BJ581" s="3">
        <v>11176.7</v>
      </c>
      <c r="BK581" s="3">
        <v>-15</v>
      </c>
      <c r="BL581" s="3">
        <v>11161.7</v>
      </c>
      <c r="BM581" s="2">
        <f t="shared" ca="1" si="19"/>
        <v>4</v>
      </c>
      <c r="BN581" s="3">
        <v>1000000</v>
      </c>
      <c r="BO581" s="3">
        <v>2000000</v>
      </c>
      <c r="BP581" s="3" t="s">
        <v>2922</v>
      </c>
      <c r="BQ581" s="3">
        <v>1000000</v>
      </c>
      <c r="BR581" s="3">
        <v>2000000</v>
      </c>
      <c r="BS581">
        <v>500000</v>
      </c>
      <c r="BT581">
        <v>0</v>
      </c>
      <c r="BU581">
        <v>0</v>
      </c>
      <c r="BV581">
        <v>1</v>
      </c>
      <c r="BW581">
        <v>0</v>
      </c>
      <c r="BX581">
        <v>0</v>
      </c>
      <c r="BY581">
        <v>0</v>
      </c>
      <c r="BZ581" t="s">
        <v>2949</v>
      </c>
      <c r="CA581" t="s">
        <v>1194</v>
      </c>
      <c r="CB581" t="s">
        <v>2949</v>
      </c>
    </row>
    <row r="582" spans="1:80" x14ac:dyDescent="0.25">
      <c r="A582">
        <v>581</v>
      </c>
      <c r="B582" t="s">
        <v>2595</v>
      </c>
      <c r="C582" s="1">
        <v>44856</v>
      </c>
      <c r="D582">
        <v>12</v>
      </c>
      <c r="E582" t="s">
        <v>5</v>
      </c>
      <c r="F582" t="s">
        <v>1310</v>
      </c>
      <c r="G582">
        <v>1</v>
      </c>
      <c r="H582" s="3">
        <v>2953900</v>
      </c>
      <c r="I582" s="3">
        <v>229990</v>
      </c>
      <c r="J582" s="3">
        <v>1149950</v>
      </c>
      <c r="K582" s="3">
        <v>0</v>
      </c>
      <c r="L582" t="s">
        <v>1191</v>
      </c>
      <c r="M582">
        <v>1690349</v>
      </c>
      <c r="N582" t="s">
        <v>1364</v>
      </c>
      <c r="P582" t="s">
        <v>1730</v>
      </c>
      <c r="Q582" t="s">
        <v>1261</v>
      </c>
      <c r="R582">
        <v>74114</v>
      </c>
      <c r="S582" t="s">
        <v>1730</v>
      </c>
      <c r="T582" t="s">
        <v>965</v>
      </c>
      <c r="U582">
        <v>0</v>
      </c>
      <c r="V582">
        <v>4</v>
      </c>
      <c r="W582" t="s">
        <v>1194</v>
      </c>
      <c r="X582" t="s">
        <v>973</v>
      </c>
      <c r="Y582">
        <v>10000</v>
      </c>
      <c r="Z582" s="2">
        <v>1</v>
      </c>
      <c r="AA582" s="2">
        <v>1</v>
      </c>
      <c r="AB582">
        <v>0.03</v>
      </c>
      <c r="AC582">
        <v>799</v>
      </c>
      <c r="AD582" t="s">
        <v>1279</v>
      </c>
      <c r="AE582">
        <v>1</v>
      </c>
      <c r="AF582" t="s">
        <v>1290</v>
      </c>
      <c r="AG582">
        <v>0</v>
      </c>
      <c r="AH582">
        <v>0</v>
      </c>
      <c r="AI582">
        <v>0</v>
      </c>
      <c r="AJ582">
        <v>1983</v>
      </c>
      <c r="AK582" t="s">
        <v>1194</v>
      </c>
      <c r="AL582">
        <v>2014</v>
      </c>
      <c r="AM582" s="4" t="s">
        <v>1306</v>
      </c>
      <c r="AN582">
        <v>0</v>
      </c>
      <c r="AO582" t="s">
        <v>1316</v>
      </c>
      <c r="AP582">
        <f t="shared" si="18"/>
        <v>0</v>
      </c>
      <c r="AQ582">
        <v>1</v>
      </c>
      <c r="AR582" t="s">
        <v>1992</v>
      </c>
      <c r="AS582" t="s">
        <v>1995</v>
      </c>
      <c r="AT582" t="s">
        <v>1995</v>
      </c>
      <c r="AU582" t="s">
        <v>1995</v>
      </c>
      <c r="AV582" t="s">
        <v>1995</v>
      </c>
      <c r="AW582" t="s">
        <v>1995</v>
      </c>
      <c r="AX582" t="s">
        <v>1194</v>
      </c>
      <c r="AY582" t="s">
        <v>1996</v>
      </c>
      <c r="AZ582">
        <v>5550</v>
      </c>
      <c r="BA582" t="s">
        <v>1194</v>
      </c>
      <c r="BB582" t="s">
        <v>1194</v>
      </c>
      <c r="BC582" s="3">
        <v>0</v>
      </c>
      <c r="BD582" s="3">
        <v>0</v>
      </c>
      <c r="BE582" s="3">
        <v>0</v>
      </c>
      <c r="BF582" s="3">
        <v>0</v>
      </c>
      <c r="BG582" s="3">
        <v>210</v>
      </c>
      <c r="BH582" s="3">
        <v>0</v>
      </c>
      <c r="BI582" s="3">
        <v>0</v>
      </c>
      <c r="BJ582" s="3">
        <v>11974.88</v>
      </c>
      <c r="BK582" s="3">
        <v>65</v>
      </c>
      <c r="BL582" s="3">
        <v>12039.88</v>
      </c>
      <c r="BM582" s="2">
        <f t="shared" ca="1" si="19"/>
        <v>2</v>
      </c>
      <c r="BN582" s="3">
        <v>1000000</v>
      </c>
      <c r="BO582" s="3">
        <v>20000</v>
      </c>
      <c r="BP582" s="3">
        <v>100000</v>
      </c>
      <c r="BQ582" s="3">
        <v>50000</v>
      </c>
      <c r="BR582" s="3">
        <v>100000</v>
      </c>
      <c r="BS582">
        <v>50000</v>
      </c>
      <c r="BT582">
        <v>0</v>
      </c>
      <c r="BU582">
        <v>0</v>
      </c>
      <c r="BV582">
        <v>1</v>
      </c>
      <c r="BW582">
        <v>0</v>
      </c>
      <c r="BX582">
        <v>0</v>
      </c>
      <c r="BY582">
        <v>0</v>
      </c>
      <c r="BZ582" t="s">
        <v>2958</v>
      </c>
      <c r="CA582" t="s">
        <v>1194</v>
      </c>
      <c r="CB582" t="s">
        <v>2945</v>
      </c>
    </row>
    <row r="583" spans="1:80" x14ac:dyDescent="0.25">
      <c r="A583">
        <v>582</v>
      </c>
      <c r="B583" t="s">
        <v>2596</v>
      </c>
      <c r="C583" s="1">
        <v>44857</v>
      </c>
      <c r="D583">
        <v>12</v>
      </c>
      <c r="E583" t="s">
        <v>6</v>
      </c>
      <c r="F583" t="s">
        <v>1310</v>
      </c>
      <c r="G583">
        <v>1</v>
      </c>
      <c r="H583" s="3">
        <v>1843548</v>
      </c>
      <c r="I583" s="3">
        <v>169850</v>
      </c>
      <c r="J583" s="3">
        <v>846774</v>
      </c>
      <c r="K583" s="3">
        <v>368709.6</v>
      </c>
      <c r="L583" t="s">
        <v>1191</v>
      </c>
      <c r="M583">
        <v>262266</v>
      </c>
      <c r="N583" t="s">
        <v>1365</v>
      </c>
      <c r="P583" t="s">
        <v>1744</v>
      </c>
      <c r="Q583" t="s">
        <v>1246</v>
      </c>
      <c r="R583">
        <v>60201</v>
      </c>
      <c r="S583" t="s">
        <v>1734</v>
      </c>
      <c r="T583" t="s">
        <v>965</v>
      </c>
      <c r="U583">
        <v>0</v>
      </c>
      <c r="V583">
        <v>7</v>
      </c>
      <c r="W583" t="s">
        <v>1194</v>
      </c>
      <c r="X583" t="s">
        <v>973</v>
      </c>
      <c r="Y583">
        <v>10000</v>
      </c>
      <c r="Z583" s="2" t="s">
        <v>1194</v>
      </c>
      <c r="AA583" s="2">
        <v>0</v>
      </c>
      <c r="AB583" t="s">
        <v>1238</v>
      </c>
      <c r="AC583">
        <v>711</v>
      </c>
      <c r="AD583" t="s">
        <v>1279</v>
      </c>
      <c r="AE583">
        <v>2</v>
      </c>
      <c r="AF583" t="s">
        <v>1290</v>
      </c>
      <c r="AG583">
        <v>0</v>
      </c>
      <c r="AH583">
        <v>0</v>
      </c>
      <c r="AI583">
        <v>0</v>
      </c>
      <c r="AJ583">
        <v>1916</v>
      </c>
      <c r="AK583">
        <v>2004</v>
      </c>
      <c r="AL583">
        <v>2003</v>
      </c>
      <c r="AM583" s="4" t="s">
        <v>1305</v>
      </c>
      <c r="AN583">
        <v>0</v>
      </c>
      <c r="AO583" t="s">
        <v>1315</v>
      </c>
      <c r="AP583">
        <f t="shared" si="18"/>
        <v>0</v>
      </c>
      <c r="AQ583">
        <v>1</v>
      </c>
      <c r="AR583" t="s">
        <v>1992</v>
      </c>
      <c r="AS583" t="s">
        <v>1995</v>
      </c>
      <c r="AT583" t="s">
        <v>1995</v>
      </c>
      <c r="AU583" t="s">
        <v>1996</v>
      </c>
      <c r="AV583" t="s">
        <v>1995</v>
      </c>
      <c r="AW583" t="s">
        <v>1996</v>
      </c>
      <c r="AX583" t="s">
        <v>1194</v>
      </c>
      <c r="AY583" t="s">
        <v>1996</v>
      </c>
      <c r="AZ583">
        <v>4096</v>
      </c>
      <c r="BA583" t="s">
        <v>1194</v>
      </c>
      <c r="BB583" t="s">
        <v>1194</v>
      </c>
      <c r="BC583" s="3">
        <v>0</v>
      </c>
      <c r="BD583" s="3">
        <v>0</v>
      </c>
      <c r="BE583" s="3">
        <v>0</v>
      </c>
      <c r="BF583" s="3">
        <v>0</v>
      </c>
      <c r="BG583" s="3">
        <v>210</v>
      </c>
      <c r="BH583" s="3">
        <v>0</v>
      </c>
      <c r="BI583" s="3">
        <v>0</v>
      </c>
      <c r="BJ583" s="3">
        <v>5018.46</v>
      </c>
      <c r="BK583" s="3">
        <v>340</v>
      </c>
      <c r="BL583" s="3">
        <v>5358.46</v>
      </c>
      <c r="BM583" s="2">
        <f t="shared" ca="1" si="19"/>
        <v>3</v>
      </c>
      <c r="BN583" s="3" t="s">
        <v>2916</v>
      </c>
      <c r="BO583" s="3">
        <v>50000</v>
      </c>
      <c r="BP583" s="3" t="s">
        <v>2922</v>
      </c>
      <c r="BQ583" s="3">
        <v>250000</v>
      </c>
      <c r="BR583" s="3">
        <v>1000000</v>
      </c>
      <c r="BS583">
        <v>500000</v>
      </c>
      <c r="BT583">
        <v>0</v>
      </c>
      <c r="BU583">
        <v>0</v>
      </c>
      <c r="BV583">
        <v>1</v>
      </c>
      <c r="BW583">
        <v>0</v>
      </c>
      <c r="BX583">
        <v>0</v>
      </c>
      <c r="BY583">
        <v>0</v>
      </c>
      <c r="BZ583" t="s">
        <v>2958</v>
      </c>
      <c r="CA583" t="s">
        <v>1194</v>
      </c>
      <c r="CB583" t="s">
        <v>2949</v>
      </c>
    </row>
    <row r="584" spans="1:80" x14ac:dyDescent="0.25">
      <c r="A584">
        <v>583</v>
      </c>
      <c r="B584" t="s">
        <v>2597</v>
      </c>
      <c r="C584" s="1">
        <v>44935</v>
      </c>
      <c r="D584">
        <v>12</v>
      </c>
      <c r="E584" t="s">
        <v>5</v>
      </c>
      <c r="F584" t="s">
        <v>1310</v>
      </c>
      <c r="G584">
        <v>0</v>
      </c>
      <c r="H584" s="3">
        <v>21230952</v>
      </c>
      <c r="I584" s="3">
        <v>2123095</v>
      </c>
      <c r="J584" s="3">
        <v>6065986</v>
      </c>
      <c r="K584" s="3">
        <v>0</v>
      </c>
      <c r="L584" t="s">
        <v>1191</v>
      </c>
      <c r="M584">
        <v>1372740</v>
      </c>
      <c r="N584" t="s">
        <v>1366</v>
      </c>
      <c r="P584" t="s">
        <v>1745</v>
      </c>
      <c r="Q584" t="s">
        <v>1240</v>
      </c>
      <c r="R584">
        <v>6890</v>
      </c>
      <c r="S584" t="s">
        <v>1706</v>
      </c>
      <c r="T584" t="s">
        <v>979</v>
      </c>
      <c r="U584">
        <v>1</v>
      </c>
      <c r="V584">
        <v>51</v>
      </c>
      <c r="W584" t="s">
        <v>1194</v>
      </c>
      <c r="X584" t="s">
        <v>1309</v>
      </c>
      <c r="Y584">
        <v>25000</v>
      </c>
      <c r="Z584" s="2" t="s">
        <v>1194</v>
      </c>
      <c r="AA584" s="2" t="s">
        <v>1238</v>
      </c>
      <c r="AB584" t="s">
        <v>1238</v>
      </c>
      <c r="AC584">
        <v>929</v>
      </c>
      <c r="AD584" t="s">
        <v>1279</v>
      </c>
      <c r="AE584">
        <v>3</v>
      </c>
      <c r="AF584" t="s">
        <v>1290</v>
      </c>
      <c r="AG584">
        <v>0</v>
      </c>
      <c r="AH584">
        <v>0</v>
      </c>
      <c r="AI584">
        <v>0</v>
      </c>
      <c r="AJ584">
        <v>2004</v>
      </c>
      <c r="AK584" t="s">
        <v>1194</v>
      </c>
      <c r="AL584" t="s">
        <v>1194</v>
      </c>
      <c r="AM584" s="4" t="s">
        <v>1305</v>
      </c>
      <c r="AN584">
        <v>0</v>
      </c>
      <c r="AO584" t="s">
        <v>1315</v>
      </c>
      <c r="AP584">
        <f t="shared" si="18"/>
        <v>0</v>
      </c>
      <c r="AQ584">
        <v>0</v>
      </c>
      <c r="AR584" t="s">
        <v>1993</v>
      </c>
      <c r="AS584" t="s">
        <v>1995</v>
      </c>
      <c r="AT584" t="s">
        <v>1995</v>
      </c>
      <c r="AU584" t="s">
        <v>1996</v>
      </c>
      <c r="AV584" t="s">
        <v>1996</v>
      </c>
      <c r="AW584" t="s">
        <v>1996</v>
      </c>
      <c r="AX584" t="s">
        <v>2004</v>
      </c>
      <c r="AY584" t="s">
        <v>1995</v>
      </c>
      <c r="AZ584">
        <v>15477</v>
      </c>
      <c r="BA584" t="s">
        <v>1194</v>
      </c>
      <c r="BB584" t="s">
        <v>1194</v>
      </c>
      <c r="BC584" s="3">
        <v>0</v>
      </c>
      <c r="BD584" s="3">
        <v>10742.72</v>
      </c>
      <c r="BE584" s="3">
        <v>0</v>
      </c>
      <c r="BF584" s="3">
        <v>0</v>
      </c>
      <c r="BG584" s="3">
        <v>130</v>
      </c>
      <c r="BH584" s="3">
        <v>0</v>
      </c>
      <c r="BI584" s="3">
        <v>0</v>
      </c>
      <c r="BJ584" s="3">
        <v>56777</v>
      </c>
      <c r="BK584" s="3">
        <v>1864</v>
      </c>
      <c r="BL584" s="3">
        <v>58641</v>
      </c>
      <c r="BM584" s="2">
        <f t="shared" ca="1" si="19"/>
        <v>5</v>
      </c>
      <c r="BN584" s="3" t="s">
        <v>2916</v>
      </c>
      <c r="BO584" s="3">
        <v>500000</v>
      </c>
      <c r="BP584" s="3">
        <v>50000</v>
      </c>
      <c r="BQ584" s="3">
        <v>1000000</v>
      </c>
      <c r="BR584" s="3" t="s">
        <v>2916</v>
      </c>
      <c r="BS584">
        <v>500000</v>
      </c>
      <c r="BT584">
        <v>0</v>
      </c>
      <c r="BU584">
        <v>0</v>
      </c>
      <c r="BV584">
        <v>0</v>
      </c>
      <c r="BW584">
        <v>1</v>
      </c>
      <c r="BX584">
        <v>1</v>
      </c>
      <c r="BY584">
        <v>0</v>
      </c>
      <c r="BZ584" t="s">
        <v>2949</v>
      </c>
      <c r="CA584" t="s">
        <v>1194</v>
      </c>
      <c r="CB584" t="s">
        <v>2949</v>
      </c>
    </row>
    <row r="585" spans="1:80" x14ac:dyDescent="0.25">
      <c r="A585">
        <v>584</v>
      </c>
      <c r="B585" t="s">
        <v>2598</v>
      </c>
      <c r="C585" s="1">
        <v>44905</v>
      </c>
      <c r="D585">
        <v>12</v>
      </c>
      <c r="E585" t="s">
        <v>4</v>
      </c>
      <c r="F585" t="s">
        <v>1311</v>
      </c>
      <c r="G585">
        <v>0</v>
      </c>
      <c r="H585" s="3">
        <v>3012640</v>
      </c>
      <c r="I585" s="3">
        <v>158560</v>
      </c>
      <c r="J585" s="3">
        <v>1506321</v>
      </c>
      <c r="K585" s="3">
        <v>0</v>
      </c>
      <c r="L585" t="s">
        <v>1191</v>
      </c>
      <c r="M585">
        <v>267575</v>
      </c>
      <c r="N585" t="s">
        <v>1367</v>
      </c>
      <c r="P585" t="s">
        <v>1746</v>
      </c>
      <c r="Q585" t="s">
        <v>1240</v>
      </c>
      <c r="R585">
        <v>6902</v>
      </c>
      <c r="S585" t="s">
        <v>1706</v>
      </c>
      <c r="T585" t="s">
        <v>979</v>
      </c>
      <c r="U585">
        <v>0</v>
      </c>
      <c r="V585">
        <v>51</v>
      </c>
      <c r="W585" t="s">
        <v>1194</v>
      </c>
      <c r="X585" t="s">
        <v>973</v>
      </c>
      <c r="Y585">
        <v>10000</v>
      </c>
      <c r="Z585" s="2">
        <v>0.99998672300000002</v>
      </c>
      <c r="AA585" s="2" t="s">
        <v>1238</v>
      </c>
      <c r="AB585" t="s">
        <v>1238</v>
      </c>
      <c r="AC585">
        <v>739</v>
      </c>
      <c r="AD585" t="s">
        <v>1279</v>
      </c>
      <c r="AE585">
        <v>3</v>
      </c>
      <c r="AF585" t="s">
        <v>1290</v>
      </c>
      <c r="AG585">
        <v>0</v>
      </c>
      <c r="AH585">
        <v>0</v>
      </c>
      <c r="AI585">
        <v>0</v>
      </c>
      <c r="AJ585">
        <v>1972</v>
      </c>
      <c r="AK585" t="s">
        <v>1194</v>
      </c>
      <c r="AL585" t="s">
        <v>1194</v>
      </c>
      <c r="AM585" s="4" t="s">
        <v>1238</v>
      </c>
      <c r="AN585">
        <v>1</v>
      </c>
      <c r="AO585" t="s">
        <v>1316</v>
      </c>
      <c r="AP585">
        <f t="shared" si="18"/>
        <v>0</v>
      </c>
      <c r="AQ585">
        <v>0</v>
      </c>
      <c r="AR585" t="s">
        <v>1993</v>
      </c>
      <c r="AS585" t="s">
        <v>1996</v>
      </c>
      <c r="AT585" t="s">
        <v>1996</v>
      </c>
      <c r="AU585" t="s">
        <v>1996</v>
      </c>
      <c r="AV585" t="s">
        <v>1996</v>
      </c>
      <c r="AW585" t="s">
        <v>1996</v>
      </c>
      <c r="AX585" t="s">
        <v>2003</v>
      </c>
      <c r="AY585" t="s">
        <v>1996</v>
      </c>
      <c r="AZ585">
        <v>3560</v>
      </c>
      <c r="BA585" t="s">
        <v>1194</v>
      </c>
      <c r="BB585" t="s">
        <v>1194</v>
      </c>
      <c r="BC585" s="3">
        <v>0</v>
      </c>
      <c r="BD585" s="3">
        <v>2418.34</v>
      </c>
      <c r="BE585" s="3">
        <v>0</v>
      </c>
      <c r="BF585" s="3">
        <v>0</v>
      </c>
      <c r="BG585" s="3">
        <v>130</v>
      </c>
      <c r="BH585" s="3">
        <v>0</v>
      </c>
      <c r="BI585" s="3">
        <v>0</v>
      </c>
      <c r="BJ585" s="3">
        <v>19328</v>
      </c>
      <c r="BK585" s="3">
        <v>467</v>
      </c>
      <c r="BL585" s="3">
        <v>19795</v>
      </c>
      <c r="BM585" s="2">
        <f t="shared" ca="1" si="19"/>
        <v>0</v>
      </c>
      <c r="BN585" s="3" t="s">
        <v>2916</v>
      </c>
      <c r="BO585" s="3">
        <v>25000</v>
      </c>
      <c r="BP585" s="3">
        <v>200000</v>
      </c>
      <c r="BQ585" s="3">
        <v>25000</v>
      </c>
      <c r="BR585" s="3">
        <v>500000</v>
      </c>
      <c r="BS585">
        <v>50000</v>
      </c>
      <c r="BT585">
        <v>0</v>
      </c>
      <c r="BU585">
        <v>0</v>
      </c>
      <c r="BV585">
        <v>0</v>
      </c>
      <c r="BW585">
        <v>1</v>
      </c>
      <c r="BX585">
        <v>0</v>
      </c>
      <c r="BY585">
        <v>0</v>
      </c>
      <c r="BZ585" t="s">
        <v>2949</v>
      </c>
      <c r="CA585" t="s">
        <v>1194</v>
      </c>
      <c r="CB585" t="s">
        <v>2949</v>
      </c>
    </row>
    <row r="586" spans="1:80" x14ac:dyDescent="0.25">
      <c r="A586">
        <v>585</v>
      </c>
      <c r="B586" t="s">
        <v>2599</v>
      </c>
      <c r="C586" s="1">
        <v>44727</v>
      </c>
      <c r="D586">
        <v>12</v>
      </c>
      <c r="E586" t="s">
        <v>4</v>
      </c>
      <c r="F586" t="s">
        <v>1311</v>
      </c>
      <c r="G586">
        <v>1</v>
      </c>
      <c r="H586" s="3">
        <v>395000</v>
      </c>
      <c r="I586" s="3">
        <v>0</v>
      </c>
      <c r="J586" s="3">
        <v>0</v>
      </c>
      <c r="K586" s="3">
        <v>0</v>
      </c>
      <c r="L586" t="s">
        <v>1191</v>
      </c>
      <c r="M586">
        <v>2018815</v>
      </c>
      <c r="N586" t="s">
        <v>1368</v>
      </c>
      <c r="O586" t="s">
        <v>1369</v>
      </c>
      <c r="P586" t="s">
        <v>1747</v>
      </c>
      <c r="Q586" t="s">
        <v>1240</v>
      </c>
      <c r="R586">
        <v>6776</v>
      </c>
      <c r="S586" t="s">
        <v>1702</v>
      </c>
      <c r="T586" t="s">
        <v>965</v>
      </c>
      <c r="U586">
        <v>0</v>
      </c>
      <c r="V586">
        <v>11</v>
      </c>
      <c r="W586" t="s">
        <v>1194</v>
      </c>
      <c r="X586" t="s">
        <v>973</v>
      </c>
      <c r="Y586">
        <v>10000</v>
      </c>
      <c r="Z586" s="2" t="s">
        <v>1194</v>
      </c>
      <c r="AA586" s="2" t="s">
        <v>1238</v>
      </c>
      <c r="AB586" t="s">
        <v>1238</v>
      </c>
      <c r="AC586">
        <v>826</v>
      </c>
      <c r="AD586" t="s">
        <v>1279</v>
      </c>
      <c r="AE586">
        <v>8</v>
      </c>
      <c r="AF586" t="s">
        <v>1290</v>
      </c>
      <c r="AG586">
        <v>0</v>
      </c>
      <c r="AH586">
        <v>0</v>
      </c>
      <c r="AI586">
        <v>0</v>
      </c>
      <c r="AJ586">
        <v>1936</v>
      </c>
      <c r="AK586" t="s">
        <v>1194</v>
      </c>
      <c r="AL586" t="s">
        <v>1194</v>
      </c>
      <c r="AM586" s="4" t="s">
        <v>1238</v>
      </c>
      <c r="AN586">
        <v>1</v>
      </c>
      <c r="AO586" t="s">
        <v>1316</v>
      </c>
      <c r="AP586">
        <f t="shared" si="18"/>
        <v>0</v>
      </c>
      <c r="AQ586">
        <v>1</v>
      </c>
      <c r="AR586" t="s">
        <v>1992</v>
      </c>
      <c r="AS586" t="s">
        <v>1996</v>
      </c>
      <c r="AT586" t="s">
        <v>1995</v>
      </c>
      <c r="AU586" t="s">
        <v>1996</v>
      </c>
      <c r="AV586" t="s">
        <v>1996</v>
      </c>
      <c r="AW586" t="s">
        <v>1995</v>
      </c>
      <c r="AX586" t="s">
        <v>2003</v>
      </c>
      <c r="AY586" t="s">
        <v>1996</v>
      </c>
      <c r="AZ586">
        <v>1144</v>
      </c>
      <c r="BA586" t="s">
        <v>1194</v>
      </c>
      <c r="BB586" t="s">
        <v>1194</v>
      </c>
      <c r="BC586" s="3">
        <v>0</v>
      </c>
      <c r="BD586" s="3">
        <v>0</v>
      </c>
      <c r="BE586" s="3">
        <v>0</v>
      </c>
      <c r="BF586" s="3">
        <v>0</v>
      </c>
      <c r="BG586" s="3">
        <v>160</v>
      </c>
      <c r="BH586" s="3">
        <v>0</v>
      </c>
      <c r="BI586" s="3">
        <v>0</v>
      </c>
      <c r="BJ586" s="3">
        <v>1505</v>
      </c>
      <c r="BK586" s="3">
        <v>-10</v>
      </c>
      <c r="BL586" s="3">
        <v>1495</v>
      </c>
      <c r="BM586" s="2">
        <f t="shared" ca="1" si="19"/>
        <v>1</v>
      </c>
      <c r="BN586" s="3">
        <v>250000</v>
      </c>
      <c r="BO586" s="3">
        <v>2000000</v>
      </c>
      <c r="BP586" s="3">
        <v>50000</v>
      </c>
      <c r="BQ586" s="3">
        <v>50000</v>
      </c>
      <c r="BR586" s="3">
        <v>2000000</v>
      </c>
      <c r="BS586">
        <v>1000000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 t="s">
        <v>2949</v>
      </c>
      <c r="CA586" t="s">
        <v>1194</v>
      </c>
      <c r="CB586" t="s">
        <v>2949</v>
      </c>
    </row>
    <row r="587" spans="1:80" x14ac:dyDescent="0.25">
      <c r="A587">
        <v>586</v>
      </c>
      <c r="B587" t="s">
        <v>2600</v>
      </c>
      <c r="C587" s="1">
        <v>44653</v>
      </c>
      <c r="D587">
        <v>12</v>
      </c>
      <c r="E587" t="s">
        <v>4</v>
      </c>
      <c r="F587" t="s">
        <v>1311</v>
      </c>
      <c r="G587">
        <v>1</v>
      </c>
      <c r="H587" s="3">
        <v>1114179</v>
      </c>
      <c r="I587" s="3">
        <v>223341</v>
      </c>
      <c r="J587" s="3">
        <v>435325</v>
      </c>
      <c r="K587" s="3">
        <v>222835.8</v>
      </c>
      <c r="L587" t="s">
        <v>1191</v>
      </c>
      <c r="M587">
        <v>271177</v>
      </c>
      <c r="N587" t="s">
        <v>1370</v>
      </c>
      <c r="P587" t="s">
        <v>1748</v>
      </c>
      <c r="Q587" t="s">
        <v>1237</v>
      </c>
      <c r="R587">
        <v>85233</v>
      </c>
      <c r="S587" t="s">
        <v>1705</v>
      </c>
      <c r="T587" t="s">
        <v>965</v>
      </c>
      <c r="U587">
        <v>0</v>
      </c>
      <c r="V587">
        <v>2</v>
      </c>
      <c r="W587" t="s">
        <v>1194</v>
      </c>
      <c r="X587" t="s">
        <v>973</v>
      </c>
      <c r="Y587">
        <v>10000</v>
      </c>
      <c r="Z587" s="2" t="s">
        <v>1194</v>
      </c>
      <c r="AA587" s="2" t="s">
        <v>1238</v>
      </c>
      <c r="AB587" t="s">
        <v>1238</v>
      </c>
      <c r="AC587">
        <v>873</v>
      </c>
      <c r="AD587" t="s">
        <v>1279</v>
      </c>
      <c r="AE587">
        <v>1</v>
      </c>
      <c r="AF587" t="s">
        <v>1290</v>
      </c>
      <c r="AG587">
        <v>0</v>
      </c>
      <c r="AH587">
        <v>0</v>
      </c>
      <c r="AI587">
        <v>0</v>
      </c>
      <c r="AJ587">
        <v>1994</v>
      </c>
      <c r="AK587" t="s">
        <v>1194</v>
      </c>
      <c r="AL587" t="s">
        <v>1194</v>
      </c>
      <c r="AM587" s="4" t="s">
        <v>1238</v>
      </c>
      <c r="AN587">
        <v>1</v>
      </c>
      <c r="AO587" t="s">
        <v>1315</v>
      </c>
      <c r="AP587">
        <f t="shared" si="18"/>
        <v>0</v>
      </c>
      <c r="AQ587">
        <v>0</v>
      </c>
      <c r="AR587" t="s">
        <v>1993</v>
      </c>
      <c r="AS587" t="s">
        <v>1995</v>
      </c>
      <c r="AT587" t="s">
        <v>1996</v>
      </c>
      <c r="AU587" t="s">
        <v>1995</v>
      </c>
      <c r="AV587" t="s">
        <v>1996</v>
      </c>
      <c r="AW587" t="s">
        <v>1996</v>
      </c>
      <c r="AX587" t="s">
        <v>2003</v>
      </c>
      <c r="AY587" t="s">
        <v>1996</v>
      </c>
      <c r="AZ587">
        <v>4400</v>
      </c>
      <c r="BA587" t="s">
        <v>1194</v>
      </c>
      <c r="BB587" t="s">
        <v>2014</v>
      </c>
      <c r="BC587" s="3">
        <v>0</v>
      </c>
      <c r="BD587" s="3">
        <v>0</v>
      </c>
      <c r="BE587" s="3">
        <v>0</v>
      </c>
      <c r="BF587" s="3">
        <v>0</v>
      </c>
      <c r="BG587" s="3">
        <v>175</v>
      </c>
      <c r="BH587" s="3">
        <v>0</v>
      </c>
      <c r="BI587" s="3">
        <v>0</v>
      </c>
      <c r="BJ587" s="3">
        <v>2627.85</v>
      </c>
      <c r="BK587" s="3">
        <v>110</v>
      </c>
      <c r="BL587" s="3">
        <v>2738</v>
      </c>
      <c r="BM587" s="2">
        <f t="shared" ca="1" si="19"/>
        <v>0</v>
      </c>
      <c r="BN587" s="3" t="s">
        <v>2916</v>
      </c>
      <c r="BO587" s="3">
        <v>25000</v>
      </c>
      <c r="BP587" s="3">
        <v>100000</v>
      </c>
      <c r="BQ587" s="3">
        <v>500000</v>
      </c>
      <c r="BR587" s="3">
        <v>2000000</v>
      </c>
      <c r="BS587">
        <v>1000000</v>
      </c>
      <c r="BT587">
        <v>0</v>
      </c>
      <c r="BU587">
        <v>0</v>
      </c>
      <c r="BV587">
        <v>0</v>
      </c>
      <c r="BW587">
        <v>1</v>
      </c>
      <c r="BX587">
        <v>1</v>
      </c>
      <c r="BY587">
        <v>0</v>
      </c>
      <c r="BZ587" t="s">
        <v>2949</v>
      </c>
      <c r="CA587" t="s">
        <v>1194</v>
      </c>
      <c r="CB587" t="s">
        <v>2941</v>
      </c>
    </row>
    <row r="588" spans="1:80" x14ac:dyDescent="0.25">
      <c r="A588">
        <v>587</v>
      </c>
      <c r="B588" t="s">
        <v>2601</v>
      </c>
      <c r="C588" s="1">
        <v>44768</v>
      </c>
      <c r="D588">
        <v>12</v>
      </c>
      <c r="E588" t="s">
        <v>4</v>
      </c>
      <c r="F588" t="s">
        <v>1311</v>
      </c>
      <c r="G588">
        <v>1</v>
      </c>
      <c r="H588" s="3">
        <v>3542500</v>
      </c>
      <c r="I588" s="3">
        <v>698093</v>
      </c>
      <c r="J588" s="3">
        <v>1163488</v>
      </c>
      <c r="K588" s="3">
        <v>0</v>
      </c>
      <c r="L588" t="s">
        <v>1191</v>
      </c>
      <c r="M588">
        <v>1289673</v>
      </c>
      <c r="N588" t="s">
        <v>1371</v>
      </c>
      <c r="P588" t="s">
        <v>1749</v>
      </c>
      <c r="Q588" t="s">
        <v>1251</v>
      </c>
      <c r="R588">
        <v>4105</v>
      </c>
      <c r="S588" t="s">
        <v>1750</v>
      </c>
      <c r="T588" t="s">
        <v>1238</v>
      </c>
      <c r="U588">
        <v>0</v>
      </c>
      <c r="V588">
        <v>1</v>
      </c>
      <c r="W588" t="s">
        <v>1194</v>
      </c>
      <c r="X588" t="s">
        <v>973</v>
      </c>
      <c r="Y588">
        <v>10000</v>
      </c>
      <c r="Z588" s="2" t="s">
        <v>1194</v>
      </c>
      <c r="AA588" s="2">
        <v>1</v>
      </c>
      <c r="AB588">
        <v>0.01</v>
      </c>
      <c r="AC588">
        <v>895</v>
      </c>
      <c r="AD588" t="s">
        <v>1279</v>
      </c>
      <c r="AE588">
        <v>3</v>
      </c>
      <c r="AF588" t="s">
        <v>1290</v>
      </c>
      <c r="AG588">
        <v>0</v>
      </c>
      <c r="AH588">
        <v>0</v>
      </c>
      <c r="AI588">
        <v>0</v>
      </c>
      <c r="AJ588">
        <v>1983</v>
      </c>
      <c r="AK588" t="s">
        <v>1194</v>
      </c>
      <c r="AL588" t="s">
        <v>1194</v>
      </c>
      <c r="AM588" s="4" t="s">
        <v>1238</v>
      </c>
      <c r="AN588">
        <v>1</v>
      </c>
      <c r="AO588" t="s">
        <v>1315</v>
      </c>
      <c r="AP588">
        <f t="shared" si="18"/>
        <v>0</v>
      </c>
      <c r="AQ588">
        <v>0</v>
      </c>
      <c r="AR588" t="s">
        <v>1993</v>
      </c>
      <c r="AS588" t="s">
        <v>1995</v>
      </c>
      <c r="AT588" t="s">
        <v>1995</v>
      </c>
      <c r="AU588" t="s">
        <v>1996</v>
      </c>
      <c r="AV588" t="s">
        <v>1995</v>
      </c>
      <c r="AW588" t="s">
        <v>1996</v>
      </c>
      <c r="AX588" t="s">
        <v>1194</v>
      </c>
      <c r="AY588" t="s">
        <v>1996</v>
      </c>
      <c r="AZ588">
        <v>4783</v>
      </c>
      <c r="BA588" t="s">
        <v>1194</v>
      </c>
      <c r="BB588" t="s">
        <v>1194</v>
      </c>
      <c r="BC588" s="3">
        <v>0</v>
      </c>
      <c r="BD588" s="3">
        <v>0</v>
      </c>
      <c r="BE588" s="3">
        <v>0</v>
      </c>
      <c r="BF588" s="3">
        <v>0</v>
      </c>
      <c r="BG588" s="3">
        <v>110</v>
      </c>
      <c r="BH588" s="3">
        <v>0</v>
      </c>
      <c r="BI588" s="3">
        <v>0</v>
      </c>
      <c r="BJ588" s="3">
        <v>10121.06</v>
      </c>
      <c r="BK588" s="3">
        <v>1778.43</v>
      </c>
      <c r="BL588" s="3">
        <v>11899.49</v>
      </c>
      <c r="BM588" s="2">
        <f t="shared" ca="1" si="19"/>
        <v>6</v>
      </c>
      <c r="BN588" s="3" t="s">
        <v>2916</v>
      </c>
      <c r="BO588" s="3">
        <v>25000</v>
      </c>
      <c r="BP588" s="3">
        <v>50000</v>
      </c>
      <c r="BQ588" s="3">
        <v>2000000</v>
      </c>
      <c r="BR588" s="3">
        <v>50000</v>
      </c>
      <c r="BS588">
        <v>1000000</v>
      </c>
      <c r="BT588">
        <v>0</v>
      </c>
      <c r="BU588">
        <v>1</v>
      </c>
      <c r="BV588">
        <v>0</v>
      </c>
      <c r="BW588">
        <v>1</v>
      </c>
      <c r="BX588">
        <v>0</v>
      </c>
      <c r="BY588">
        <v>0</v>
      </c>
      <c r="BZ588" t="s">
        <v>2949</v>
      </c>
      <c r="CA588" t="s">
        <v>1194</v>
      </c>
      <c r="CB588" t="s">
        <v>2949</v>
      </c>
    </row>
    <row r="589" spans="1:80" x14ac:dyDescent="0.25">
      <c r="A589">
        <v>588</v>
      </c>
      <c r="B589" t="s">
        <v>2602</v>
      </c>
      <c r="C589" s="1">
        <v>44889</v>
      </c>
      <c r="D589">
        <v>12</v>
      </c>
      <c r="E589" t="s">
        <v>5</v>
      </c>
      <c r="F589" t="s">
        <v>1310</v>
      </c>
      <c r="G589">
        <v>1</v>
      </c>
      <c r="H589" s="3">
        <v>2297688</v>
      </c>
      <c r="I589" s="3">
        <v>263014</v>
      </c>
      <c r="J589" s="3">
        <v>1148845</v>
      </c>
      <c r="K589" s="3">
        <v>459537.6</v>
      </c>
      <c r="L589" t="s">
        <v>1191</v>
      </c>
      <c r="M589">
        <v>273158</v>
      </c>
      <c r="N589" t="s">
        <v>1372</v>
      </c>
      <c r="P589" t="s">
        <v>1751</v>
      </c>
      <c r="Q589" t="s">
        <v>1246</v>
      </c>
      <c r="R589">
        <v>60067</v>
      </c>
      <c r="S589" t="s">
        <v>1734</v>
      </c>
      <c r="T589" t="s">
        <v>965</v>
      </c>
      <c r="U589">
        <v>0</v>
      </c>
      <c r="V589">
        <v>9</v>
      </c>
      <c r="W589" t="s">
        <v>1194</v>
      </c>
      <c r="X589" t="s">
        <v>973</v>
      </c>
      <c r="Y589">
        <v>10000</v>
      </c>
      <c r="Z589" s="2" t="s">
        <v>1194</v>
      </c>
      <c r="AA589" s="2">
        <v>0</v>
      </c>
      <c r="AB589" t="s">
        <v>1238</v>
      </c>
      <c r="AC589">
        <v>797</v>
      </c>
      <c r="AD589" t="s">
        <v>1279</v>
      </c>
      <c r="AE589">
        <v>3</v>
      </c>
      <c r="AF589" t="s">
        <v>1291</v>
      </c>
      <c r="AG589">
        <v>0</v>
      </c>
      <c r="AH589">
        <v>1</v>
      </c>
      <c r="AI589">
        <v>1</v>
      </c>
      <c r="AJ589">
        <v>1970</v>
      </c>
      <c r="AK589" t="s">
        <v>1194</v>
      </c>
      <c r="AL589">
        <v>2008</v>
      </c>
      <c r="AM589" s="4" t="s">
        <v>1307</v>
      </c>
      <c r="AN589">
        <v>0</v>
      </c>
      <c r="AO589" t="s">
        <v>1315</v>
      </c>
      <c r="AP589">
        <f t="shared" si="18"/>
        <v>1</v>
      </c>
      <c r="AQ589">
        <v>1</v>
      </c>
      <c r="AR589" t="s">
        <v>1992</v>
      </c>
      <c r="AS589" t="s">
        <v>1995</v>
      </c>
      <c r="AT589" t="s">
        <v>1995</v>
      </c>
      <c r="AU589" t="s">
        <v>1996</v>
      </c>
      <c r="AV589" t="s">
        <v>1995</v>
      </c>
      <c r="AW589" t="s">
        <v>1996</v>
      </c>
      <c r="AX589" t="s">
        <v>1194</v>
      </c>
      <c r="AY589" t="s">
        <v>1996</v>
      </c>
      <c r="AZ589">
        <v>4875</v>
      </c>
      <c r="BA589" t="s">
        <v>1194</v>
      </c>
      <c r="BB589" t="s">
        <v>1194</v>
      </c>
      <c r="BC589" s="3">
        <v>0</v>
      </c>
      <c r="BD589" s="3">
        <v>0</v>
      </c>
      <c r="BE589" s="3">
        <v>0</v>
      </c>
      <c r="BF589" s="3">
        <v>0</v>
      </c>
      <c r="BG589" s="3">
        <v>175</v>
      </c>
      <c r="BH589" s="3">
        <v>0</v>
      </c>
      <c r="BI589" s="3">
        <v>0</v>
      </c>
      <c r="BJ589" s="3">
        <v>4788.68</v>
      </c>
      <c r="BK589" s="3">
        <v>840</v>
      </c>
      <c r="BL589" s="3">
        <v>5628.68</v>
      </c>
      <c r="BM589" s="2">
        <f t="shared" ca="1" si="19"/>
        <v>4</v>
      </c>
      <c r="BN589" s="3">
        <v>1000000</v>
      </c>
      <c r="BO589" s="3">
        <v>20000</v>
      </c>
      <c r="BP589" s="3">
        <v>200000</v>
      </c>
      <c r="BQ589" s="3">
        <v>25000</v>
      </c>
      <c r="BR589" s="3">
        <v>100000</v>
      </c>
      <c r="BS589">
        <v>50000</v>
      </c>
      <c r="BT589">
        <v>0</v>
      </c>
      <c r="BU589">
        <v>0</v>
      </c>
      <c r="BV589">
        <v>1</v>
      </c>
      <c r="BW589">
        <v>0</v>
      </c>
      <c r="BX589">
        <v>0</v>
      </c>
      <c r="BY589">
        <v>0</v>
      </c>
      <c r="BZ589" t="s">
        <v>2960</v>
      </c>
      <c r="CA589" t="s">
        <v>1194</v>
      </c>
      <c r="CB589" t="s">
        <v>2949</v>
      </c>
    </row>
    <row r="590" spans="1:80" x14ac:dyDescent="0.25">
      <c r="A590">
        <v>589</v>
      </c>
      <c r="B590" t="s">
        <v>2603</v>
      </c>
      <c r="C590" s="1">
        <v>44932</v>
      </c>
      <c r="D590">
        <v>12</v>
      </c>
      <c r="E590" t="s">
        <v>4</v>
      </c>
      <c r="F590" t="s">
        <v>1311</v>
      </c>
      <c r="G590">
        <v>0</v>
      </c>
      <c r="H590" s="3">
        <v>4332994</v>
      </c>
      <c r="I590" s="3">
        <v>727918</v>
      </c>
      <c r="J590" s="3">
        <v>0</v>
      </c>
      <c r="K590" s="3">
        <v>0</v>
      </c>
      <c r="L590" t="s">
        <v>1191</v>
      </c>
      <c r="M590">
        <v>1435826</v>
      </c>
      <c r="N590" t="s">
        <v>1373</v>
      </c>
      <c r="P590" t="s">
        <v>1733</v>
      </c>
      <c r="Q590" t="s">
        <v>1246</v>
      </c>
      <c r="R590">
        <v>60614</v>
      </c>
      <c r="S590" t="s">
        <v>1734</v>
      </c>
      <c r="T590" t="s">
        <v>965</v>
      </c>
      <c r="U590">
        <v>0</v>
      </c>
      <c r="V590">
        <v>13</v>
      </c>
      <c r="W590" t="s">
        <v>1194</v>
      </c>
      <c r="X590" t="s">
        <v>973</v>
      </c>
      <c r="Y590">
        <v>10000</v>
      </c>
      <c r="Z590" s="2" t="s">
        <v>1194</v>
      </c>
      <c r="AA590" s="2">
        <v>0</v>
      </c>
      <c r="AB590" t="s">
        <v>1238</v>
      </c>
      <c r="AC590">
        <v>687</v>
      </c>
      <c r="AD590" t="s">
        <v>1284</v>
      </c>
      <c r="AE590">
        <v>1</v>
      </c>
      <c r="AF590" t="s">
        <v>1290</v>
      </c>
      <c r="AG590">
        <v>0</v>
      </c>
      <c r="AH590">
        <v>0</v>
      </c>
      <c r="AI590">
        <v>0</v>
      </c>
      <c r="AJ590">
        <v>2008</v>
      </c>
      <c r="AK590" t="s">
        <v>1194</v>
      </c>
      <c r="AL590">
        <v>2013</v>
      </c>
      <c r="AM590" s="4" t="s">
        <v>1238</v>
      </c>
      <c r="AN590">
        <v>0</v>
      </c>
      <c r="AO590" t="s">
        <v>1316</v>
      </c>
      <c r="AP590">
        <f t="shared" si="18"/>
        <v>0</v>
      </c>
      <c r="AQ590">
        <v>0</v>
      </c>
      <c r="AR590" t="s">
        <v>1993</v>
      </c>
      <c r="AS590" t="s">
        <v>1996</v>
      </c>
      <c r="AT590" t="s">
        <v>1996</v>
      </c>
      <c r="AU590" t="s">
        <v>1996</v>
      </c>
      <c r="AV590" t="s">
        <v>1995</v>
      </c>
      <c r="AW590" t="s">
        <v>1996</v>
      </c>
      <c r="AX590" t="s">
        <v>1194</v>
      </c>
      <c r="AY590" t="s">
        <v>1996</v>
      </c>
      <c r="AZ590">
        <v>5237</v>
      </c>
      <c r="BA590" t="s">
        <v>1194</v>
      </c>
      <c r="BB590" t="s">
        <v>1194</v>
      </c>
      <c r="BC590" s="3">
        <v>0</v>
      </c>
      <c r="BD590" s="3">
        <v>0</v>
      </c>
      <c r="BE590" s="3">
        <v>0</v>
      </c>
      <c r="BF590" s="3">
        <v>0</v>
      </c>
      <c r="BG590" s="3">
        <v>210</v>
      </c>
      <c r="BH590" s="3">
        <v>0</v>
      </c>
      <c r="BI590" s="3">
        <v>0</v>
      </c>
      <c r="BJ590" s="3">
        <v>11303.34</v>
      </c>
      <c r="BK590" s="3">
        <v>1386</v>
      </c>
      <c r="BL590" s="3">
        <v>10422.870000000001</v>
      </c>
      <c r="BM590" s="2">
        <f t="shared" ca="1" si="19"/>
        <v>0</v>
      </c>
      <c r="BN590" s="3">
        <v>250000</v>
      </c>
      <c r="BO590" s="3">
        <v>500000</v>
      </c>
      <c r="BP590" s="3" t="s">
        <v>2922</v>
      </c>
      <c r="BQ590" s="3">
        <v>250000</v>
      </c>
      <c r="BR590" s="3">
        <v>250000</v>
      </c>
      <c r="BS590">
        <v>1000000</v>
      </c>
      <c r="BT590">
        <v>0</v>
      </c>
      <c r="BU590">
        <v>0</v>
      </c>
      <c r="BV590">
        <v>1</v>
      </c>
      <c r="BW590">
        <v>0</v>
      </c>
      <c r="BX590">
        <v>0</v>
      </c>
      <c r="BY590">
        <v>0</v>
      </c>
      <c r="BZ590" t="s">
        <v>2958</v>
      </c>
      <c r="CA590" t="s">
        <v>1194</v>
      </c>
      <c r="CB590" t="s">
        <v>2952</v>
      </c>
    </row>
    <row r="591" spans="1:80" x14ac:dyDescent="0.25">
      <c r="A591">
        <v>590</v>
      </c>
      <c r="B591" t="s">
        <v>2604</v>
      </c>
      <c r="C591" s="1">
        <v>44950</v>
      </c>
      <c r="D591">
        <v>12</v>
      </c>
      <c r="E591" t="s">
        <v>5</v>
      </c>
      <c r="F591" t="s">
        <v>1310</v>
      </c>
      <c r="G591">
        <v>1</v>
      </c>
      <c r="H591" s="3">
        <v>2357690</v>
      </c>
      <c r="I591" s="3">
        <v>785515</v>
      </c>
      <c r="J591" s="3">
        <v>1178847</v>
      </c>
      <c r="K591" s="3">
        <v>471538</v>
      </c>
      <c r="L591" t="s">
        <v>1191</v>
      </c>
      <c r="M591">
        <v>759462</v>
      </c>
      <c r="N591" t="s">
        <v>1374</v>
      </c>
      <c r="P591" t="s">
        <v>1752</v>
      </c>
      <c r="Q591" t="s">
        <v>1250</v>
      </c>
      <c r="R591">
        <v>20711</v>
      </c>
      <c r="S591" t="s">
        <v>1753</v>
      </c>
      <c r="T591" t="s">
        <v>972</v>
      </c>
      <c r="U591">
        <v>0</v>
      </c>
      <c r="V591">
        <v>11</v>
      </c>
      <c r="W591" t="s">
        <v>1194</v>
      </c>
      <c r="X591" t="s">
        <v>973</v>
      </c>
      <c r="Y591">
        <v>10000</v>
      </c>
      <c r="Z591" s="2" t="s">
        <v>1194</v>
      </c>
      <c r="AA591" s="2" t="s">
        <v>1238</v>
      </c>
      <c r="AB591" t="s">
        <v>1238</v>
      </c>
      <c r="AC591" t="s">
        <v>1194</v>
      </c>
      <c r="AD591" t="s">
        <v>1279</v>
      </c>
      <c r="AE591">
        <v>5</v>
      </c>
      <c r="AF591" t="s">
        <v>1290</v>
      </c>
      <c r="AG591">
        <v>0</v>
      </c>
      <c r="AH591">
        <v>0</v>
      </c>
      <c r="AI591">
        <v>0</v>
      </c>
      <c r="AJ591">
        <v>2005</v>
      </c>
      <c r="AK591" t="s">
        <v>1194</v>
      </c>
      <c r="AL591" t="s">
        <v>1194</v>
      </c>
      <c r="AM591" s="4" t="s">
        <v>1305</v>
      </c>
      <c r="AN591">
        <v>1</v>
      </c>
      <c r="AO591" t="s">
        <v>1315</v>
      </c>
      <c r="AP591">
        <f t="shared" si="18"/>
        <v>0</v>
      </c>
      <c r="AQ591">
        <v>1</v>
      </c>
      <c r="AR591" t="s">
        <v>1992</v>
      </c>
      <c r="AS591" t="s">
        <v>1996</v>
      </c>
      <c r="AT591" t="s">
        <v>1996</v>
      </c>
      <c r="AU591" t="s">
        <v>1996</v>
      </c>
      <c r="AV591" t="s">
        <v>1995</v>
      </c>
      <c r="AW591" t="s">
        <v>1995</v>
      </c>
      <c r="AX591" t="s">
        <v>2003</v>
      </c>
      <c r="AY591" t="s">
        <v>1996</v>
      </c>
      <c r="AZ591">
        <v>4505</v>
      </c>
      <c r="BA591" t="s">
        <v>1194</v>
      </c>
      <c r="BB591" t="s">
        <v>1194</v>
      </c>
      <c r="BC591" s="3">
        <v>0</v>
      </c>
      <c r="BD591" s="3">
        <v>0</v>
      </c>
      <c r="BE591" s="3">
        <v>0</v>
      </c>
      <c r="BF591" s="3">
        <v>0</v>
      </c>
      <c r="BG591" s="3">
        <v>150</v>
      </c>
      <c r="BH591" s="3">
        <v>0</v>
      </c>
      <c r="BI591" s="3">
        <v>0</v>
      </c>
      <c r="BJ591" s="3">
        <v>4482.59</v>
      </c>
      <c r="BK591" s="3">
        <v>968.77</v>
      </c>
      <c r="BL591" s="3">
        <v>5451.36</v>
      </c>
      <c r="BM591" s="2">
        <f t="shared" ca="1" si="19"/>
        <v>4</v>
      </c>
      <c r="BN591" s="3">
        <v>500000</v>
      </c>
      <c r="BO591" s="3">
        <v>1000000</v>
      </c>
      <c r="BP591" s="3">
        <v>50000</v>
      </c>
      <c r="BQ591" s="3">
        <v>500000</v>
      </c>
      <c r="BR591" s="3" t="s">
        <v>2916</v>
      </c>
      <c r="BS591">
        <v>50000</v>
      </c>
      <c r="BT591">
        <v>0</v>
      </c>
      <c r="BU591">
        <v>1</v>
      </c>
      <c r="BV591">
        <v>0</v>
      </c>
      <c r="BW591">
        <v>1</v>
      </c>
      <c r="BX591">
        <v>1</v>
      </c>
      <c r="BY591">
        <v>0</v>
      </c>
      <c r="BZ591" t="s">
        <v>2959</v>
      </c>
      <c r="CA591" t="s">
        <v>1194</v>
      </c>
      <c r="CB591" t="s">
        <v>2941</v>
      </c>
    </row>
    <row r="592" spans="1:80" x14ac:dyDescent="0.25">
      <c r="A592">
        <v>591</v>
      </c>
      <c r="B592" t="s">
        <v>2605</v>
      </c>
      <c r="C592" s="1">
        <v>44985</v>
      </c>
      <c r="D592">
        <v>12</v>
      </c>
      <c r="E592" t="s">
        <v>4</v>
      </c>
      <c r="F592" t="s">
        <v>1311</v>
      </c>
      <c r="G592">
        <v>1</v>
      </c>
      <c r="H592" s="3">
        <v>1635000</v>
      </c>
      <c r="I592" s="3">
        <v>327000</v>
      </c>
      <c r="J592" s="3">
        <v>27250</v>
      </c>
      <c r="K592" s="3">
        <v>0</v>
      </c>
      <c r="L592" t="s">
        <v>1191</v>
      </c>
      <c r="M592">
        <v>1851643</v>
      </c>
      <c r="N592" t="s">
        <v>1375</v>
      </c>
      <c r="P592" t="s">
        <v>1754</v>
      </c>
      <c r="Q592" t="s">
        <v>1261</v>
      </c>
      <c r="R592">
        <v>74331</v>
      </c>
      <c r="S592" t="s">
        <v>1755</v>
      </c>
      <c r="T592" t="s">
        <v>965</v>
      </c>
      <c r="U592">
        <v>0</v>
      </c>
      <c r="V592">
        <v>3</v>
      </c>
      <c r="W592" t="s">
        <v>1194</v>
      </c>
      <c r="X592" t="s">
        <v>973</v>
      </c>
      <c r="Y592">
        <v>10000</v>
      </c>
      <c r="Z592" s="2">
        <v>1</v>
      </c>
      <c r="AA592" s="2">
        <v>1</v>
      </c>
      <c r="AB592">
        <v>2500</v>
      </c>
      <c r="AC592">
        <v>840</v>
      </c>
      <c r="AD592" t="s">
        <v>1279</v>
      </c>
      <c r="AE592">
        <v>3</v>
      </c>
      <c r="AF592" t="s">
        <v>1290</v>
      </c>
      <c r="AG592">
        <v>0</v>
      </c>
      <c r="AH592">
        <v>0</v>
      </c>
      <c r="AI592">
        <v>0</v>
      </c>
      <c r="AJ592">
        <v>1985</v>
      </c>
      <c r="AK592" t="s">
        <v>1194</v>
      </c>
      <c r="AL592">
        <v>2020</v>
      </c>
      <c r="AM592" s="4" t="s">
        <v>1238</v>
      </c>
      <c r="AN592">
        <v>0</v>
      </c>
      <c r="AO592" t="s">
        <v>1315</v>
      </c>
      <c r="AP592">
        <f t="shared" si="18"/>
        <v>0</v>
      </c>
      <c r="AQ592">
        <v>1</v>
      </c>
      <c r="AR592" t="s">
        <v>1992</v>
      </c>
      <c r="AS592" t="s">
        <v>1995</v>
      </c>
      <c r="AT592" t="s">
        <v>1995</v>
      </c>
      <c r="AU592" t="s">
        <v>1996</v>
      </c>
      <c r="AV592" t="s">
        <v>1995</v>
      </c>
      <c r="AW592" t="s">
        <v>1995</v>
      </c>
      <c r="AX592" t="s">
        <v>1194</v>
      </c>
      <c r="AY592" t="s">
        <v>1996</v>
      </c>
      <c r="AZ592">
        <v>2800</v>
      </c>
      <c r="BA592" t="s">
        <v>1194</v>
      </c>
      <c r="BB592" t="s">
        <v>1194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7963.6</v>
      </c>
      <c r="BK592" s="3">
        <v>0</v>
      </c>
      <c r="BL592" s="3">
        <v>7963.6</v>
      </c>
      <c r="BM592" s="2">
        <f t="shared" ca="1" si="19"/>
        <v>1</v>
      </c>
      <c r="BN592" s="3" t="s">
        <v>2916</v>
      </c>
      <c r="BO592" s="3">
        <v>50000</v>
      </c>
      <c r="BP592" s="3">
        <v>100000</v>
      </c>
      <c r="BQ592" s="3">
        <v>2000000</v>
      </c>
      <c r="BR592" s="3">
        <v>50000</v>
      </c>
      <c r="BS592">
        <v>2000000</v>
      </c>
      <c r="BT592">
        <v>0</v>
      </c>
      <c r="BU592">
        <v>0</v>
      </c>
      <c r="BV592">
        <v>0</v>
      </c>
      <c r="BW592">
        <v>1</v>
      </c>
      <c r="BX592">
        <v>1</v>
      </c>
      <c r="BY592">
        <v>0</v>
      </c>
      <c r="BZ592" t="s">
        <v>2958</v>
      </c>
      <c r="CA592" t="s">
        <v>1194</v>
      </c>
      <c r="CB592" t="s">
        <v>2945</v>
      </c>
    </row>
    <row r="593" spans="1:80" x14ac:dyDescent="0.25">
      <c r="A593">
        <v>592</v>
      </c>
      <c r="B593" t="s">
        <v>2606</v>
      </c>
      <c r="C593" s="1">
        <v>44789</v>
      </c>
      <c r="D593">
        <v>21</v>
      </c>
      <c r="E593" t="s">
        <v>4</v>
      </c>
      <c r="F593" t="s">
        <v>1311</v>
      </c>
      <c r="G593">
        <v>1</v>
      </c>
      <c r="H593" s="3">
        <v>4622243</v>
      </c>
      <c r="I593" s="3">
        <v>427377</v>
      </c>
      <c r="J593" s="3">
        <v>1456498</v>
      </c>
      <c r="K593" s="3">
        <v>0</v>
      </c>
      <c r="L593" t="s">
        <v>1191</v>
      </c>
      <c r="M593">
        <v>292586</v>
      </c>
      <c r="N593" t="s">
        <v>1376</v>
      </c>
      <c r="P593" t="s">
        <v>1756</v>
      </c>
      <c r="Q593" t="s">
        <v>1240</v>
      </c>
      <c r="R593">
        <v>6475</v>
      </c>
      <c r="S593" t="s">
        <v>53</v>
      </c>
      <c r="T593" t="s">
        <v>972</v>
      </c>
      <c r="U593">
        <v>0</v>
      </c>
      <c r="V593">
        <v>63</v>
      </c>
      <c r="W593" t="s">
        <v>1194</v>
      </c>
      <c r="X593" t="s">
        <v>973</v>
      </c>
      <c r="Y593">
        <v>10000</v>
      </c>
      <c r="Z593" s="2">
        <v>2.0000030290000002</v>
      </c>
      <c r="AA593" s="2" t="s">
        <v>1238</v>
      </c>
      <c r="AB593" t="s">
        <v>1238</v>
      </c>
      <c r="AC593">
        <v>803</v>
      </c>
      <c r="AD593" t="s">
        <v>1283</v>
      </c>
      <c r="AE593">
        <v>4</v>
      </c>
      <c r="AF593" t="s">
        <v>1290</v>
      </c>
      <c r="AG593">
        <v>0</v>
      </c>
      <c r="AH593">
        <v>1</v>
      </c>
      <c r="AI593">
        <v>1</v>
      </c>
      <c r="AJ593">
        <v>1937</v>
      </c>
      <c r="AK593">
        <v>2000</v>
      </c>
      <c r="AL593">
        <v>2000</v>
      </c>
      <c r="AM593" s="4" t="s">
        <v>1238</v>
      </c>
      <c r="AN593">
        <v>1</v>
      </c>
      <c r="AO593" t="s">
        <v>1316</v>
      </c>
      <c r="AP593">
        <f t="shared" si="18"/>
        <v>1</v>
      </c>
      <c r="AQ593">
        <v>1</v>
      </c>
      <c r="AR593" t="s">
        <v>1992</v>
      </c>
      <c r="AS593" t="s">
        <v>1995</v>
      </c>
      <c r="AT593" t="s">
        <v>1995</v>
      </c>
      <c r="AU593" t="s">
        <v>1995</v>
      </c>
      <c r="AV593" t="s">
        <v>1995</v>
      </c>
      <c r="AW593" t="s">
        <v>1996</v>
      </c>
      <c r="AX593" t="s">
        <v>2003</v>
      </c>
      <c r="AY593" t="s">
        <v>1996</v>
      </c>
      <c r="AZ593">
        <v>4758</v>
      </c>
      <c r="BA593" t="s">
        <v>1194</v>
      </c>
      <c r="BB593" t="s">
        <v>1194</v>
      </c>
      <c r="BC593" s="3">
        <v>0</v>
      </c>
      <c r="BD593" s="3">
        <v>1276.8399999999999</v>
      </c>
      <c r="BE593" s="3">
        <v>0</v>
      </c>
      <c r="BF593" s="3">
        <v>0</v>
      </c>
      <c r="BG593" s="3">
        <v>130</v>
      </c>
      <c r="BH593" s="3">
        <v>0</v>
      </c>
      <c r="BI593" s="3">
        <v>0</v>
      </c>
      <c r="BJ593" s="3">
        <v>17276</v>
      </c>
      <c r="BK593" s="3">
        <v>-10</v>
      </c>
      <c r="BL593" s="3">
        <v>17266</v>
      </c>
      <c r="BM593" s="2">
        <f t="shared" ca="1" si="19"/>
        <v>5</v>
      </c>
      <c r="BN593" s="3" t="s">
        <v>2916</v>
      </c>
      <c r="BO593" s="3">
        <v>1000000</v>
      </c>
      <c r="BP593" s="3">
        <v>100000</v>
      </c>
      <c r="BQ593" s="3">
        <v>2000000</v>
      </c>
      <c r="BR593" s="3">
        <v>100000</v>
      </c>
      <c r="BS593">
        <v>500000</v>
      </c>
      <c r="BT593">
        <v>0</v>
      </c>
      <c r="BU593">
        <v>0</v>
      </c>
      <c r="BV593">
        <v>0</v>
      </c>
      <c r="BW593">
        <v>1</v>
      </c>
      <c r="BX593">
        <v>1</v>
      </c>
      <c r="BY593">
        <v>0</v>
      </c>
      <c r="BZ593" t="s">
        <v>2949</v>
      </c>
      <c r="CA593" t="s">
        <v>1194</v>
      </c>
      <c r="CB593" t="s">
        <v>2949</v>
      </c>
    </row>
    <row r="594" spans="1:80" x14ac:dyDescent="0.25">
      <c r="A594">
        <v>593</v>
      </c>
      <c r="B594" t="s">
        <v>2607</v>
      </c>
      <c r="C594" s="1">
        <v>44682</v>
      </c>
      <c r="D594">
        <v>30</v>
      </c>
      <c r="E594" t="s">
        <v>4</v>
      </c>
      <c r="F594" t="s">
        <v>1311</v>
      </c>
      <c r="G594">
        <v>0</v>
      </c>
      <c r="H594" s="3">
        <v>4046674</v>
      </c>
      <c r="I594" s="3">
        <v>809335</v>
      </c>
      <c r="J594" s="3">
        <v>1279923</v>
      </c>
      <c r="K594" s="3">
        <v>0</v>
      </c>
      <c r="L594" t="s">
        <v>1191</v>
      </c>
      <c r="M594">
        <v>314906</v>
      </c>
      <c r="N594" t="s">
        <v>1377</v>
      </c>
      <c r="P594" t="s">
        <v>1757</v>
      </c>
      <c r="Q594" t="s">
        <v>1261</v>
      </c>
      <c r="R594">
        <v>73116</v>
      </c>
      <c r="S594" t="s">
        <v>1758</v>
      </c>
      <c r="T594" t="s">
        <v>965</v>
      </c>
      <c r="U594">
        <v>0</v>
      </c>
      <c r="V594">
        <v>1</v>
      </c>
      <c r="W594" t="s">
        <v>1194</v>
      </c>
      <c r="X594" t="s">
        <v>973</v>
      </c>
      <c r="Y594">
        <v>10000</v>
      </c>
      <c r="Z594" s="2">
        <v>1.000006425</v>
      </c>
      <c r="AA594" s="2">
        <v>1</v>
      </c>
      <c r="AB594">
        <v>0.02</v>
      </c>
      <c r="AC594">
        <v>897</v>
      </c>
      <c r="AD594" t="s">
        <v>1284</v>
      </c>
      <c r="AE594">
        <v>2</v>
      </c>
      <c r="AF594" t="s">
        <v>1290</v>
      </c>
      <c r="AG594">
        <v>0</v>
      </c>
      <c r="AH594">
        <v>0</v>
      </c>
      <c r="AI594">
        <v>0</v>
      </c>
      <c r="AJ594">
        <v>1975</v>
      </c>
      <c r="AK594">
        <v>2004</v>
      </c>
      <c r="AL594">
        <v>2011</v>
      </c>
      <c r="AM594" s="4" t="s">
        <v>1238</v>
      </c>
      <c r="AN594">
        <v>0</v>
      </c>
      <c r="AO594" t="s">
        <v>1315</v>
      </c>
      <c r="AP594">
        <f t="shared" si="18"/>
        <v>0</v>
      </c>
      <c r="AQ594">
        <v>0</v>
      </c>
      <c r="AR594" t="s">
        <v>1993</v>
      </c>
      <c r="AS594" t="s">
        <v>1996</v>
      </c>
      <c r="AT594" t="s">
        <v>1996</v>
      </c>
      <c r="AU594" t="s">
        <v>1996</v>
      </c>
      <c r="AV594" t="s">
        <v>1996</v>
      </c>
      <c r="AW594" t="s">
        <v>1995</v>
      </c>
      <c r="AX594" t="s">
        <v>1194</v>
      </c>
      <c r="AY594" t="s">
        <v>1996</v>
      </c>
      <c r="AZ594">
        <v>10559</v>
      </c>
      <c r="BA594" t="s">
        <v>1194</v>
      </c>
      <c r="BB594" t="s">
        <v>1194</v>
      </c>
      <c r="BC594" s="3">
        <v>0</v>
      </c>
      <c r="BD594" s="3">
        <v>0</v>
      </c>
      <c r="BE594" s="3">
        <v>0</v>
      </c>
      <c r="BF594" s="3">
        <v>0</v>
      </c>
      <c r="BG594" s="3">
        <v>210</v>
      </c>
      <c r="BH594" s="3">
        <v>0</v>
      </c>
      <c r="BI594" s="3">
        <v>-100</v>
      </c>
      <c r="BJ594" s="3">
        <v>27903.26</v>
      </c>
      <c r="BK594" s="3">
        <v>1019.33</v>
      </c>
      <c r="BL594" s="3">
        <v>27882.9</v>
      </c>
      <c r="BM594" s="2">
        <f t="shared" ca="1" si="19"/>
        <v>2</v>
      </c>
      <c r="BN594" s="3">
        <v>1000000</v>
      </c>
      <c r="BO594" s="3">
        <v>250000</v>
      </c>
      <c r="BP594" s="3">
        <v>200000</v>
      </c>
      <c r="BQ594" s="3">
        <v>100000</v>
      </c>
      <c r="BR594" s="3">
        <v>1000000</v>
      </c>
      <c r="BS594">
        <v>250000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 t="s">
        <v>2949</v>
      </c>
      <c r="CA594" t="s">
        <v>1194</v>
      </c>
      <c r="CB594" t="s">
        <v>2945</v>
      </c>
    </row>
    <row r="595" spans="1:80" x14ac:dyDescent="0.25">
      <c r="A595">
        <v>594</v>
      </c>
      <c r="B595" t="s">
        <v>2608</v>
      </c>
      <c r="C595" s="1">
        <v>44682</v>
      </c>
      <c r="D595">
        <v>12</v>
      </c>
      <c r="E595" t="s">
        <v>4</v>
      </c>
      <c r="F595" t="s">
        <v>1311</v>
      </c>
      <c r="G595">
        <v>1</v>
      </c>
      <c r="H595" s="3">
        <v>3797311</v>
      </c>
      <c r="I595" s="3">
        <v>759463</v>
      </c>
      <c r="J595" s="3">
        <v>2426395</v>
      </c>
      <c r="K595" s="3">
        <v>759462.2</v>
      </c>
      <c r="L595" t="s">
        <v>1191</v>
      </c>
      <c r="M595">
        <v>366082</v>
      </c>
      <c r="N595" t="s">
        <v>1378</v>
      </c>
      <c r="P595" t="s">
        <v>1757</v>
      </c>
      <c r="Q595" t="s">
        <v>1261</v>
      </c>
      <c r="R595">
        <v>73116</v>
      </c>
      <c r="S595" t="s">
        <v>1758</v>
      </c>
      <c r="T595" t="s">
        <v>965</v>
      </c>
      <c r="U595">
        <v>0</v>
      </c>
      <c r="V595">
        <v>1</v>
      </c>
      <c r="W595" t="s">
        <v>1194</v>
      </c>
      <c r="X595" t="s">
        <v>973</v>
      </c>
      <c r="Y595">
        <v>10000</v>
      </c>
      <c r="Z595" s="2">
        <v>0.999997103</v>
      </c>
      <c r="AA595" s="2">
        <v>1</v>
      </c>
      <c r="AB595">
        <v>2.5000000000000001E-3</v>
      </c>
      <c r="AC595">
        <v>803</v>
      </c>
      <c r="AD595" t="s">
        <v>1284</v>
      </c>
      <c r="AE595">
        <v>2</v>
      </c>
      <c r="AF595" t="s">
        <v>1290</v>
      </c>
      <c r="AG595">
        <v>0</v>
      </c>
      <c r="AH595">
        <v>0</v>
      </c>
      <c r="AI595">
        <v>0</v>
      </c>
      <c r="AJ595">
        <v>1982</v>
      </c>
      <c r="AK595" t="s">
        <v>1194</v>
      </c>
      <c r="AL595">
        <v>2010</v>
      </c>
      <c r="AM595" s="4" t="s">
        <v>1238</v>
      </c>
      <c r="AN595">
        <v>0</v>
      </c>
      <c r="AO595" t="s">
        <v>1315</v>
      </c>
      <c r="AP595">
        <f t="shared" si="18"/>
        <v>0</v>
      </c>
      <c r="AQ595">
        <v>0</v>
      </c>
      <c r="AR595" t="s">
        <v>1993</v>
      </c>
      <c r="AS595" t="s">
        <v>1995</v>
      </c>
      <c r="AT595" t="s">
        <v>1995</v>
      </c>
      <c r="AU595" t="s">
        <v>1995</v>
      </c>
      <c r="AV595" t="s">
        <v>1995</v>
      </c>
      <c r="AW595" t="s">
        <v>1996</v>
      </c>
      <c r="AX595" t="s">
        <v>1194</v>
      </c>
      <c r="AY595" t="s">
        <v>1996</v>
      </c>
      <c r="AZ595">
        <v>7611</v>
      </c>
      <c r="BA595" t="s">
        <v>1194</v>
      </c>
      <c r="BB595" t="s">
        <v>1194</v>
      </c>
      <c r="BC595" s="3">
        <v>0</v>
      </c>
      <c r="BD595" s="3">
        <v>0</v>
      </c>
      <c r="BE595" s="3">
        <v>0</v>
      </c>
      <c r="BF595" s="3">
        <v>0</v>
      </c>
      <c r="BG595" s="3">
        <v>210</v>
      </c>
      <c r="BH595" s="3">
        <v>0</v>
      </c>
      <c r="BI595" s="3">
        <v>0</v>
      </c>
      <c r="BJ595" s="3">
        <v>32116.75</v>
      </c>
      <c r="BK595" s="3">
        <v>1583.46</v>
      </c>
      <c r="BL595" s="3">
        <v>33120.480000000003</v>
      </c>
      <c r="BM595" s="2">
        <f t="shared" ca="1" si="19"/>
        <v>2</v>
      </c>
      <c r="BN595" s="3">
        <v>1000000</v>
      </c>
      <c r="BO595" s="3">
        <v>250000</v>
      </c>
      <c r="BP595" s="3">
        <v>200000</v>
      </c>
      <c r="BQ595" s="3">
        <v>100000</v>
      </c>
      <c r="BR595" s="3">
        <v>50000</v>
      </c>
      <c r="BS595">
        <v>50000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 t="s">
        <v>2961</v>
      </c>
      <c r="CA595" t="s">
        <v>1194</v>
      </c>
      <c r="CB595" t="s">
        <v>2941</v>
      </c>
    </row>
    <row r="596" spans="1:80" x14ac:dyDescent="0.25">
      <c r="A596">
        <v>595</v>
      </c>
      <c r="B596" t="s">
        <v>2609</v>
      </c>
      <c r="C596" s="1">
        <v>44683</v>
      </c>
      <c r="D596">
        <v>12</v>
      </c>
      <c r="E596" t="s">
        <v>4</v>
      </c>
      <c r="F596" t="s">
        <v>1311</v>
      </c>
      <c r="G596">
        <v>0</v>
      </c>
      <c r="H596" s="3">
        <v>3205828</v>
      </c>
      <c r="I596" s="3">
        <v>641166</v>
      </c>
      <c r="J596" s="3">
        <v>2244080</v>
      </c>
      <c r="K596" s="3">
        <v>0</v>
      </c>
      <c r="L596" t="s">
        <v>1191</v>
      </c>
      <c r="M596">
        <v>328740</v>
      </c>
      <c r="N596" t="s">
        <v>1379</v>
      </c>
      <c r="P596" t="s">
        <v>1759</v>
      </c>
      <c r="Q596" t="s">
        <v>1266</v>
      </c>
      <c r="R596">
        <v>37204</v>
      </c>
      <c r="S596" t="s">
        <v>1760</v>
      </c>
      <c r="T596" t="s">
        <v>965</v>
      </c>
      <c r="U596">
        <v>0</v>
      </c>
      <c r="V596" t="s">
        <v>1989</v>
      </c>
      <c r="W596" t="s">
        <v>1194</v>
      </c>
      <c r="X596" t="s">
        <v>973</v>
      </c>
      <c r="Y596">
        <v>25000</v>
      </c>
      <c r="Z596" s="2" t="s">
        <v>1194</v>
      </c>
      <c r="AA596" s="2" t="s">
        <v>1238</v>
      </c>
      <c r="AB596" t="s">
        <v>1238</v>
      </c>
      <c r="AC596">
        <v>745</v>
      </c>
      <c r="AD596" t="s">
        <v>1280</v>
      </c>
      <c r="AE596">
        <v>4</v>
      </c>
      <c r="AF596" t="s">
        <v>1290</v>
      </c>
      <c r="AG596">
        <v>0</v>
      </c>
      <c r="AH596">
        <v>0</v>
      </c>
      <c r="AI596">
        <v>0</v>
      </c>
      <c r="AJ596">
        <v>1931</v>
      </c>
      <c r="AK596">
        <v>2002</v>
      </c>
      <c r="AL596">
        <v>2002</v>
      </c>
      <c r="AM596" s="4" t="s">
        <v>1238</v>
      </c>
      <c r="AN596">
        <v>1</v>
      </c>
      <c r="AO596" t="s">
        <v>1316</v>
      </c>
      <c r="AP596">
        <f t="shared" si="18"/>
        <v>0</v>
      </c>
      <c r="AQ596">
        <v>1</v>
      </c>
      <c r="AR596" t="s">
        <v>1992</v>
      </c>
      <c r="AS596" t="s">
        <v>1995</v>
      </c>
      <c r="AT596" t="s">
        <v>1995</v>
      </c>
      <c r="AU596" t="s">
        <v>1996</v>
      </c>
      <c r="AV596" t="s">
        <v>1995</v>
      </c>
      <c r="AW596" t="s">
        <v>1995</v>
      </c>
      <c r="AX596" t="s">
        <v>1194</v>
      </c>
      <c r="AY596" t="s">
        <v>1996</v>
      </c>
      <c r="AZ596">
        <v>6052</v>
      </c>
      <c r="BA596" t="s">
        <v>1194</v>
      </c>
      <c r="BB596" t="s">
        <v>1194</v>
      </c>
      <c r="BC596" s="3">
        <v>0</v>
      </c>
      <c r="BD596" s="3">
        <v>3389.53</v>
      </c>
      <c r="BE596" s="3">
        <v>0</v>
      </c>
      <c r="BF596" s="3">
        <v>0</v>
      </c>
      <c r="BG596" s="3">
        <v>175</v>
      </c>
      <c r="BH596" s="3">
        <v>0</v>
      </c>
      <c r="BI596" s="3">
        <v>0</v>
      </c>
      <c r="BJ596" s="3">
        <v>11435.39</v>
      </c>
      <c r="BK596" s="3">
        <v>-15</v>
      </c>
      <c r="BL596" s="3">
        <v>11420.39</v>
      </c>
      <c r="BM596" s="2">
        <f t="shared" ca="1" si="19"/>
        <v>3</v>
      </c>
      <c r="BN596" s="3">
        <v>50000</v>
      </c>
      <c r="BO596" s="3">
        <v>25000</v>
      </c>
      <c r="BP596" s="3">
        <v>200000</v>
      </c>
      <c r="BQ596" s="3">
        <v>100000</v>
      </c>
      <c r="BR596" s="3">
        <v>50000</v>
      </c>
      <c r="BS596">
        <v>2000000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 t="s">
        <v>2958</v>
      </c>
      <c r="CA596" t="s">
        <v>1194</v>
      </c>
      <c r="CB596" t="s">
        <v>2941</v>
      </c>
    </row>
    <row r="597" spans="1:80" x14ac:dyDescent="0.25">
      <c r="A597">
        <v>596</v>
      </c>
      <c r="B597" t="s">
        <v>2610</v>
      </c>
      <c r="C597" s="1">
        <v>44889</v>
      </c>
      <c r="D597">
        <v>12</v>
      </c>
      <c r="E597" t="s">
        <v>4</v>
      </c>
      <c r="F597" t="s">
        <v>1311</v>
      </c>
      <c r="G597">
        <v>0</v>
      </c>
      <c r="H597" s="3">
        <v>1724925</v>
      </c>
      <c r="I597" s="3">
        <v>275988</v>
      </c>
      <c r="J597" s="3">
        <v>172493</v>
      </c>
      <c r="K597" s="3">
        <v>0</v>
      </c>
      <c r="L597" t="s">
        <v>1191</v>
      </c>
      <c r="M597">
        <v>1586827</v>
      </c>
      <c r="N597" t="s">
        <v>1380</v>
      </c>
      <c r="P597" t="s">
        <v>1761</v>
      </c>
      <c r="Q597" t="s">
        <v>1240</v>
      </c>
      <c r="R597">
        <v>6754</v>
      </c>
      <c r="S597" t="s">
        <v>1702</v>
      </c>
      <c r="T597" t="s">
        <v>965</v>
      </c>
      <c r="U597">
        <v>0</v>
      </c>
      <c r="V597">
        <v>11</v>
      </c>
      <c r="W597" t="s">
        <v>1194</v>
      </c>
      <c r="X597" t="s">
        <v>973</v>
      </c>
      <c r="Y597">
        <v>25000</v>
      </c>
      <c r="Z597" s="2" t="s">
        <v>1194</v>
      </c>
      <c r="AA597" s="2" t="s">
        <v>1238</v>
      </c>
      <c r="AB597" t="s">
        <v>1238</v>
      </c>
      <c r="AC597">
        <v>0</v>
      </c>
      <c r="AD597" t="s">
        <v>1279</v>
      </c>
      <c r="AE597">
        <v>8</v>
      </c>
      <c r="AF597" t="s">
        <v>1290</v>
      </c>
      <c r="AG597">
        <v>0</v>
      </c>
      <c r="AH597">
        <v>0</v>
      </c>
      <c r="AI597">
        <v>0</v>
      </c>
      <c r="AJ597">
        <v>1990</v>
      </c>
      <c r="AK597">
        <v>2011</v>
      </c>
      <c r="AL597" t="s">
        <v>1194</v>
      </c>
      <c r="AM597" s="4" t="s">
        <v>1238</v>
      </c>
      <c r="AN597">
        <v>0</v>
      </c>
      <c r="AO597" t="s">
        <v>1315</v>
      </c>
      <c r="AP597">
        <f t="shared" si="18"/>
        <v>0</v>
      </c>
      <c r="AQ597">
        <v>0</v>
      </c>
      <c r="AR597" t="s">
        <v>1993</v>
      </c>
      <c r="AS597" t="s">
        <v>1995</v>
      </c>
      <c r="AT597" t="s">
        <v>1995</v>
      </c>
      <c r="AU597" t="s">
        <v>1995</v>
      </c>
      <c r="AV597" t="s">
        <v>1996</v>
      </c>
      <c r="AW597" t="s">
        <v>1996</v>
      </c>
      <c r="AX597" t="s">
        <v>2003</v>
      </c>
      <c r="AY597" t="s">
        <v>1996</v>
      </c>
      <c r="AZ597">
        <v>3306</v>
      </c>
      <c r="BA597" t="s">
        <v>1194</v>
      </c>
      <c r="BB597" t="s">
        <v>1194</v>
      </c>
      <c r="BC597" s="3">
        <v>0</v>
      </c>
      <c r="BD597" s="3">
        <v>0</v>
      </c>
      <c r="BE597" s="3">
        <v>0</v>
      </c>
      <c r="BF597" s="3">
        <v>0</v>
      </c>
      <c r="BG597" s="3">
        <v>130</v>
      </c>
      <c r="BH597" s="3">
        <v>0</v>
      </c>
      <c r="BI597" s="3">
        <v>0</v>
      </c>
      <c r="BJ597" s="3">
        <v>6639</v>
      </c>
      <c r="BK597" s="3">
        <v>115</v>
      </c>
      <c r="BL597" s="3">
        <v>6754</v>
      </c>
      <c r="BM597" s="2">
        <f t="shared" ca="1" si="19"/>
        <v>1</v>
      </c>
      <c r="BN597" s="3" t="s">
        <v>2916</v>
      </c>
      <c r="BO597" s="3">
        <v>20000</v>
      </c>
      <c r="BP597" s="3">
        <v>50000</v>
      </c>
      <c r="BQ597" s="3">
        <v>500000</v>
      </c>
      <c r="BR597" s="3">
        <v>100000</v>
      </c>
      <c r="BS597">
        <v>2000000</v>
      </c>
      <c r="BT597">
        <v>0</v>
      </c>
      <c r="BU597">
        <v>0</v>
      </c>
      <c r="BV597">
        <v>0</v>
      </c>
      <c r="BW597">
        <v>1</v>
      </c>
      <c r="BX597">
        <v>0</v>
      </c>
      <c r="BY597">
        <v>0</v>
      </c>
      <c r="BZ597" t="s">
        <v>2949</v>
      </c>
      <c r="CA597" t="s">
        <v>1194</v>
      </c>
      <c r="CB597" t="s">
        <v>2949</v>
      </c>
    </row>
    <row r="598" spans="1:80" x14ac:dyDescent="0.25">
      <c r="A598">
        <v>597</v>
      </c>
      <c r="B598" t="s">
        <v>2611</v>
      </c>
      <c r="C598" s="1">
        <v>44707</v>
      </c>
      <c r="D598">
        <v>9</v>
      </c>
      <c r="E598" t="s">
        <v>4</v>
      </c>
      <c r="F598" t="s">
        <v>1310</v>
      </c>
      <c r="G598">
        <v>0</v>
      </c>
      <c r="H598" s="3">
        <v>0</v>
      </c>
      <c r="I598" s="3">
        <v>0</v>
      </c>
      <c r="J598" s="3">
        <v>1450000</v>
      </c>
      <c r="K598" s="3">
        <v>290000</v>
      </c>
      <c r="L598" t="s">
        <v>1192</v>
      </c>
      <c r="M598">
        <v>1900944</v>
      </c>
      <c r="N598" t="s">
        <v>1381</v>
      </c>
      <c r="O598" t="s">
        <v>1382</v>
      </c>
      <c r="P598" t="s">
        <v>1762</v>
      </c>
      <c r="Q598" t="s">
        <v>1243</v>
      </c>
      <c r="R598">
        <v>96753</v>
      </c>
      <c r="S598" t="s">
        <v>1763</v>
      </c>
      <c r="T598" t="s">
        <v>1988</v>
      </c>
      <c r="U598">
        <v>0</v>
      </c>
      <c r="V598">
        <v>1</v>
      </c>
      <c r="W598" t="s">
        <v>1194</v>
      </c>
      <c r="X598" t="s">
        <v>973</v>
      </c>
      <c r="Y598">
        <v>10000</v>
      </c>
      <c r="Z598" s="2">
        <v>2</v>
      </c>
      <c r="AA598" s="2" t="s">
        <v>1238</v>
      </c>
      <c r="AB598" t="s">
        <v>1238</v>
      </c>
      <c r="AC598">
        <v>788</v>
      </c>
      <c r="AD598" t="s">
        <v>1279</v>
      </c>
      <c r="AE598">
        <v>5</v>
      </c>
      <c r="AF598" t="s">
        <v>1290</v>
      </c>
      <c r="AG598">
        <v>0</v>
      </c>
      <c r="AH598">
        <v>0</v>
      </c>
      <c r="AI598">
        <v>0</v>
      </c>
      <c r="AJ598">
        <v>2016</v>
      </c>
      <c r="AK598" t="s">
        <v>1194</v>
      </c>
      <c r="AL598" t="s">
        <v>1194</v>
      </c>
      <c r="AM598" s="4" t="s">
        <v>1304</v>
      </c>
      <c r="AN598">
        <v>0</v>
      </c>
      <c r="AO598" t="s">
        <v>1316</v>
      </c>
      <c r="AP598">
        <f t="shared" si="18"/>
        <v>0</v>
      </c>
      <c r="AQ598">
        <v>0</v>
      </c>
      <c r="AR598" t="s">
        <v>1993</v>
      </c>
      <c r="AS598" t="s">
        <v>1996</v>
      </c>
      <c r="AT598" t="s">
        <v>1995</v>
      </c>
      <c r="AU598" t="s">
        <v>1996</v>
      </c>
      <c r="AV598" t="s">
        <v>1996</v>
      </c>
      <c r="AW598" t="s">
        <v>1996</v>
      </c>
      <c r="AX598" t="s">
        <v>2003</v>
      </c>
      <c r="AY598" t="s">
        <v>1996</v>
      </c>
      <c r="AZ598">
        <v>1850</v>
      </c>
      <c r="BA598" t="s">
        <v>1194</v>
      </c>
      <c r="BB598" t="s">
        <v>1194</v>
      </c>
      <c r="BC598" s="3">
        <v>0</v>
      </c>
      <c r="BD598" s="3">
        <v>2726.56</v>
      </c>
      <c r="BE598" s="3">
        <v>0</v>
      </c>
      <c r="BF598" s="3">
        <v>0</v>
      </c>
      <c r="BG598" s="3">
        <v>175</v>
      </c>
      <c r="BH598" s="3">
        <v>0</v>
      </c>
      <c r="BI598" s="3">
        <v>0</v>
      </c>
      <c r="BJ598" s="3">
        <v>6935.2</v>
      </c>
      <c r="BK598" s="3">
        <v>-5</v>
      </c>
      <c r="BL598" s="3">
        <v>6930.2</v>
      </c>
      <c r="BM598" s="2">
        <f t="shared" ca="1" si="19"/>
        <v>0</v>
      </c>
      <c r="BN598" s="3">
        <v>1000000</v>
      </c>
      <c r="BO598" s="3">
        <v>50000</v>
      </c>
      <c r="BP598" s="3">
        <v>50000</v>
      </c>
      <c r="BQ598" s="3">
        <v>2000000</v>
      </c>
      <c r="BR598" s="3">
        <v>50000</v>
      </c>
      <c r="BS598">
        <v>250000</v>
      </c>
      <c r="BT598">
        <v>0</v>
      </c>
      <c r="BU598">
        <v>0</v>
      </c>
      <c r="BV598">
        <v>0</v>
      </c>
      <c r="BW598">
        <v>1</v>
      </c>
      <c r="BX598">
        <v>1</v>
      </c>
      <c r="BY598">
        <v>0</v>
      </c>
      <c r="BZ598" t="s">
        <v>2962</v>
      </c>
      <c r="CA598" t="s">
        <v>1194</v>
      </c>
      <c r="CB598" t="s">
        <v>2952</v>
      </c>
    </row>
    <row r="599" spans="1:80" x14ac:dyDescent="0.25">
      <c r="A599">
        <v>598</v>
      </c>
      <c r="B599" t="s">
        <v>2612</v>
      </c>
      <c r="C599" s="1">
        <v>44883</v>
      </c>
      <c r="D599">
        <v>12</v>
      </c>
      <c r="E599" t="s">
        <v>4</v>
      </c>
      <c r="F599" t="s">
        <v>1311</v>
      </c>
      <c r="G599">
        <v>1</v>
      </c>
      <c r="H599" s="3">
        <v>3000000</v>
      </c>
      <c r="I599" s="3">
        <v>600000</v>
      </c>
      <c r="J599" s="3">
        <v>1500000</v>
      </c>
      <c r="K599" s="3">
        <v>600000</v>
      </c>
      <c r="L599" t="s">
        <v>1191</v>
      </c>
      <c r="M599">
        <v>1498083</v>
      </c>
      <c r="N599" t="s">
        <v>1383</v>
      </c>
      <c r="P599" t="s">
        <v>1764</v>
      </c>
      <c r="Q599" t="s">
        <v>1240</v>
      </c>
      <c r="R599">
        <v>6880</v>
      </c>
      <c r="S599" t="s">
        <v>1706</v>
      </c>
      <c r="T599" t="s">
        <v>972</v>
      </c>
      <c r="U599">
        <v>0</v>
      </c>
      <c r="V599">
        <v>53</v>
      </c>
      <c r="W599" t="s">
        <v>1194</v>
      </c>
      <c r="X599" t="s">
        <v>973</v>
      </c>
      <c r="Y599">
        <v>10000</v>
      </c>
      <c r="Z599" s="2" t="s">
        <v>1194</v>
      </c>
      <c r="AA599" s="2" t="s">
        <v>1238</v>
      </c>
      <c r="AB599" t="s">
        <v>1238</v>
      </c>
      <c r="AC599">
        <v>973</v>
      </c>
      <c r="AD599" t="s">
        <v>1279</v>
      </c>
      <c r="AE599">
        <v>3</v>
      </c>
      <c r="AF599" t="s">
        <v>1290</v>
      </c>
      <c r="AG599">
        <v>0</v>
      </c>
      <c r="AH599">
        <v>0</v>
      </c>
      <c r="AI599">
        <v>0</v>
      </c>
      <c r="AJ599">
        <v>2010</v>
      </c>
      <c r="AK599" t="s">
        <v>1194</v>
      </c>
      <c r="AL599" t="s">
        <v>1194</v>
      </c>
      <c r="AM599" s="4" t="s">
        <v>1238</v>
      </c>
      <c r="AN599">
        <v>0</v>
      </c>
      <c r="AO599" t="s">
        <v>1317</v>
      </c>
      <c r="AP599">
        <f t="shared" si="18"/>
        <v>0</v>
      </c>
      <c r="AQ599">
        <v>1</v>
      </c>
      <c r="AR599" t="s">
        <v>1992</v>
      </c>
      <c r="AS599" t="s">
        <v>1995</v>
      </c>
      <c r="AT599" t="s">
        <v>1996</v>
      </c>
      <c r="AU599" t="s">
        <v>1996</v>
      </c>
      <c r="AV599" t="s">
        <v>1996</v>
      </c>
      <c r="AW599" t="s">
        <v>1995</v>
      </c>
      <c r="AX599" t="s">
        <v>2003</v>
      </c>
      <c r="AY599" t="s">
        <v>1996</v>
      </c>
      <c r="AZ599">
        <v>6750</v>
      </c>
      <c r="BA599" t="s">
        <v>1194</v>
      </c>
      <c r="BB599" t="s">
        <v>1194</v>
      </c>
      <c r="BC599" s="3">
        <v>0</v>
      </c>
      <c r="BD599" s="3">
        <v>448.77</v>
      </c>
      <c r="BE599" s="3">
        <v>0</v>
      </c>
      <c r="BF599" s="3">
        <v>0</v>
      </c>
      <c r="BG599" s="3">
        <v>130</v>
      </c>
      <c r="BH599" s="3">
        <v>0</v>
      </c>
      <c r="BI599" s="3">
        <v>0</v>
      </c>
      <c r="BJ599" s="3">
        <v>7152</v>
      </c>
      <c r="BK599" s="3">
        <v>-5</v>
      </c>
      <c r="BL599" s="3">
        <v>7147</v>
      </c>
      <c r="BM599" s="2">
        <f t="shared" ca="1" si="19"/>
        <v>5</v>
      </c>
      <c r="BN599" s="3">
        <v>1000000</v>
      </c>
      <c r="BO599" s="3">
        <v>1000000</v>
      </c>
      <c r="BP599" s="3">
        <v>100000</v>
      </c>
      <c r="BQ599" s="3">
        <v>50000</v>
      </c>
      <c r="BR599" s="3">
        <v>500000</v>
      </c>
      <c r="BS599">
        <v>500000</v>
      </c>
      <c r="BT599">
        <v>0</v>
      </c>
      <c r="BU599">
        <v>0</v>
      </c>
      <c r="BV599">
        <v>1</v>
      </c>
      <c r="BW599">
        <v>0</v>
      </c>
      <c r="BX599">
        <v>0</v>
      </c>
      <c r="BY599">
        <v>0</v>
      </c>
      <c r="BZ599" t="s">
        <v>2949</v>
      </c>
      <c r="CA599" t="s">
        <v>1194</v>
      </c>
      <c r="CB599" t="s">
        <v>2949</v>
      </c>
    </row>
    <row r="600" spans="1:80" x14ac:dyDescent="0.25">
      <c r="A600">
        <v>599</v>
      </c>
      <c r="B600" t="s">
        <v>2613</v>
      </c>
      <c r="C600" s="1">
        <v>44791</v>
      </c>
      <c r="D600">
        <v>12</v>
      </c>
      <c r="E600" t="s">
        <v>6</v>
      </c>
      <c r="F600" t="s">
        <v>1310</v>
      </c>
      <c r="G600">
        <v>0</v>
      </c>
      <c r="H600" s="3">
        <v>1563057</v>
      </c>
      <c r="I600" s="3">
        <v>39075</v>
      </c>
      <c r="J600" s="3">
        <v>750000</v>
      </c>
      <c r="K600" s="3">
        <v>312611.40000000002</v>
      </c>
      <c r="L600" t="s">
        <v>1191</v>
      </c>
      <c r="M600">
        <v>340387</v>
      </c>
      <c r="N600" t="s">
        <v>1384</v>
      </c>
      <c r="P600" t="s">
        <v>1765</v>
      </c>
      <c r="Q600" t="s">
        <v>1240</v>
      </c>
      <c r="R600">
        <v>6880</v>
      </c>
      <c r="S600" t="s">
        <v>1706</v>
      </c>
      <c r="T600" t="s">
        <v>979</v>
      </c>
      <c r="U600">
        <v>0</v>
      </c>
      <c r="V600">
        <v>51</v>
      </c>
      <c r="W600" t="s">
        <v>1194</v>
      </c>
      <c r="X600" t="s">
        <v>973</v>
      </c>
      <c r="Y600">
        <v>10000</v>
      </c>
      <c r="Z600" s="2" t="s">
        <v>1194</v>
      </c>
      <c r="AA600" s="2" t="s">
        <v>1238</v>
      </c>
      <c r="AB600" t="s">
        <v>1238</v>
      </c>
      <c r="AC600">
        <v>766</v>
      </c>
      <c r="AD600" t="s">
        <v>1279</v>
      </c>
      <c r="AE600">
        <v>3</v>
      </c>
      <c r="AF600" t="s">
        <v>1291</v>
      </c>
      <c r="AG600">
        <v>1</v>
      </c>
      <c r="AH600">
        <v>0</v>
      </c>
      <c r="AI600">
        <v>1</v>
      </c>
      <c r="AJ600">
        <v>1922</v>
      </c>
      <c r="AK600">
        <v>2002</v>
      </c>
      <c r="AL600" t="s">
        <v>1194</v>
      </c>
      <c r="AM600" s="4" t="s">
        <v>1305</v>
      </c>
      <c r="AN600">
        <v>1</v>
      </c>
      <c r="AO600" t="s">
        <v>1315</v>
      </c>
      <c r="AP600">
        <f t="shared" si="18"/>
        <v>1</v>
      </c>
      <c r="AQ600">
        <v>1</v>
      </c>
      <c r="AR600" t="s">
        <v>1992</v>
      </c>
      <c r="AS600" t="s">
        <v>1995</v>
      </c>
      <c r="AT600" t="s">
        <v>1996</v>
      </c>
      <c r="AU600" t="s">
        <v>1996</v>
      </c>
      <c r="AV600" t="s">
        <v>1996</v>
      </c>
      <c r="AW600" t="s">
        <v>1996</v>
      </c>
      <c r="AX600" t="s">
        <v>2003</v>
      </c>
      <c r="AY600" t="s">
        <v>1996</v>
      </c>
      <c r="AZ600">
        <v>2110</v>
      </c>
      <c r="BA600" t="s">
        <v>1194</v>
      </c>
      <c r="BB600" t="s">
        <v>1194</v>
      </c>
      <c r="BC600" s="3">
        <v>0</v>
      </c>
      <c r="BD600" s="3">
        <v>1770.69</v>
      </c>
      <c r="BE600" s="3">
        <v>0</v>
      </c>
      <c r="BF600" s="3">
        <v>0</v>
      </c>
      <c r="BG600" s="3">
        <v>160</v>
      </c>
      <c r="BH600" s="3">
        <v>0</v>
      </c>
      <c r="BI600" s="3">
        <v>0</v>
      </c>
      <c r="BJ600" s="3">
        <v>7249</v>
      </c>
      <c r="BK600" s="3">
        <v>25</v>
      </c>
      <c r="BL600" s="3">
        <v>7274</v>
      </c>
      <c r="BM600" s="2">
        <f t="shared" ca="1" si="19"/>
        <v>1</v>
      </c>
      <c r="BN600" s="3">
        <v>100000</v>
      </c>
      <c r="BO600" s="3">
        <v>50000</v>
      </c>
      <c r="BP600" s="3">
        <v>50000</v>
      </c>
      <c r="BQ600" s="3">
        <v>1000000</v>
      </c>
      <c r="BR600" s="3">
        <v>50000</v>
      </c>
      <c r="BS600">
        <v>50000</v>
      </c>
      <c r="BT600">
        <v>0</v>
      </c>
      <c r="BU600">
        <v>0</v>
      </c>
      <c r="BV600">
        <v>1</v>
      </c>
      <c r="BW600">
        <v>0</v>
      </c>
      <c r="BX600">
        <v>0</v>
      </c>
      <c r="BY600">
        <v>0</v>
      </c>
      <c r="BZ600" t="s">
        <v>2949</v>
      </c>
      <c r="CA600" t="s">
        <v>1194</v>
      </c>
      <c r="CB600" t="s">
        <v>2949</v>
      </c>
    </row>
    <row r="601" spans="1:80" x14ac:dyDescent="0.25">
      <c r="A601">
        <v>600</v>
      </c>
      <c r="B601" t="s">
        <v>2614</v>
      </c>
      <c r="C601" s="1">
        <v>44708</v>
      </c>
      <c r="D601">
        <v>12</v>
      </c>
      <c r="E601" t="s">
        <v>4</v>
      </c>
      <c r="F601" t="s">
        <v>1311</v>
      </c>
      <c r="G601">
        <v>1</v>
      </c>
      <c r="H601" s="3">
        <v>2500000</v>
      </c>
      <c r="I601" s="3">
        <v>500000</v>
      </c>
      <c r="J601" s="3">
        <v>0</v>
      </c>
      <c r="K601" s="3">
        <v>500000</v>
      </c>
      <c r="L601" t="s">
        <v>1191</v>
      </c>
      <c r="M601">
        <v>1131009</v>
      </c>
      <c r="N601" t="s">
        <v>1385</v>
      </c>
      <c r="P601" t="s">
        <v>1766</v>
      </c>
      <c r="Q601" t="s">
        <v>1259</v>
      </c>
      <c r="R601">
        <v>89135</v>
      </c>
      <c r="S601" t="s">
        <v>1767</v>
      </c>
      <c r="T601" t="s">
        <v>965</v>
      </c>
      <c r="U601">
        <v>0</v>
      </c>
      <c r="V601">
        <v>1</v>
      </c>
      <c r="W601" t="s">
        <v>1194</v>
      </c>
      <c r="X601" t="s">
        <v>973</v>
      </c>
      <c r="Y601">
        <v>10000</v>
      </c>
      <c r="Z601" s="2" t="s">
        <v>1194</v>
      </c>
      <c r="AA601" s="2" t="s">
        <v>1238</v>
      </c>
      <c r="AB601" t="s">
        <v>1238</v>
      </c>
      <c r="AC601">
        <v>581</v>
      </c>
      <c r="AD601" t="s">
        <v>1279</v>
      </c>
      <c r="AE601">
        <v>1</v>
      </c>
      <c r="AF601" t="s">
        <v>1290</v>
      </c>
      <c r="AG601">
        <v>0</v>
      </c>
      <c r="AH601">
        <v>0</v>
      </c>
      <c r="AI601">
        <v>0</v>
      </c>
      <c r="AJ601">
        <v>2006</v>
      </c>
      <c r="AK601" t="s">
        <v>1194</v>
      </c>
      <c r="AL601" t="s">
        <v>1194</v>
      </c>
      <c r="AM601" s="4" t="s">
        <v>1238</v>
      </c>
      <c r="AN601">
        <v>0</v>
      </c>
      <c r="AO601" t="s">
        <v>1315</v>
      </c>
      <c r="AP601">
        <f t="shared" si="18"/>
        <v>0</v>
      </c>
      <c r="AQ601">
        <v>1</v>
      </c>
      <c r="AR601" t="s">
        <v>1992</v>
      </c>
      <c r="AS601" t="s">
        <v>1996</v>
      </c>
      <c r="AT601" t="s">
        <v>1995</v>
      </c>
      <c r="AU601" t="s">
        <v>1995</v>
      </c>
      <c r="AV601" t="s">
        <v>1996</v>
      </c>
      <c r="AW601" t="s">
        <v>1995</v>
      </c>
      <c r="AX601" t="s">
        <v>1194</v>
      </c>
      <c r="AY601" t="s">
        <v>1996</v>
      </c>
      <c r="AZ601">
        <v>5071</v>
      </c>
      <c r="BA601" t="s">
        <v>1194</v>
      </c>
      <c r="BB601" t="s">
        <v>2016</v>
      </c>
      <c r="BC601" s="3">
        <v>0</v>
      </c>
      <c r="BD601" s="3">
        <v>141.01</v>
      </c>
      <c r="BE601" s="3">
        <v>0</v>
      </c>
      <c r="BF601" s="3">
        <v>173.98</v>
      </c>
      <c r="BG601" s="3">
        <v>175</v>
      </c>
      <c r="BH601" s="3">
        <v>0</v>
      </c>
      <c r="BI601" s="3">
        <v>0</v>
      </c>
      <c r="BJ601" s="3">
        <v>8388.56</v>
      </c>
      <c r="BK601" s="3">
        <v>110</v>
      </c>
      <c r="BL601" s="3">
        <v>8498.56</v>
      </c>
      <c r="BM601" s="2">
        <f t="shared" ca="1" si="19"/>
        <v>4</v>
      </c>
      <c r="BN601" s="3">
        <v>2000000</v>
      </c>
      <c r="BO601" s="3">
        <v>1000000</v>
      </c>
      <c r="BP601" s="3">
        <v>100000</v>
      </c>
      <c r="BQ601" s="3">
        <v>250000</v>
      </c>
      <c r="BR601" s="3">
        <v>500000</v>
      </c>
      <c r="BS601">
        <v>500000</v>
      </c>
      <c r="BT601">
        <v>0</v>
      </c>
      <c r="BU601">
        <v>0</v>
      </c>
      <c r="BV601">
        <v>0</v>
      </c>
      <c r="BW601">
        <v>1</v>
      </c>
      <c r="BX601">
        <v>1</v>
      </c>
      <c r="BY601">
        <v>1</v>
      </c>
      <c r="BZ601" t="s">
        <v>2961</v>
      </c>
      <c r="CA601" t="s">
        <v>1194</v>
      </c>
      <c r="CB601" t="s">
        <v>2949</v>
      </c>
    </row>
    <row r="602" spans="1:80" x14ac:dyDescent="0.25">
      <c r="A602">
        <v>601</v>
      </c>
      <c r="B602" t="s">
        <v>2615</v>
      </c>
      <c r="C602" s="1">
        <v>44780</v>
      </c>
      <c r="D602">
        <v>12</v>
      </c>
      <c r="E602" t="s">
        <v>4</v>
      </c>
      <c r="F602" t="s">
        <v>1311</v>
      </c>
      <c r="G602">
        <v>0</v>
      </c>
      <c r="H602" s="3">
        <v>1230935</v>
      </c>
      <c r="I602" s="3">
        <v>407943</v>
      </c>
      <c r="J602" s="3">
        <v>442156</v>
      </c>
      <c r="K602" s="3">
        <v>0</v>
      </c>
      <c r="L602" t="s">
        <v>1191</v>
      </c>
      <c r="M602">
        <v>1511472</v>
      </c>
      <c r="N602" t="s">
        <v>1386</v>
      </c>
      <c r="P602" t="s">
        <v>1768</v>
      </c>
      <c r="Q602" t="s">
        <v>1255</v>
      </c>
      <c r="R602">
        <v>59911</v>
      </c>
      <c r="S602" t="s">
        <v>1769</v>
      </c>
      <c r="T602" t="s">
        <v>965</v>
      </c>
      <c r="U602">
        <v>0</v>
      </c>
      <c r="V602">
        <v>1</v>
      </c>
      <c r="W602" t="s">
        <v>1194</v>
      </c>
      <c r="X602" t="s">
        <v>973</v>
      </c>
      <c r="Y602">
        <v>25000</v>
      </c>
      <c r="Z602" s="2" t="s">
        <v>1194</v>
      </c>
      <c r="AA602" s="2">
        <v>1</v>
      </c>
      <c r="AB602" t="s">
        <v>1277</v>
      </c>
      <c r="AC602">
        <v>795</v>
      </c>
      <c r="AD602" t="s">
        <v>1279</v>
      </c>
      <c r="AE602">
        <v>4</v>
      </c>
      <c r="AF602" t="s">
        <v>1290</v>
      </c>
      <c r="AG602">
        <v>0</v>
      </c>
      <c r="AH602">
        <v>0</v>
      </c>
      <c r="AI602">
        <v>0</v>
      </c>
      <c r="AJ602">
        <v>1984</v>
      </c>
      <c r="AK602">
        <v>2006</v>
      </c>
      <c r="AL602">
        <v>2006</v>
      </c>
      <c r="AM602" s="4" t="s">
        <v>1238</v>
      </c>
      <c r="AN602">
        <v>0</v>
      </c>
      <c r="AO602" t="s">
        <v>1316</v>
      </c>
      <c r="AP602">
        <f t="shared" si="18"/>
        <v>0</v>
      </c>
      <c r="AQ602">
        <v>1</v>
      </c>
      <c r="AR602" t="s">
        <v>1992</v>
      </c>
      <c r="AS602" t="s">
        <v>1995</v>
      </c>
      <c r="AT602" t="s">
        <v>1995</v>
      </c>
      <c r="AU602" t="s">
        <v>1995</v>
      </c>
      <c r="AV602" t="s">
        <v>1996</v>
      </c>
      <c r="AW602" t="s">
        <v>1995</v>
      </c>
      <c r="AX602" t="s">
        <v>1194</v>
      </c>
      <c r="AY602" t="s">
        <v>1996</v>
      </c>
      <c r="AZ602">
        <v>2041</v>
      </c>
      <c r="BA602">
        <v>2</v>
      </c>
      <c r="BB602" t="s">
        <v>2017</v>
      </c>
      <c r="BC602" s="3">
        <v>0</v>
      </c>
      <c r="BD602" s="3">
        <v>0</v>
      </c>
      <c r="BE602" s="3">
        <v>0</v>
      </c>
      <c r="BF602" s="3">
        <v>0</v>
      </c>
      <c r="BG602" s="3">
        <v>130</v>
      </c>
      <c r="BH602" s="3">
        <v>0</v>
      </c>
      <c r="BI602" s="3">
        <v>0</v>
      </c>
      <c r="BJ602" s="3">
        <v>3183.97</v>
      </c>
      <c r="BK602" s="3">
        <v>-15</v>
      </c>
      <c r="BL602" s="3">
        <v>3168.97</v>
      </c>
      <c r="BM602" s="2">
        <f t="shared" ca="1" si="19"/>
        <v>3</v>
      </c>
      <c r="BN602" s="3">
        <v>100000</v>
      </c>
      <c r="BO602" s="3">
        <v>25000</v>
      </c>
      <c r="BP602" s="3">
        <v>50000</v>
      </c>
      <c r="BQ602" s="3">
        <v>500000</v>
      </c>
      <c r="BR602" s="3">
        <v>500000</v>
      </c>
      <c r="BS602">
        <v>100000</v>
      </c>
      <c r="BT602">
        <v>0</v>
      </c>
      <c r="BU602">
        <v>0</v>
      </c>
      <c r="BV602">
        <v>0</v>
      </c>
      <c r="BW602">
        <v>1</v>
      </c>
      <c r="BX602">
        <v>1</v>
      </c>
      <c r="BY602">
        <v>0</v>
      </c>
      <c r="BZ602" t="s">
        <v>2963</v>
      </c>
      <c r="CA602" t="s">
        <v>1194</v>
      </c>
      <c r="CB602" t="s">
        <v>2949</v>
      </c>
    </row>
    <row r="603" spans="1:80" x14ac:dyDescent="0.25">
      <c r="A603">
        <v>602</v>
      </c>
      <c r="B603" t="s">
        <v>2616</v>
      </c>
      <c r="C603" s="1">
        <v>44938</v>
      </c>
      <c r="D603">
        <v>12</v>
      </c>
      <c r="E603" t="s">
        <v>4</v>
      </c>
      <c r="F603" t="s">
        <v>1311</v>
      </c>
      <c r="G603">
        <v>1</v>
      </c>
      <c r="H603" s="3">
        <v>3383545</v>
      </c>
      <c r="I603" s="3">
        <v>1030574</v>
      </c>
      <c r="J603" s="3">
        <v>1691773</v>
      </c>
      <c r="K603" s="3">
        <v>0</v>
      </c>
      <c r="L603" t="s">
        <v>1191</v>
      </c>
      <c r="M603">
        <v>417110</v>
      </c>
      <c r="N603" t="s">
        <v>1387</v>
      </c>
      <c r="P603" t="s">
        <v>1770</v>
      </c>
      <c r="Q603" t="s">
        <v>1271</v>
      </c>
      <c r="R603">
        <v>53147</v>
      </c>
      <c r="S603" t="s">
        <v>1771</v>
      </c>
      <c r="T603" t="s">
        <v>965</v>
      </c>
      <c r="U603">
        <v>0</v>
      </c>
      <c r="V603">
        <v>2</v>
      </c>
      <c r="W603" t="s">
        <v>1194</v>
      </c>
      <c r="X603" t="s">
        <v>973</v>
      </c>
      <c r="Y603">
        <v>10000</v>
      </c>
      <c r="Z603" s="2" t="s">
        <v>1194</v>
      </c>
      <c r="AA603" s="2">
        <v>1</v>
      </c>
      <c r="AB603">
        <v>0.03</v>
      </c>
      <c r="AC603">
        <v>786</v>
      </c>
      <c r="AD603" t="s">
        <v>1279</v>
      </c>
      <c r="AE603">
        <v>8</v>
      </c>
      <c r="AF603" t="s">
        <v>1290</v>
      </c>
      <c r="AG603">
        <v>1</v>
      </c>
      <c r="AH603">
        <v>1</v>
      </c>
      <c r="AI603">
        <v>2</v>
      </c>
      <c r="AJ603">
        <v>2000</v>
      </c>
      <c r="AK603" t="s">
        <v>1194</v>
      </c>
      <c r="AL603">
        <v>2019</v>
      </c>
      <c r="AM603" s="4" t="s">
        <v>1238</v>
      </c>
      <c r="AN603">
        <v>1</v>
      </c>
      <c r="AO603" t="s">
        <v>1317</v>
      </c>
      <c r="AP603">
        <f t="shared" si="18"/>
        <v>2</v>
      </c>
      <c r="AQ603">
        <v>1</v>
      </c>
      <c r="AR603" t="s">
        <v>1992</v>
      </c>
      <c r="AS603" t="s">
        <v>1995</v>
      </c>
      <c r="AT603" t="s">
        <v>1995</v>
      </c>
      <c r="AU603" t="s">
        <v>1995</v>
      </c>
      <c r="AV603" t="s">
        <v>1996</v>
      </c>
      <c r="AW603" t="s">
        <v>1996</v>
      </c>
      <c r="AX603" t="s">
        <v>1194</v>
      </c>
      <c r="AY603" t="s">
        <v>1996</v>
      </c>
      <c r="AZ603">
        <v>6012</v>
      </c>
      <c r="BA603" t="s">
        <v>1194</v>
      </c>
      <c r="BB603" t="s">
        <v>1194</v>
      </c>
      <c r="BC603" s="3">
        <v>0</v>
      </c>
      <c r="BD603" s="3">
        <v>0</v>
      </c>
      <c r="BE603" s="3">
        <v>0</v>
      </c>
      <c r="BF603" s="3">
        <v>0</v>
      </c>
      <c r="BG603" s="3">
        <v>175</v>
      </c>
      <c r="BH603" s="3">
        <v>0</v>
      </c>
      <c r="BI603" s="3">
        <v>0</v>
      </c>
      <c r="BJ603" s="3">
        <v>15691.55</v>
      </c>
      <c r="BK603" s="3">
        <v>331</v>
      </c>
      <c r="BL603" s="3">
        <v>16022.55</v>
      </c>
      <c r="BM603" s="2">
        <f t="shared" ca="1" si="19"/>
        <v>5</v>
      </c>
      <c r="BN603" s="3" t="s">
        <v>2916</v>
      </c>
      <c r="BO603" s="3">
        <v>500000</v>
      </c>
      <c r="BP603" s="3">
        <v>100000</v>
      </c>
      <c r="BQ603" s="3">
        <v>500000</v>
      </c>
      <c r="BR603" s="3">
        <v>50000</v>
      </c>
      <c r="BS603">
        <v>1000000</v>
      </c>
      <c r="BT603">
        <v>0</v>
      </c>
      <c r="BU603">
        <v>0</v>
      </c>
      <c r="BV603">
        <v>0</v>
      </c>
      <c r="BW603">
        <v>1</v>
      </c>
      <c r="BX603">
        <v>1</v>
      </c>
      <c r="BY603">
        <v>0</v>
      </c>
      <c r="BZ603" t="s">
        <v>2958</v>
      </c>
      <c r="CA603" t="s">
        <v>1194</v>
      </c>
      <c r="CB603" t="s">
        <v>2949</v>
      </c>
    </row>
    <row r="604" spans="1:80" x14ac:dyDescent="0.25">
      <c r="A604">
        <v>603</v>
      </c>
      <c r="B604" t="s">
        <v>2617</v>
      </c>
      <c r="C604" s="1">
        <v>44830</v>
      </c>
      <c r="D604">
        <v>3</v>
      </c>
      <c r="E604" t="s">
        <v>4</v>
      </c>
      <c r="F604" t="s">
        <v>1310</v>
      </c>
      <c r="G604">
        <v>0</v>
      </c>
      <c r="H604" s="3">
        <v>2925046</v>
      </c>
      <c r="I604" s="3">
        <v>465009</v>
      </c>
      <c r="J604" s="3">
        <v>931671</v>
      </c>
      <c r="K604" s="3">
        <v>585009.19999999995</v>
      </c>
      <c r="L604" t="s">
        <v>1191</v>
      </c>
      <c r="M604">
        <v>373147</v>
      </c>
      <c r="N604" t="s">
        <v>1388</v>
      </c>
      <c r="P604" t="s">
        <v>1772</v>
      </c>
      <c r="Q604" t="s">
        <v>1252</v>
      </c>
      <c r="R604">
        <v>49635</v>
      </c>
      <c r="S604" t="s">
        <v>1773</v>
      </c>
      <c r="T604" t="s">
        <v>965</v>
      </c>
      <c r="U604">
        <v>0</v>
      </c>
      <c r="V604">
        <v>1</v>
      </c>
      <c r="W604" t="s">
        <v>1194</v>
      </c>
      <c r="X604" t="s">
        <v>973</v>
      </c>
      <c r="Y604">
        <v>10000</v>
      </c>
      <c r="Z604" s="2" t="s">
        <v>1194</v>
      </c>
      <c r="AA604" s="2">
        <v>1</v>
      </c>
      <c r="AB604">
        <v>2.5000000000000001E-3</v>
      </c>
      <c r="AC604">
        <v>711</v>
      </c>
      <c r="AD604" t="s">
        <v>1279</v>
      </c>
      <c r="AE604">
        <v>9</v>
      </c>
      <c r="AF604" t="s">
        <v>1290</v>
      </c>
      <c r="AG604">
        <v>0</v>
      </c>
      <c r="AH604">
        <v>0</v>
      </c>
      <c r="AI604">
        <v>0</v>
      </c>
      <c r="AJ604">
        <v>1987</v>
      </c>
      <c r="AK604" t="s">
        <v>1194</v>
      </c>
      <c r="AL604" t="s">
        <v>1194</v>
      </c>
      <c r="AM604" s="4" t="s">
        <v>1306</v>
      </c>
      <c r="AN604">
        <v>1</v>
      </c>
      <c r="AO604" t="s">
        <v>1315</v>
      </c>
      <c r="AP604">
        <f t="shared" si="18"/>
        <v>0</v>
      </c>
      <c r="AQ604">
        <v>1</v>
      </c>
      <c r="AR604" t="s">
        <v>1992</v>
      </c>
      <c r="AS604" t="s">
        <v>1996</v>
      </c>
      <c r="AT604" t="s">
        <v>1996</v>
      </c>
      <c r="AU604" t="s">
        <v>1995</v>
      </c>
      <c r="AV604" t="s">
        <v>1995</v>
      </c>
      <c r="AW604" t="s">
        <v>1995</v>
      </c>
      <c r="AX604" t="s">
        <v>1194</v>
      </c>
      <c r="AY604" t="s">
        <v>1996</v>
      </c>
      <c r="AZ604">
        <v>1367</v>
      </c>
      <c r="BA604" t="s">
        <v>1194</v>
      </c>
      <c r="BB604" t="s">
        <v>1194</v>
      </c>
      <c r="BC604" s="3">
        <v>0</v>
      </c>
      <c r="BD604" s="3">
        <v>0</v>
      </c>
      <c r="BE604" s="3">
        <v>0</v>
      </c>
      <c r="BF604" s="3">
        <v>0</v>
      </c>
      <c r="BG604" s="3">
        <v>150</v>
      </c>
      <c r="BH604" s="3">
        <v>0</v>
      </c>
      <c r="BI604" s="3">
        <v>0</v>
      </c>
      <c r="BJ604" s="3">
        <v>16533.71</v>
      </c>
      <c r="BK604" s="3">
        <v>360</v>
      </c>
      <c r="BL604" s="3">
        <v>16893.71</v>
      </c>
      <c r="BM604" s="2">
        <f t="shared" ca="1" si="19"/>
        <v>1</v>
      </c>
      <c r="BN604" s="3">
        <v>100000</v>
      </c>
      <c r="BO604" s="3">
        <v>100000</v>
      </c>
      <c r="BP604" s="3">
        <v>100000</v>
      </c>
      <c r="BQ604" s="3">
        <v>50000</v>
      </c>
      <c r="BR604" s="3">
        <v>500000</v>
      </c>
      <c r="BS604" t="s">
        <v>2916</v>
      </c>
      <c r="BT604">
        <v>0</v>
      </c>
      <c r="BU604">
        <v>0</v>
      </c>
      <c r="BV604">
        <v>1</v>
      </c>
      <c r="BW604">
        <v>0</v>
      </c>
      <c r="BX604">
        <v>0</v>
      </c>
      <c r="BY604">
        <v>0</v>
      </c>
      <c r="BZ604" t="s">
        <v>2958</v>
      </c>
      <c r="CA604" t="s">
        <v>1194</v>
      </c>
      <c r="CB604" t="s">
        <v>2949</v>
      </c>
    </row>
    <row r="605" spans="1:80" x14ac:dyDescent="0.25">
      <c r="A605">
        <v>604</v>
      </c>
      <c r="B605" t="s">
        <v>2618</v>
      </c>
      <c r="C605" s="1">
        <v>44734</v>
      </c>
      <c r="D605">
        <v>12</v>
      </c>
      <c r="E605" t="s">
        <v>4</v>
      </c>
      <c r="F605" t="s">
        <v>1311</v>
      </c>
      <c r="G605">
        <v>0</v>
      </c>
      <c r="H605" s="3">
        <v>10079852</v>
      </c>
      <c r="I605" s="3">
        <v>807985</v>
      </c>
      <c r="J605" s="3">
        <v>4039926</v>
      </c>
      <c r="K605" s="3">
        <v>0</v>
      </c>
      <c r="L605" t="s">
        <v>1191</v>
      </c>
      <c r="M605">
        <v>1904741</v>
      </c>
      <c r="N605" t="s">
        <v>1389</v>
      </c>
      <c r="P605" t="s">
        <v>1766</v>
      </c>
      <c r="Q605" t="s">
        <v>1259</v>
      </c>
      <c r="R605">
        <v>89135</v>
      </c>
      <c r="S605" t="s">
        <v>1767</v>
      </c>
      <c r="T605" t="s">
        <v>965</v>
      </c>
      <c r="U605">
        <v>0</v>
      </c>
      <c r="V605">
        <v>1</v>
      </c>
      <c r="W605" t="s">
        <v>1194</v>
      </c>
      <c r="X605" t="s">
        <v>973</v>
      </c>
      <c r="Y605">
        <v>10000</v>
      </c>
      <c r="Z605" s="2" t="s">
        <v>1194</v>
      </c>
      <c r="AA605" s="2" t="s">
        <v>1238</v>
      </c>
      <c r="AB605" t="s">
        <v>1238</v>
      </c>
      <c r="AC605">
        <v>845</v>
      </c>
      <c r="AD605" t="s">
        <v>1279</v>
      </c>
      <c r="AE605">
        <v>1</v>
      </c>
      <c r="AF605" t="s">
        <v>1290</v>
      </c>
      <c r="AG605">
        <v>0</v>
      </c>
      <c r="AH605">
        <v>0</v>
      </c>
      <c r="AI605">
        <v>0</v>
      </c>
      <c r="AJ605">
        <v>2005</v>
      </c>
      <c r="AK605" t="s">
        <v>1194</v>
      </c>
      <c r="AL605">
        <v>2005</v>
      </c>
      <c r="AM605" s="4" t="s">
        <v>1238</v>
      </c>
      <c r="AN605">
        <v>0</v>
      </c>
      <c r="AO605" t="s">
        <v>1315</v>
      </c>
      <c r="AP605">
        <f t="shared" si="18"/>
        <v>0</v>
      </c>
      <c r="AQ605">
        <v>1</v>
      </c>
      <c r="AR605" t="s">
        <v>1992</v>
      </c>
      <c r="AS605" t="s">
        <v>1996</v>
      </c>
      <c r="AT605" t="s">
        <v>1995</v>
      </c>
      <c r="AU605" t="s">
        <v>1995</v>
      </c>
      <c r="AV605" t="s">
        <v>1996</v>
      </c>
      <c r="AW605" t="s">
        <v>1996</v>
      </c>
      <c r="AX605" t="s">
        <v>1194</v>
      </c>
      <c r="AY605" t="s">
        <v>1996</v>
      </c>
      <c r="AZ605">
        <v>10693</v>
      </c>
      <c r="BA605" t="s">
        <v>1194</v>
      </c>
      <c r="BB605" t="s">
        <v>2016</v>
      </c>
      <c r="BC605" s="3">
        <v>0</v>
      </c>
      <c r="BD605" s="3">
        <v>342.7</v>
      </c>
      <c r="BE605" s="3">
        <v>0</v>
      </c>
      <c r="BF605" s="3">
        <v>342.7</v>
      </c>
      <c r="BG605" s="3">
        <v>175</v>
      </c>
      <c r="BH605" s="3">
        <v>0</v>
      </c>
      <c r="BI605" s="3">
        <v>0</v>
      </c>
      <c r="BJ605" s="3">
        <v>15179.64</v>
      </c>
      <c r="BK605" s="3">
        <v>-15</v>
      </c>
      <c r="BL605" s="3">
        <v>15164.64</v>
      </c>
      <c r="BM605" s="2">
        <f t="shared" ca="1" si="19"/>
        <v>0</v>
      </c>
      <c r="BN605" s="3">
        <v>50000</v>
      </c>
      <c r="BO605" s="3">
        <v>500000</v>
      </c>
      <c r="BP605" s="3">
        <v>50000</v>
      </c>
      <c r="BQ605" s="3">
        <v>2000000</v>
      </c>
      <c r="BR605" s="3">
        <v>50000</v>
      </c>
      <c r="BS605">
        <v>50000</v>
      </c>
      <c r="BT605">
        <v>0</v>
      </c>
      <c r="BU605">
        <v>0</v>
      </c>
      <c r="BV605">
        <v>0</v>
      </c>
      <c r="BW605">
        <v>1</v>
      </c>
      <c r="BX605">
        <v>1</v>
      </c>
      <c r="BY605">
        <v>0</v>
      </c>
      <c r="BZ605" t="s">
        <v>2949</v>
      </c>
      <c r="CA605" t="s">
        <v>1194</v>
      </c>
      <c r="CB605" t="s">
        <v>2941</v>
      </c>
    </row>
    <row r="606" spans="1:80" x14ac:dyDescent="0.25">
      <c r="A606">
        <v>605</v>
      </c>
      <c r="B606" t="s">
        <v>2619</v>
      </c>
      <c r="C606" s="1">
        <v>44673</v>
      </c>
      <c r="D606">
        <v>12</v>
      </c>
      <c r="E606" t="s">
        <v>4</v>
      </c>
      <c r="F606" t="s">
        <v>1311</v>
      </c>
      <c r="G606">
        <v>1</v>
      </c>
      <c r="H606" s="3">
        <v>2051598</v>
      </c>
      <c r="I606" s="3">
        <v>410320</v>
      </c>
      <c r="J606" s="3">
        <v>615479</v>
      </c>
      <c r="K606" s="3">
        <v>410319.6</v>
      </c>
      <c r="L606" t="s">
        <v>1191</v>
      </c>
      <c r="M606">
        <v>1249045</v>
      </c>
      <c r="N606" t="s">
        <v>1390</v>
      </c>
      <c r="P606" t="s">
        <v>1774</v>
      </c>
      <c r="Q606" t="s">
        <v>1254</v>
      </c>
      <c r="R606">
        <v>63124</v>
      </c>
      <c r="S606" t="s">
        <v>1698</v>
      </c>
      <c r="T606" t="s">
        <v>965</v>
      </c>
      <c r="U606">
        <v>0</v>
      </c>
      <c r="V606">
        <v>3</v>
      </c>
      <c r="W606" t="s">
        <v>1194</v>
      </c>
      <c r="X606" t="s">
        <v>973</v>
      </c>
      <c r="Y606">
        <v>10000</v>
      </c>
      <c r="Z606" s="2" t="s">
        <v>1194</v>
      </c>
      <c r="AA606" s="2">
        <v>1</v>
      </c>
      <c r="AB606">
        <v>0.03</v>
      </c>
      <c r="AC606">
        <v>698</v>
      </c>
      <c r="AD606" t="s">
        <v>1284</v>
      </c>
      <c r="AE606">
        <v>3</v>
      </c>
      <c r="AF606" t="s">
        <v>1290</v>
      </c>
      <c r="AG606">
        <v>0</v>
      </c>
      <c r="AH606">
        <v>1</v>
      </c>
      <c r="AI606">
        <v>1</v>
      </c>
      <c r="AJ606">
        <v>1968</v>
      </c>
      <c r="AK606">
        <v>2004</v>
      </c>
      <c r="AL606">
        <v>2019</v>
      </c>
      <c r="AM606" s="4" t="s">
        <v>1238</v>
      </c>
      <c r="AN606">
        <v>1</v>
      </c>
      <c r="AO606" t="s">
        <v>1315</v>
      </c>
      <c r="AP606">
        <f t="shared" si="18"/>
        <v>1</v>
      </c>
      <c r="AQ606">
        <v>0</v>
      </c>
      <c r="AR606" t="s">
        <v>1993</v>
      </c>
      <c r="AS606" t="s">
        <v>1995</v>
      </c>
      <c r="AT606" t="s">
        <v>1995</v>
      </c>
      <c r="AU606" t="s">
        <v>1995</v>
      </c>
      <c r="AV606" t="s">
        <v>1996</v>
      </c>
      <c r="AW606" t="s">
        <v>1996</v>
      </c>
      <c r="AX606" t="s">
        <v>1194</v>
      </c>
      <c r="AY606" t="s">
        <v>1996</v>
      </c>
      <c r="AZ606">
        <v>5158</v>
      </c>
      <c r="BA606" t="s">
        <v>1194</v>
      </c>
      <c r="BB606" t="s">
        <v>1194</v>
      </c>
      <c r="BC606" s="3">
        <v>0</v>
      </c>
      <c r="BD606" s="3">
        <v>0</v>
      </c>
      <c r="BE606" s="3">
        <v>0</v>
      </c>
      <c r="BF606" s="3">
        <v>0</v>
      </c>
      <c r="BG606" s="3">
        <v>175</v>
      </c>
      <c r="BH606" s="3">
        <v>0</v>
      </c>
      <c r="BI606" s="3">
        <v>0</v>
      </c>
      <c r="BJ606" s="3">
        <v>13430.95</v>
      </c>
      <c r="BK606" s="3">
        <v>1068.5999999999999</v>
      </c>
      <c r="BL606" s="3">
        <v>14499.55</v>
      </c>
      <c r="BM606" s="2">
        <f t="shared" ca="1" si="19"/>
        <v>1</v>
      </c>
      <c r="BN606" s="3">
        <v>500000</v>
      </c>
      <c r="BO606" s="3">
        <v>250000</v>
      </c>
      <c r="BP606" s="3">
        <v>200000</v>
      </c>
      <c r="BQ606" s="3">
        <v>50000</v>
      </c>
      <c r="BR606" s="3">
        <v>50000</v>
      </c>
      <c r="BS606">
        <v>250000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 t="s">
        <v>2958</v>
      </c>
      <c r="CA606" t="s">
        <v>1194</v>
      </c>
      <c r="CB606" t="s">
        <v>2945</v>
      </c>
    </row>
    <row r="607" spans="1:80" x14ac:dyDescent="0.25">
      <c r="A607">
        <v>606</v>
      </c>
      <c r="B607" t="s">
        <v>2620</v>
      </c>
      <c r="C607" s="1">
        <v>44900</v>
      </c>
      <c r="D607">
        <v>12</v>
      </c>
      <c r="E607" t="s">
        <v>4</v>
      </c>
      <c r="F607" t="s">
        <v>1311</v>
      </c>
      <c r="G607">
        <v>0</v>
      </c>
      <c r="H607" s="3">
        <v>1733061</v>
      </c>
      <c r="I607" s="3">
        <v>526027</v>
      </c>
      <c r="J607" s="3">
        <v>866531</v>
      </c>
      <c r="K607" s="3">
        <v>346612.2</v>
      </c>
      <c r="L607" t="s">
        <v>1191</v>
      </c>
      <c r="M607">
        <v>410038</v>
      </c>
      <c r="N607" t="s">
        <v>1391</v>
      </c>
      <c r="P607" t="s">
        <v>1730</v>
      </c>
      <c r="Q607" t="s">
        <v>1261</v>
      </c>
      <c r="R607">
        <v>74114</v>
      </c>
      <c r="S607" t="s">
        <v>1730</v>
      </c>
      <c r="T607" t="s">
        <v>965</v>
      </c>
      <c r="U607">
        <v>0</v>
      </c>
      <c r="V607">
        <v>4</v>
      </c>
      <c r="W607" t="s">
        <v>1194</v>
      </c>
      <c r="X607" t="s">
        <v>973</v>
      </c>
      <c r="Y607">
        <v>10000</v>
      </c>
      <c r="Z607" s="2">
        <v>1.0000225039999999</v>
      </c>
      <c r="AA607" s="2">
        <v>1</v>
      </c>
      <c r="AB607">
        <v>0.01</v>
      </c>
      <c r="AC607">
        <v>709</v>
      </c>
      <c r="AD607" t="s">
        <v>1284</v>
      </c>
      <c r="AE607">
        <v>3</v>
      </c>
      <c r="AF607" t="s">
        <v>1290</v>
      </c>
      <c r="AG607">
        <v>0</v>
      </c>
      <c r="AH607">
        <v>0</v>
      </c>
      <c r="AI607">
        <v>0</v>
      </c>
      <c r="AJ607">
        <v>1940</v>
      </c>
      <c r="AK607">
        <v>2006</v>
      </c>
      <c r="AL607">
        <v>2019</v>
      </c>
      <c r="AM607" s="4" t="s">
        <v>1238</v>
      </c>
      <c r="AN607">
        <v>0</v>
      </c>
      <c r="AO607" t="s">
        <v>1316</v>
      </c>
      <c r="AP607">
        <f t="shared" si="18"/>
        <v>0</v>
      </c>
      <c r="AQ607">
        <v>0</v>
      </c>
      <c r="AR607" t="s">
        <v>1993</v>
      </c>
      <c r="AS607" t="s">
        <v>1995</v>
      </c>
      <c r="AT607" t="s">
        <v>1995</v>
      </c>
      <c r="AU607" t="s">
        <v>1995</v>
      </c>
      <c r="AV607" t="s">
        <v>1995</v>
      </c>
      <c r="AW607" t="s">
        <v>1995</v>
      </c>
      <c r="AX607" t="s">
        <v>1194</v>
      </c>
      <c r="AY607" t="s">
        <v>1996</v>
      </c>
      <c r="AZ607">
        <v>4508</v>
      </c>
      <c r="BA607" t="s">
        <v>1194</v>
      </c>
      <c r="BB607" t="s">
        <v>1194</v>
      </c>
      <c r="BC607" s="3">
        <v>0</v>
      </c>
      <c r="BD607" s="3">
        <v>0</v>
      </c>
      <c r="BE607" s="3">
        <v>0</v>
      </c>
      <c r="BF607" s="3">
        <v>0</v>
      </c>
      <c r="BG607" s="3">
        <v>150</v>
      </c>
      <c r="BH607" s="3">
        <v>0</v>
      </c>
      <c r="BI607" s="3">
        <v>0</v>
      </c>
      <c r="BJ607" s="3">
        <v>15193.91</v>
      </c>
      <c r="BK607" s="3">
        <v>331.61</v>
      </c>
      <c r="BL607" s="3">
        <v>15525.52</v>
      </c>
      <c r="BM607" s="2">
        <f t="shared" ca="1" si="19"/>
        <v>0</v>
      </c>
      <c r="BN607" s="3">
        <v>1000000</v>
      </c>
      <c r="BO607" s="3">
        <v>500000</v>
      </c>
      <c r="BP607" s="3">
        <v>200000</v>
      </c>
      <c r="BQ607" s="3">
        <v>500000</v>
      </c>
      <c r="BR607" s="3">
        <v>50000</v>
      </c>
      <c r="BS607">
        <v>250000</v>
      </c>
      <c r="BT607">
        <v>0</v>
      </c>
      <c r="BU607">
        <v>1</v>
      </c>
      <c r="BV607">
        <v>1</v>
      </c>
      <c r="BW607">
        <v>0</v>
      </c>
      <c r="BX607">
        <v>0</v>
      </c>
      <c r="BY607">
        <v>0</v>
      </c>
      <c r="BZ607" t="s">
        <v>2958</v>
      </c>
      <c r="CA607" t="s">
        <v>1194</v>
      </c>
      <c r="CB607" t="s">
        <v>2945</v>
      </c>
    </row>
    <row r="608" spans="1:80" x14ac:dyDescent="0.25">
      <c r="A608">
        <v>607</v>
      </c>
      <c r="B608" t="s">
        <v>2621</v>
      </c>
      <c r="C608" s="1">
        <v>44957</v>
      </c>
      <c r="D608">
        <v>12</v>
      </c>
      <c r="E608" t="s">
        <v>4</v>
      </c>
      <c r="F608" t="s">
        <v>1311</v>
      </c>
      <c r="G608">
        <v>0</v>
      </c>
      <c r="H608" s="3">
        <v>2378401</v>
      </c>
      <c r="I608" s="3">
        <v>475680</v>
      </c>
      <c r="J608" s="3">
        <v>1189199</v>
      </c>
      <c r="K608" s="3">
        <v>475680.2</v>
      </c>
      <c r="L608" t="s">
        <v>1191</v>
      </c>
      <c r="M608">
        <v>413219</v>
      </c>
      <c r="N608" t="s">
        <v>1392</v>
      </c>
      <c r="P608" t="s">
        <v>1775</v>
      </c>
      <c r="Q608" t="s">
        <v>1268</v>
      </c>
      <c r="R608">
        <v>22124</v>
      </c>
      <c r="S608" t="s">
        <v>1776</v>
      </c>
      <c r="T608" t="s">
        <v>965</v>
      </c>
      <c r="U608">
        <v>0</v>
      </c>
      <c r="V608">
        <v>10</v>
      </c>
      <c r="W608" t="s">
        <v>1194</v>
      </c>
      <c r="X608" t="s">
        <v>973</v>
      </c>
      <c r="Y608">
        <v>10000</v>
      </c>
      <c r="Z608" s="2" t="s">
        <v>1194</v>
      </c>
      <c r="AA608" s="2" t="s">
        <v>1238</v>
      </c>
      <c r="AB608" t="s">
        <v>1238</v>
      </c>
      <c r="AC608">
        <v>837</v>
      </c>
      <c r="AD608" t="s">
        <v>1284</v>
      </c>
      <c r="AE608">
        <v>3</v>
      </c>
      <c r="AF608" t="s">
        <v>1290</v>
      </c>
      <c r="AG608">
        <v>0</v>
      </c>
      <c r="AH608">
        <v>0</v>
      </c>
      <c r="AI608">
        <v>0</v>
      </c>
      <c r="AJ608">
        <v>1988</v>
      </c>
      <c r="AK608" t="s">
        <v>1194</v>
      </c>
      <c r="AL608" t="s">
        <v>1194</v>
      </c>
      <c r="AM608" s="4" t="s">
        <v>1238</v>
      </c>
      <c r="AN608">
        <v>1</v>
      </c>
      <c r="AO608" t="s">
        <v>1316</v>
      </c>
      <c r="AP608">
        <f t="shared" si="18"/>
        <v>0</v>
      </c>
      <c r="AQ608">
        <v>0</v>
      </c>
      <c r="AR608" t="s">
        <v>1993</v>
      </c>
      <c r="AS608" t="s">
        <v>1996</v>
      </c>
      <c r="AT608" t="s">
        <v>1996</v>
      </c>
      <c r="AU608" t="s">
        <v>1996</v>
      </c>
      <c r="AV608" t="s">
        <v>1996</v>
      </c>
      <c r="AW608" t="s">
        <v>1996</v>
      </c>
      <c r="AX608" t="s">
        <v>2003</v>
      </c>
      <c r="AY608" t="s">
        <v>1996</v>
      </c>
      <c r="AZ608">
        <v>4924</v>
      </c>
      <c r="BA608" t="s">
        <v>1194</v>
      </c>
      <c r="BB608" t="s">
        <v>1194</v>
      </c>
      <c r="BC608" s="3">
        <v>0</v>
      </c>
      <c r="BD608" s="3">
        <v>0</v>
      </c>
      <c r="BE608" s="3">
        <v>0</v>
      </c>
      <c r="BF608" s="3">
        <v>0</v>
      </c>
      <c r="BG608" s="3">
        <v>175</v>
      </c>
      <c r="BH608" s="3">
        <v>0</v>
      </c>
      <c r="BI608" s="3">
        <v>0</v>
      </c>
      <c r="BJ608" s="3">
        <v>4878.46</v>
      </c>
      <c r="BK608" s="3">
        <v>320</v>
      </c>
      <c r="BL608" s="3">
        <v>5198.46</v>
      </c>
      <c r="BM608" s="2">
        <f t="shared" ca="1" si="19"/>
        <v>4</v>
      </c>
      <c r="BN608" s="3">
        <v>500000</v>
      </c>
      <c r="BO608" s="3">
        <v>500000</v>
      </c>
      <c r="BP608" s="3">
        <v>100000</v>
      </c>
      <c r="BQ608" s="3">
        <v>25000</v>
      </c>
      <c r="BR608" s="3">
        <v>100000</v>
      </c>
      <c r="BS608">
        <v>250000</v>
      </c>
      <c r="BT608">
        <v>0</v>
      </c>
      <c r="BU608">
        <v>0</v>
      </c>
      <c r="BV608">
        <v>1</v>
      </c>
      <c r="BW608">
        <v>0</v>
      </c>
      <c r="BX608">
        <v>0</v>
      </c>
      <c r="BY608">
        <v>0</v>
      </c>
      <c r="BZ608" t="s">
        <v>2949</v>
      </c>
      <c r="CA608" t="s">
        <v>1194</v>
      </c>
      <c r="CB608" t="s">
        <v>2949</v>
      </c>
    </row>
    <row r="609" spans="1:80" x14ac:dyDescent="0.25">
      <c r="A609">
        <v>608</v>
      </c>
      <c r="B609" t="s">
        <v>2622</v>
      </c>
      <c r="C609" s="1">
        <v>44625</v>
      </c>
      <c r="D609">
        <v>12</v>
      </c>
      <c r="E609" t="s">
        <v>4</v>
      </c>
      <c r="F609" t="s">
        <v>1311</v>
      </c>
      <c r="G609">
        <v>0</v>
      </c>
      <c r="H609" s="3">
        <v>764875</v>
      </c>
      <c r="I609" s="3">
        <v>76488</v>
      </c>
      <c r="J609" s="3">
        <v>382438</v>
      </c>
      <c r="K609" s="3">
        <v>152975</v>
      </c>
      <c r="L609" t="s">
        <v>1191</v>
      </c>
      <c r="M609">
        <v>1645095</v>
      </c>
      <c r="N609" t="s">
        <v>1393</v>
      </c>
      <c r="P609" t="s">
        <v>1777</v>
      </c>
      <c r="Q609" t="s">
        <v>1266</v>
      </c>
      <c r="R609">
        <v>38117</v>
      </c>
      <c r="S609" t="s">
        <v>1778</v>
      </c>
      <c r="T609" t="s">
        <v>965</v>
      </c>
      <c r="U609">
        <v>0</v>
      </c>
      <c r="V609">
        <v>3</v>
      </c>
      <c r="W609" t="s">
        <v>1194</v>
      </c>
      <c r="X609" t="s">
        <v>973</v>
      </c>
      <c r="Y609">
        <v>10000</v>
      </c>
      <c r="Z609" s="2" t="s">
        <v>1194</v>
      </c>
      <c r="AA609" s="2" t="s">
        <v>1238</v>
      </c>
      <c r="AB609" t="s">
        <v>1238</v>
      </c>
      <c r="AC609">
        <v>797</v>
      </c>
      <c r="AD609" t="s">
        <v>1284</v>
      </c>
      <c r="AE609">
        <v>1</v>
      </c>
      <c r="AF609" t="s">
        <v>1290</v>
      </c>
      <c r="AG609">
        <v>0</v>
      </c>
      <c r="AH609">
        <v>0</v>
      </c>
      <c r="AI609">
        <v>0</v>
      </c>
      <c r="AJ609">
        <v>1950</v>
      </c>
      <c r="AK609" t="s">
        <v>1194</v>
      </c>
      <c r="AL609">
        <v>2021</v>
      </c>
      <c r="AM609" s="4" t="s">
        <v>1238</v>
      </c>
      <c r="AN609">
        <v>1</v>
      </c>
      <c r="AO609" t="s">
        <v>1317</v>
      </c>
      <c r="AP609">
        <f t="shared" si="18"/>
        <v>0</v>
      </c>
      <c r="AQ609">
        <v>0</v>
      </c>
      <c r="AR609" t="s">
        <v>1993</v>
      </c>
      <c r="AS609" t="s">
        <v>1995</v>
      </c>
      <c r="AT609" t="s">
        <v>1996</v>
      </c>
      <c r="AU609" t="s">
        <v>1995</v>
      </c>
      <c r="AV609" t="s">
        <v>1995</v>
      </c>
      <c r="AW609" t="s">
        <v>1996</v>
      </c>
      <c r="AX609" t="s">
        <v>1194</v>
      </c>
      <c r="AY609" t="s">
        <v>1996</v>
      </c>
      <c r="AZ609">
        <v>2890</v>
      </c>
      <c r="BA609" t="s">
        <v>1194</v>
      </c>
      <c r="BB609" t="s">
        <v>1194</v>
      </c>
      <c r="BC609" s="3">
        <v>0</v>
      </c>
      <c r="BD609" s="3">
        <v>612.08000000000004</v>
      </c>
      <c r="BE609" s="3">
        <v>0</v>
      </c>
      <c r="BF609" s="3">
        <v>0</v>
      </c>
      <c r="BG609" s="3">
        <v>175</v>
      </c>
      <c r="BH609" s="3">
        <v>0</v>
      </c>
      <c r="BI609" s="3">
        <v>0</v>
      </c>
      <c r="BJ609" s="3">
        <v>3825.43</v>
      </c>
      <c r="BK609" s="3">
        <v>-15</v>
      </c>
      <c r="BL609" s="3">
        <v>3810.43</v>
      </c>
      <c r="BM609" s="2">
        <f t="shared" ca="1" si="19"/>
        <v>0</v>
      </c>
      <c r="BN609" s="3" t="s">
        <v>2916</v>
      </c>
      <c r="BO609" s="3">
        <v>250000</v>
      </c>
      <c r="BP609" s="3">
        <v>50000</v>
      </c>
      <c r="BQ609" s="3">
        <v>500000</v>
      </c>
      <c r="BR609" s="3">
        <v>250000</v>
      </c>
      <c r="BS609">
        <v>100000</v>
      </c>
      <c r="BT609">
        <v>0</v>
      </c>
      <c r="BU609">
        <v>0</v>
      </c>
      <c r="BV609">
        <v>1</v>
      </c>
      <c r="BW609">
        <v>0</v>
      </c>
      <c r="BX609">
        <v>0</v>
      </c>
      <c r="BY609">
        <v>0</v>
      </c>
      <c r="BZ609" t="s">
        <v>2958</v>
      </c>
      <c r="CA609" t="s">
        <v>1194</v>
      </c>
      <c r="CB609" t="s">
        <v>2949</v>
      </c>
    </row>
    <row r="610" spans="1:80" x14ac:dyDescent="0.25">
      <c r="A610">
        <v>609</v>
      </c>
      <c r="B610" t="s">
        <v>2623</v>
      </c>
      <c r="C610" s="1">
        <v>44972</v>
      </c>
      <c r="D610">
        <v>12</v>
      </c>
      <c r="E610" t="s">
        <v>5</v>
      </c>
      <c r="F610" t="s">
        <v>1310</v>
      </c>
      <c r="G610">
        <v>0</v>
      </c>
      <c r="H610" s="3">
        <v>4805785</v>
      </c>
      <c r="I610" s="3">
        <v>220146</v>
      </c>
      <c r="J610" s="3">
        <v>1318321</v>
      </c>
      <c r="K610" s="3">
        <v>961157</v>
      </c>
      <c r="L610" t="s">
        <v>1191</v>
      </c>
      <c r="M610">
        <v>418407</v>
      </c>
      <c r="N610" t="s">
        <v>1394</v>
      </c>
      <c r="P610" t="s">
        <v>1759</v>
      </c>
      <c r="Q610" t="s">
        <v>1266</v>
      </c>
      <c r="R610">
        <v>37205</v>
      </c>
      <c r="S610" t="s">
        <v>1760</v>
      </c>
      <c r="T610" t="s">
        <v>965</v>
      </c>
      <c r="U610">
        <v>0</v>
      </c>
      <c r="V610" t="s">
        <v>1989</v>
      </c>
      <c r="W610" t="s">
        <v>1194</v>
      </c>
      <c r="X610" t="s">
        <v>973</v>
      </c>
      <c r="Y610">
        <v>10000</v>
      </c>
      <c r="Z610" s="2" t="s">
        <v>1194</v>
      </c>
      <c r="AA610" s="2" t="s">
        <v>1238</v>
      </c>
      <c r="AB610" t="s">
        <v>1238</v>
      </c>
      <c r="AC610">
        <v>861</v>
      </c>
      <c r="AD610" t="s">
        <v>1284</v>
      </c>
      <c r="AE610">
        <v>4</v>
      </c>
      <c r="AF610" t="s">
        <v>1290</v>
      </c>
      <c r="AG610">
        <v>0</v>
      </c>
      <c r="AH610">
        <v>0</v>
      </c>
      <c r="AI610">
        <v>0</v>
      </c>
      <c r="AJ610">
        <v>2009</v>
      </c>
      <c r="AK610" t="s">
        <v>1194</v>
      </c>
      <c r="AL610" t="s">
        <v>1194</v>
      </c>
      <c r="AM610" s="4" t="s">
        <v>1305</v>
      </c>
      <c r="AN610">
        <v>0</v>
      </c>
      <c r="AO610" t="s">
        <v>1316</v>
      </c>
      <c r="AP610">
        <f t="shared" si="18"/>
        <v>0</v>
      </c>
      <c r="AQ610">
        <v>0</v>
      </c>
      <c r="AR610" t="s">
        <v>1993</v>
      </c>
      <c r="AS610" t="s">
        <v>1996</v>
      </c>
      <c r="AT610" t="s">
        <v>1995</v>
      </c>
      <c r="AU610" t="s">
        <v>1996</v>
      </c>
      <c r="AV610" t="s">
        <v>1995</v>
      </c>
      <c r="AW610" t="s">
        <v>1995</v>
      </c>
      <c r="AX610" t="s">
        <v>1194</v>
      </c>
      <c r="AY610" t="s">
        <v>1996</v>
      </c>
      <c r="AZ610">
        <v>5000</v>
      </c>
      <c r="BA610" t="s">
        <v>1194</v>
      </c>
      <c r="BB610" t="s">
        <v>1194</v>
      </c>
      <c r="BC610" s="3">
        <v>0</v>
      </c>
      <c r="BD610" s="3">
        <v>2979.47</v>
      </c>
      <c r="BE610" s="3">
        <v>0</v>
      </c>
      <c r="BF610" s="3">
        <v>0</v>
      </c>
      <c r="BG610" s="3">
        <v>175</v>
      </c>
      <c r="BH610" s="3">
        <v>0</v>
      </c>
      <c r="BI610" s="3">
        <v>0</v>
      </c>
      <c r="BJ610" s="3">
        <v>8965.56</v>
      </c>
      <c r="BK610" s="3">
        <v>1522.85</v>
      </c>
      <c r="BL610" s="3">
        <v>10488.41</v>
      </c>
      <c r="BM610" s="2">
        <f t="shared" ca="1" si="19"/>
        <v>2</v>
      </c>
      <c r="BN610" s="3">
        <v>1000000</v>
      </c>
      <c r="BO610" s="3">
        <v>25000</v>
      </c>
      <c r="BP610" s="3">
        <v>200000</v>
      </c>
      <c r="BQ610" s="3">
        <v>500000</v>
      </c>
      <c r="BR610" s="3">
        <v>50000</v>
      </c>
      <c r="BS610">
        <v>50000</v>
      </c>
      <c r="BT610">
        <v>0</v>
      </c>
      <c r="BU610">
        <v>0</v>
      </c>
      <c r="BV610">
        <v>1</v>
      </c>
      <c r="BW610">
        <v>0</v>
      </c>
      <c r="BX610">
        <v>0</v>
      </c>
      <c r="BY610">
        <v>0</v>
      </c>
      <c r="BZ610" t="s">
        <v>2949</v>
      </c>
      <c r="CA610" t="s">
        <v>1194</v>
      </c>
      <c r="CB610" t="s">
        <v>2949</v>
      </c>
    </row>
    <row r="611" spans="1:80" x14ac:dyDescent="0.25">
      <c r="A611">
        <v>610</v>
      </c>
      <c r="B611" t="s">
        <v>2624</v>
      </c>
      <c r="C611" s="1">
        <v>44741</v>
      </c>
      <c r="D611">
        <v>30</v>
      </c>
      <c r="E611" t="s">
        <v>4</v>
      </c>
      <c r="F611" t="s">
        <v>1311</v>
      </c>
      <c r="G611">
        <v>1</v>
      </c>
      <c r="H611" s="3">
        <v>21574000</v>
      </c>
      <c r="I611" s="3">
        <v>2500000</v>
      </c>
      <c r="J611" s="3">
        <v>9500000</v>
      </c>
      <c r="K611" s="3">
        <v>0</v>
      </c>
      <c r="L611" t="s">
        <v>1191</v>
      </c>
      <c r="M611">
        <v>1887213</v>
      </c>
      <c r="N611" t="s">
        <v>1395</v>
      </c>
      <c r="P611" t="s">
        <v>1779</v>
      </c>
      <c r="Q611" t="s">
        <v>1246</v>
      </c>
      <c r="R611">
        <v>60045</v>
      </c>
      <c r="S611" t="s">
        <v>1780</v>
      </c>
      <c r="T611" t="s">
        <v>965</v>
      </c>
      <c r="U611">
        <v>0</v>
      </c>
      <c r="V611">
        <v>3</v>
      </c>
      <c r="W611" t="s">
        <v>1194</v>
      </c>
      <c r="X611" t="s">
        <v>973</v>
      </c>
      <c r="Y611">
        <v>25000</v>
      </c>
      <c r="Z611" s="2" t="s">
        <v>1194</v>
      </c>
      <c r="AA611" s="2">
        <v>0</v>
      </c>
      <c r="AB611" t="s">
        <v>1238</v>
      </c>
      <c r="AC611">
        <v>756</v>
      </c>
      <c r="AD611" t="s">
        <v>1284</v>
      </c>
      <c r="AE611">
        <v>3</v>
      </c>
      <c r="AF611" t="s">
        <v>1290</v>
      </c>
      <c r="AG611">
        <v>0</v>
      </c>
      <c r="AH611">
        <v>0</v>
      </c>
      <c r="AI611">
        <v>0</v>
      </c>
      <c r="AJ611">
        <v>2021</v>
      </c>
      <c r="AK611" t="s">
        <v>1194</v>
      </c>
      <c r="AL611" t="s">
        <v>1194</v>
      </c>
      <c r="AM611" s="4" t="s">
        <v>1238</v>
      </c>
      <c r="AN611">
        <v>0</v>
      </c>
      <c r="AO611" t="s">
        <v>1315</v>
      </c>
      <c r="AP611">
        <f t="shared" si="18"/>
        <v>0</v>
      </c>
      <c r="AQ611">
        <v>1</v>
      </c>
      <c r="AR611" t="s">
        <v>1992</v>
      </c>
      <c r="AS611" t="s">
        <v>1996</v>
      </c>
      <c r="AT611" t="s">
        <v>1996</v>
      </c>
      <c r="AU611" t="s">
        <v>1995</v>
      </c>
      <c r="AV611" t="s">
        <v>1995</v>
      </c>
      <c r="AW611" t="s">
        <v>1995</v>
      </c>
      <c r="AX611" t="s">
        <v>1194</v>
      </c>
      <c r="AY611" t="s">
        <v>1996</v>
      </c>
      <c r="AZ611">
        <v>14780</v>
      </c>
      <c r="BA611" t="s">
        <v>1194</v>
      </c>
      <c r="BB611" t="s">
        <v>1194</v>
      </c>
      <c r="BC611" s="3">
        <v>0</v>
      </c>
      <c r="BD611" s="3">
        <v>0</v>
      </c>
      <c r="BE611" s="3">
        <v>0</v>
      </c>
      <c r="BF611" s="3">
        <v>0</v>
      </c>
      <c r="BG611" s="3">
        <v>175</v>
      </c>
      <c r="BH611" s="3">
        <v>0</v>
      </c>
      <c r="BI611" s="3">
        <v>0</v>
      </c>
      <c r="BJ611" s="3">
        <v>27860.31</v>
      </c>
      <c r="BK611" s="3">
        <v>65</v>
      </c>
      <c r="BL611" s="3">
        <v>27925.31</v>
      </c>
      <c r="BM611" s="2">
        <f t="shared" ca="1" si="19"/>
        <v>2</v>
      </c>
      <c r="BN611" s="3">
        <v>50000</v>
      </c>
      <c r="BO611" s="3">
        <v>500000</v>
      </c>
      <c r="BP611" s="3">
        <v>50000</v>
      </c>
      <c r="BQ611" s="3">
        <v>50000</v>
      </c>
      <c r="BR611" s="3">
        <v>50000</v>
      </c>
      <c r="BS611">
        <v>1000000</v>
      </c>
      <c r="BT611">
        <v>0</v>
      </c>
      <c r="BU611">
        <v>0</v>
      </c>
      <c r="BV611">
        <v>1</v>
      </c>
      <c r="BW611">
        <v>0</v>
      </c>
      <c r="BX611">
        <v>0</v>
      </c>
      <c r="BY611">
        <v>0</v>
      </c>
      <c r="BZ611" t="s">
        <v>2959</v>
      </c>
      <c r="CA611" t="s">
        <v>1194</v>
      </c>
      <c r="CB611" t="s">
        <v>2941</v>
      </c>
    </row>
    <row r="612" spans="1:80" x14ac:dyDescent="0.25">
      <c r="A612">
        <v>611</v>
      </c>
      <c r="B612" t="s">
        <v>2625</v>
      </c>
      <c r="C612" s="1">
        <v>44680</v>
      </c>
      <c r="D612">
        <v>12</v>
      </c>
      <c r="E612" t="s">
        <v>4</v>
      </c>
      <c r="F612" t="s">
        <v>1311</v>
      </c>
      <c r="G612">
        <v>1</v>
      </c>
      <c r="H612" s="3">
        <v>4824128</v>
      </c>
      <c r="I612" s="3">
        <v>150000</v>
      </c>
      <c r="J612" s="3">
        <v>900000</v>
      </c>
      <c r="K612" s="3">
        <v>0</v>
      </c>
      <c r="L612" t="s">
        <v>1191</v>
      </c>
      <c r="M612">
        <v>1099797</v>
      </c>
      <c r="N612" t="s">
        <v>1396</v>
      </c>
      <c r="P612" t="s">
        <v>1781</v>
      </c>
      <c r="Q612" t="s">
        <v>1246</v>
      </c>
      <c r="R612">
        <v>60093</v>
      </c>
      <c r="S612" t="s">
        <v>1734</v>
      </c>
      <c r="T612" t="s">
        <v>965</v>
      </c>
      <c r="U612">
        <v>0</v>
      </c>
      <c r="V612">
        <v>7</v>
      </c>
      <c r="W612" t="s">
        <v>1194</v>
      </c>
      <c r="X612" t="s">
        <v>973</v>
      </c>
      <c r="Y612">
        <v>10000</v>
      </c>
      <c r="Z612" s="2" t="s">
        <v>1194</v>
      </c>
      <c r="AA612" s="2">
        <v>0</v>
      </c>
      <c r="AB612" t="s">
        <v>1238</v>
      </c>
      <c r="AC612">
        <v>757</v>
      </c>
      <c r="AD612" t="s">
        <v>1280</v>
      </c>
      <c r="AE612">
        <v>3</v>
      </c>
      <c r="AF612" t="s">
        <v>1290</v>
      </c>
      <c r="AG612">
        <v>0</v>
      </c>
      <c r="AH612">
        <v>0</v>
      </c>
      <c r="AI612">
        <v>0</v>
      </c>
      <c r="AJ612">
        <v>2008</v>
      </c>
      <c r="AK612" t="s">
        <v>1194</v>
      </c>
      <c r="AL612" t="s">
        <v>1194</v>
      </c>
      <c r="AM612" s="4" t="s">
        <v>1238</v>
      </c>
      <c r="AN612">
        <v>0</v>
      </c>
      <c r="AO612" t="s">
        <v>1317</v>
      </c>
      <c r="AP612">
        <f t="shared" si="18"/>
        <v>0</v>
      </c>
      <c r="AQ612">
        <v>1</v>
      </c>
      <c r="AR612" t="s">
        <v>1992</v>
      </c>
      <c r="AS612" t="s">
        <v>1995</v>
      </c>
      <c r="AT612" t="s">
        <v>1996</v>
      </c>
      <c r="AU612" t="s">
        <v>1995</v>
      </c>
      <c r="AV612" t="s">
        <v>1996</v>
      </c>
      <c r="AW612" t="s">
        <v>1996</v>
      </c>
      <c r="AX612" t="s">
        <v>1194</v>
      </c>
      <c r="AY612" t="s">
        <v>1996</v>
      </c>
      <c r="AZ612">
        <v>6504</v>
      </c>
      <c r="BA612" t="s">
        <v>1194</v>
      </c>
      <c r="BB612" t="s">
        <v>1194</v>
      </c>
      <c r="BC612" s="3">
        <v>0</v>
      </c>
      <c r="BD612" s="3">
        <v>0</v>
      </c>
      <c r="BE612" s="3">
        <v>0</v>
      </c>
      <c r="BF612" s="3">
        <v>0</v>
      </c>
      <c r="BG612" s="3">
        <v>175</v>
      </c>
      <c r="BH612" s="3">
        <v>0</v>
      </c>
      <c r="BI612" s="3">
        <v>0</v>
      </c>
      <c r="BJ612" s="3">
        <v>8960</v>
      </c>
      <c r="BK612" s="3">
        <v>576</v>
      </c>
      <c r="BL612" s="3">
        <v>9536</v>
      </c>
      <c r="BM612" s="2">
        <f t="shared" ca="1" si="19"/>
        <v>1</v>
      </c>
      <c r="BN612" s="3">
        <v>500000</v>
      </c>
      <c r="BO612" s="3">
        <v>250000</v>
      </c>
      <c r="BP612" s="3">
        <v>100000</v>
      </c>
      <c r="BQ612" s="3">
        <v>500000</v>
      </c>
      <c r="BR612" s="3">
        <v>500000</v>
      </c>
      <c r="BS612">
        <v>500000</v>
      </c>
      <c r="BT612">
        <v>0</v>
      </c>
      <c r="BU612">
        <v>0</v>
      </c>
      <c r="BV612">
        <v>0</v>
      </c>
      <c r="BW612">
        <v>1</v>
      </c>
      <c r="BX612">
        <v>1</v>
      </c>
      <c r="BY612">
        <v>0</v>
      </c>
      <c r="BZ612" t="s">
        <v>2959</v>
      </c>
      <c r="CA612" t="s">
        <v>1194</v>
      </c>
      <c r="CB612" t="s">
        <v>2945</v>
      </c>
    </row>
    <row r="613" spans="1:80" x14ac:dyDescent="0.25">
      <c r="A613">
        <v>612</v>
      </c>
      <c r="B613" t="s">
        <v>2626</v>
      </c>
      <c r="C613" s="1">
        <v>44623</v>
      </c>
      <c r="D613">
        <v>12</v>
      </c>
      <c r="E613" t="s">
        <v>4</v>
      </c>
      <c r="F613" t="s">
        <v>1311</v>
      </c>
      <c r="G613">
        <v>0</v>
      </c>
      <c r="H613" s="3">
        <v>0</v>
      </c>
      <c r="I613" s="3">
        <v>0</v>
      </c>
      <c r="J613" s="3">
        <v>2050000</v>
      </c>
      <c r="K613" s="3">
        <v>0</v>
      </c>
      <c r="L613" t="s">
        <v>1192</v>
      </c>
      <c r="M613">
        <v>1919878</v>
      </c>
      <c r="N613" t="s">
        <v>1397</v>
      </c>
      <c r="P613" t="s">
        <v>1782</v>
      </c>
      <c r="Q613" t="s">
        <v>1253</v>
      </c>
      <c r="R613">
        <v>55414</v>
      </c>
      <c r="S613" t="s">
        <v>1714</v>
      </c>
      <c r="T613" t="s">
        <v>965</v>
      </c>
      <c r="U613">
        <v>0</v>
      </c>
      <c r="V613">
        <v>1</v>
      </c>
      <c r="W613" t="s">
        <v>1194</v>
      </c>
      <c r="X613" t="s">
        <v>973</v>
      </c>
      <c r="Y613">
        <v>10000</v>
      </c>
      <c r="Z613" s="2" t="s">
        <v>1194</v>
      </c>
      <c r="AA613" s="2">
        <v>1</v>
      </c>
      <c r="AB613">
        <v>5.0000000000000001E-3</v>
      </c>
      <c r="AC613">
        <v>876</v>
      </c>
      <c r="AD613" t="s">
        <v>1279</v>
      </c>
      <c r="AE613">
        <v>2</v>
      </c>
      <c r="AF613" t="s">
        <v>1290</v>
      </c>
      <c r="AG613">
        <v>0</v>
      </c>
      <c r="AH613">
        <v>0</v>
      </c>
      <c r="AI613">
        <v>0</v>
      </c>
      <c r="AJ613">
        <v>1993</v>
      </c>
      <c r="AK613" t="s">
        <v>1194</v>
      </c>
      <c r="AL613" t="s">
        <v>1194</v>
      </c>
      <c r="AM613" s="4" t="s">
        <v>1238</v>
      </c>
      <c r="AN613">
        <v>0</v>
      </c>
      <c r="AO613" t="s">
        <v>1316</v>
      </c>
      <c r="AP613">
        <f t="shared" si="18"/>
        <v>0</v>
      </c>
      <c r="AQ613">
        <v>0</v>
      </c>
      <c r="AR613" t="s">
        <v>1993</v>
      </c>
      <c r="AS613" t="s">
        <v>1996</v>
      </c>
      <c r="AT613" t="s">
        <v>1995</v>
      </c>
      <c r="AU613" t="s">
        <v>1995</v>
      </c>
      <c r="AV613" t="s">
        <v>1995</v>
      </c>
      <c r="AW613" t="s">
        <v>1996</v>
      </c>
      <c r="AX613" t="s">
        <v>1194</v>
      </c>
      <c r="AY613" t="s">
        <v>1996</v>
      </c>
      <c r="AZ613">
        <v>3631</v>
      </c>
      <c r="BA613" t="s">
        <v>1194</v>
      </c>
      <c r="BB613" t="s">
        <v>1194</v>
      </c>
      <c r="BC613" s="3">
        <v>0</v>
      </c>
      <c r="BD613" s="3">
        <v>0</v>
      </c>
      <c r="BE613" s="3">
        <v>0</v>
      </c>
      <c r="BF613" s="3">
        <v>0</v>
      </c>
      <c r="BG613" s="3">
        <v>175</v>
      </c>
      <c r="BH613" s="3">
        <v>0</v>
      </c>
      <c r="BI613" s="3">
        <v>0</v>
      </c>
      <c r="BJ613" s="3">
        <v>2579.15</v>
      </c>
      <c r="BK613" s="3">
        <v>161</v>
      </c>
      <c r="BL613" s="3">
        <v>2740.15</v>
      </c>
      <c r="BM613" s="2">
        <f t="shared" ca="1" si="19"/>
        <v>4</v>
      </c>
      <c r="BN613" s="3">
        <v>500000</v>
      </c>
      <c r="BO613" s="3">
        <v>250000</v>
      </c>
      <c r="BP613" s="3" t="s">
        <v>2922</v>
      </c>
      <c r="BQ613" s="3">
        <v>250000</v>
      </c>
      <c r="BR613" s="3">
        <v>1000000</v>
      </c>
      <c r="BS613">
        <v>50000</v>
      </c>
      <c r="BT613">
        <v>0</v>
      </c>
      <c r="BU613">
        <v>0</v>
      </c>
      <c r="BV613">
        <v>1</v>
      </c>
      <c r="BW613">
        <v>0</v>
      </c>
      <c r="BX613">
        <v>0</v>
      </c>
      <c r="BY613">
        <v>0</v>
      </c>
      <c r="BZ613" t="s">
        <v>1194</v>
      </c>
      <c r="CA613" t="s">
        <v>1194</v>
      </c>
      <c r="CB613" t="s">
        <v>1194</v>
      </c>
    </row>
    <row r="614" spans="1:80" x14ac:dyDescent="0.25">
      <c r="A614">
        <v>613</v>
      </c>
      <c r="B614" t="s">
        <v>2627</v>
      </c>
      <c r="C614" s="1">
        <v>44740</v>
      </c>
      <c r="D614">
        <v>12</v>
      </c>
      <c r="E614" t="s">
        <v>4</v>
      </c>
      <c r="F614" t="s">
        <v>1311</v>
      </c>
      <c r="G614">
        <v>0</v>
      </c>
      <c r="H614" s="3">
        <v>2289000</v>
      </c>
      <c r="I614" s="3">
        <v>327000</v>
      </c>
      <c r="J614" s="3">
        <v>763000</v>
      </c>
      <c r="K614" s="3">
        <v>0</v>
      </c>
      <c r="L614" t="s">
        <v>1191</v>
      </c>
      <c r="M614">
        <v>1717224</v>
      </c>
      <c r="N614" t="s">
        <v>1398</v>
      </c>
      <c r="P614" t="s">
        <v>1765</v>
      </c>
      <c r="Q614" t="s">
        <v>1240</v>
      </c>
      <c r="R614">
        <v>6880</v>
      </c>
      <c r="S614" t="s">
        <v>1706</v>
      </c>
      <c r="T614" t="s">
        <v>979</v>
      </c>
      <c r="U614">
        <v>1</v>
      </c>
      <c r="V614">
        <v>51</v>
      </c>
      <c r="W614" t="s">
        <v>1194</v>
      </c>
      <c r="X614" t="s">
        <v>1309</v>
      </c>
      <c r="Y614">
        <v>10000</v>
      </c>
      <c r="Z614" s="2" t="s">
        <v>1194</v>
      </c>
      <c r="AA614" s="2" t="s">
        <v>1238</v>
      </c>
      <c r="AB614" t="s">
        <v>1238</v>
      </c>
      <c r="AC614">
        <v>869</v>
      </c>
      <c r="AD614" t="s">
        <v>1279</v>
      </c>
      <c r="AE614">
        <v>3</v>
      </c>
      <c r="AF614" t="s">
        <v>1291</v>
      </c>
      <c r="AG614">
        <v>0</v>
      </c>
      <c r="AH614">
        <v>0</v>
      </c>
      <c r="AI614">
        <v>0</v>
      </c>
      <c r="AJ614">
        <v>2002</v>
      </c>
      <c r="AK614" t="s">
        <v>1194</v>
      </c>
      <c r="AL614" t="s">
        <v>1194</v>
      </c>
      <c r="AM614" s="4" t="s">
        <v>1238</v>
      </c>
      <c r="AN614">
        <v>1</v>
      </c>
      <c r="AO614" t="s">
        <v>1316</v>
      </c>
      <c r="AP614">
        <f t="shared" si="18"/>
        <v>0</v>
      </c>
      <c r="AQ614">
        <v>0</v>
      </c>
      <c r="AR614" t="s">
        <v>1993</v>
      </c>
      <c r="AS614" t="s">
        <v>1995</v>
      </c>
      <c r="AT614" t="s">
        <v>1995</v>
      </c>
      <c r="AU614" t="s">
        <v>1995</v>
      </c>
      <c r="AV614" t="s">
        <v>1996</v>
      </c>
      <c r="AW614" t="s">
        <v>1995</v>
      </c>
      <c r="AX614" t="s">
        <v>2003</v>
      </c>
      <c r="AY614" t="s">
        <v>1996</v>
      </c>
      <c r="AZ614">
        <v>2686</v>
      </c>
      <c r="BA614" t="s">
        <v>1194</v>
      </c>
      <c r="BB614" t="s">
        <v>1194</v>
      </c>
      <c r="BC614" s="3">
        <v>0</v>
      </c>
      <c r="BD614" s="3">
        <v>2293.04</v>
      </c>
      <c r="BE614" s="3">
        <v>0</v>
      </c>
      <c r="BF614" s="3">
        <v>0</v>
      </c>
      <c r="BG614" s="3">
        <v>130</v>
      </c>
      <c r="BH614" s="3">
        <v>0</v>
      </c>
      <c r="BI614" s="3">
        <v>0</v>
      </c>
      <c r="BJ614" s="3">
        <v>11583</v>
      </c>
      <c r="BK614" s="3">
        <v>-10</v>
      </c>
      <c r="BL614" s="3">
        <v>11573</v>
      </c>
      <c r="BM614" s="2">
        <f t="shared" ca="1" si="19"/>
        <v>2</v>
      </c>
      <c r="BN614" s="3">
        <v>100000</v>
      </c>
      <c r="BO614" s="3">
        <v>100000</v>
      </c>
      <c r="BP614" s="3">
        <v>50000</v>
      </c>
      <c r="BQ614" s="3">
        <v>500000</v>
      </c>
      <c r="BR614" s="3">
        <v>1000000</v>
      </c>
      <c r="BS614">
        <v>100000</v>
      </c>
      <c r="BT614">
        <v>0</v>
      </c>
      <c r="BU614">
        <v>0</v>
      </c>
      <c r="BV614">
        <v>0</v>
      </c>
      <c r="BW614">
        <v>1</v>
      </c>
      <c r="BX614">
        <v>1</v>
      </c>
      <c r="BY614">
        <v>0</v>
      </c>
      <c r="BZ614" t="s">
        <v>2949</v>
      </c>
      <c r="CA614" t="s">
        <v>1194</v>
      </c>
      <c r="CB614" t="s">
        <v>2949</v>
      </c>
    </row>
    <row r="615" spans="1:80" x14ac:dyDescent="0.25">
      <c r="A615">
        <v>614</v>
      </c>
      <c r="B615" t="s">
        <v>2628</v>
      </c>
      <c r="C615" s="1">
        <v>44741</v>
      </c>
      <c r="D615">
        <v>12</v>
      </c>
      <c r="E615" t="s">
        <v>5</v>
      </c>
      <c r="F615" t="s">
        <v>1310</v>
      </c>
      <c r="G615">
        <v>1</v>
      </c>
      <c r="H615" s="3">
        <v>5541833</v>
      </c>
      <c r="I615" s="3">
        <v>106844</v>
      </c>
      <c r="J615" s="3">
        <v>1335550</v>
      </c>
      <c r="K615" s="3">
        <v>1108366.6000000001</v>
      </c>
      <c r="L615" t="s">
        <v>1191</v>
      </c>
      <c r="M615">
        <v>473005</v>
      </c>
      <c r="N615" t="s">
        <v>1399</v>
      </c>
      <c r="P615" t="s">
        <v>1733</v>
      </c>
      <c r="Q615" t="s">
        <v>1246</v>
      </c>
      <c r="R615">
        <v>60613</v>
      </c>
      <c r="S615" t="s">
        <v>1734</v>
      </c>
      <c r="T615" t="s">
        <v>965</v>
      </c>
      <c r="U615">
        <v>0</v>
      </c>
      <c r="V615">
        <v>3</v>
      </c>
      <c r="W615" t="s">
        <v>1194</v>
      </c>
      <c r="X615" t="s">
        <v>973</v>
      </c>
      <c r="Y615">
        <v>10000</v>
      </c>
      <c r="Z615" s="2" t="s">
        <v>1194</v>
      </c>
      <c r="AA615" s="2">
        <v>0</v>
      </c>
      <c r="AB615" t="s">
        <v>1238</v>
      </c>
      <c r="AC615">
        <v>803</v>
      </c>
      <c r="AD615" t="s">
        <v>1280</v>
      </c>
      <c r="AE615">
        <v>2</v>
      </c>
      <c r="AF615" t="s">
        <v>1290</v>
      </c>
      <c r="AG615">
        <v>0</v>
      </c>
      <c r="AH615">
        <v>0</v>
      </c>
      <c r="AI615">
        <v>0</v>
      </c>
      <c r="AJ615">
        <v>2015</v>
      </c>
      <c r="AK615" t="s">
        <v>1194</v>
      </c>
      <c r="AL615">
        <v>2015</v>
      </c>
      <c r="AM615" s="4" t="s">
        <v>1304</v>
      </c>
      <c r="AN615">
        <v>0</v>
      </c>
      <c r="AO615" t="s">
        <v>1315</v>
      </c>
      <c r="AP615">
        <f t="shared" si="18"/>
        <v>0</v>
      </c>
      <c r="AQ615">
        <v>0</v>
      </c>
      <c r="AR615" t="s">
        <v>1993</v>
      </c>
      <c r="AS615" t="s">
        <v>1995</v>
      </c>
      <c r="AT615" t="s">
        <v>1995</v>
      </c>
      <c r="AU615" t="s">
        <v>1996</v>
      </c>
      <c r="AV615" t="s">
        <v>1995</v>
      </c>
      <c r="AW615" t="s">
        <v>1995</v>
      </c>
      <c r="AX615" t="s">
        <v>1194</v>
      </c>
      <c r="AY615" t="s">
        <v>1996</v>
      </c>
      <c r="AZ615">
        <v>6934</v>
      </c>
      <c r="BA615" t="s">
        <v>1194</v>
      </c>
      <c r="BB615" t="s">
        <v>1194</v>
      </c>
      <c r="BC615" s="3">
        <v>0</v>
      </c>
      <c r="BD615" s="3">
        <v>0</v>
      </c>
      <c r="BE615" s="3">
        <v>0</v>
      </c>
      <c r="BF615" s="3">
        <v>0</v>
      </c>
      <c r="BG615" s="3">
        <v>175</v>
      </c>
      <c r="BH615" s="3">
        <v>0</v>
      </c>
      <c r="BI615" s="3">
        <v>0</v>
      </c>
      <c r="BJ615" s="3">
        <v>10136.66</v>
      </c>
      <c r="BK615" s="3">
        <v>55</v>
      </c>
      <c r="BL615" s="3">
        <v>10191.66</v>
      </c>
      <c r="BM615" s="2">
        <f t="shared" ca="1" si="19"/>
        <v>3</v>
      </c>
      <c r="BN615" s="3" t="s">
        <v>2916</v>
      </c>
      <c r="BO615" s="3">
        <v>50000</v>
      </c>
      <c r="BP615" s="3">
        <v>100000</v>
      </c>
      <c r="BQ615" s="3">
        <v>50000</v>
      </c>
      <c r="BR615" s="3">
        <v>500000</v>
      </c>
      <c r="BS615">
        <v>50000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 t="s">
        <v>2958</v>
      </c>
      <c r="CA615" t="s">
        <v>1194</v>
      </c>
      <c r="CB615" t="s">
        <v>2941</v>
      </c>
    </row>
    <row r="616" spans="1:80" x14ac:dyDescent="0.25">
      <c r="A616">
        <v>615</v>
      </c>
      <c r="B616" t="s">
        <v>2629</v>
      </c>
      <c r="C616" s="1">
        <v>44702</v>
      </c>
      <c r="D616">
        <v>12</v>
      </c>
      <c r="E616" t="s">
        <v>4</v>
      </c>
      <c r="F616" t="s">
        <v>1311</v>
      </c>
      <c r="G616">
        <v>1</v>
      </c>
      <c r="H616" s="3">
        <v>2299900</v>
      </c>
      <c r="I616" s="3">
        <v>114995</v>
      </c>
      <c r="J616" s="3">
        <v>862463</v>
      </c>
      <c r="K616" s="3">
        <v>0</v>
      </c>
      <c r="L616" t="s">
        <v>1191</v>
      </c>
      <c r="M616">
        <v>1453785</v>
      </c>
      <c r="N616" t="s">
        <v>1400</v>
      </c>
      <c r="P616" t="s">
        <v>76</v>
      </c>
      <c r="Q616" t="s">
        <v>1240</v>
      </c>
      <c r="R616">
        <v>6878</v>
      </c>
      <c r="S616" t="s">
        <v>1706</v>
      </c>
      <c r="T616" t="s">
        <v>979</v>
      </c>
      <c r="U616">
        <v>0</v>
      </c>
      <c r="V616">
        <v>51</v>
      </c>
      <c r="W616" t="s">
        <v>1194</v>
      </c>
      <c r="X616" t="s">
        <v>973</v>
      </c>
      <c r="Y616">
        <v>10000</v>
      </c>
      <c r="Z616" s="2" t="s">
        <v>1194</v>
      </c>
      <c r="AA616" s="2" t="s">
        <v>1238</v>
      </c>
      <c r="AB616" t="s">
        <v>1238</v>
      </c>
      <c r="AC616">
        <v>743</v>
      </c>
      <c r="AD616" t="s">
        <v>1284</v>
      </c>
      <c r="AE616">
        <v>3</v>
      </c>
      <c r="AF616" t="s">
        <v>1290</v>
      </c>
      <c r="AG616">
        <v>0</v>
      </c>
      <c r="AH616">
        <v>0</v>
      </c>
      <c r="AI616">
        <v>0</v>
      </c>
      <c r="AJ616">
        <v>1931</v>
      </c>
      <c r="AK616">
        <v>2012</v>
      </c>
      <c r="AL616" t="s">
        <v>1194</v>
      </c>
      <c r="AM616" s="4" t="s">
        <v>1238</v>
      </c>
      <c r="AN616">
        <v>0</v>
      </c>
      <c r="AO616" t="s">
        <v>1316</v>
      </c>
      <c r="AP616">
        <f t="shared" si="18"/>
        <v>0</v>
      </c>
      <c r="AQ616">
        <v>1</v>
      </c>
      <c r="AR616" t="s">
        <v>1992</v>
      </c>
      <c r="AS616" t="s">
        <v>1995</v>
      </c>
      <c r="AT616" t="s">
        <v>1996</v>
      </c>
      <c r="AU616" t="s">
        <v>1995</v>
      </c>
      <c r="AV616" t="s">
        <v>1996</v>
      </c>
      <c r="AW616" t="s">
        <v>1996</v>
      </c>
      <c r="AX616" t="s">
        <v>2003</v>
      </c>
      <c r="AY616" t="s">
        <v>1996</v>
      </c>
      <c r="AZ616">
        <v>3848</v>
      </c>
      <c r="BA616" t="s">
        <v>1194</v>
      </c>
      <c r="BB616" t="s">
        <v>1194</v>
      </c>
      <c r="BC616" s="3">
        <v>0</v>
      </c>
      <c r="BD616" s="3">
        <v>1663.18</v>
      </c>
      <c r="BE616" s="3">
        <v>0</v>
      </c>
      <c r="BF616" s="3">
        <v>0</v>
      </c>
      <c r="BG616" s="3">
        <v>130</v>
      </c>
      <c r="BH616" s="3">
        <v>0</v>
      </c>
      <c r="BI616" s="3">
        <v>0</v>
      </c>
      <c r="BJ616" s="3">
        <v>11275</v>
      </c>
      <c r="BK616" s="3">
        <v>365</v>
      </c>
      <c r="BL616" s="3">
        <v>11640</v>
      </c>
      <c r="BM616" s="2">
        <f t="shared" ca="1" si="19"/>
        <v>0</v>
      </c>
      <c r="BN616" s="3" t="s">
        <v>2916</v>
      </c>
      <c r="BO616" s="3">
        <v>2000000</v>
      </c>
      <c r="BP616" s="3" t="s">
        <v>2922</v>
      </c>
      <c r="BQ616" s="3">
        <v>50000</v>
      </c>
      <c r="BR616" s="3">
        <v>100000</v>
      </c>
      <c r="BS616">
        <v>50000</v>
      </c>
      <c r="BT616">
        <v>0</v>
      </c>
      <c r="BU616">
        <v>0</v>
      </c>
      <c r="BV616">
        <v>1</v>
      </c>
      <c r="BW616">
        <v>0</v>
      </c>
      <c r="BX616">
        <v>0</v>
      </c>
      <c r="BY616">
        <v>0</v>
      </c>
      <c r="BZ616" t="s">
        <v>2959</v>
      </c>
      <c r="CA616" t="s">
        <v>1194</v>
      </c>
      <c r="CB616" t="s">
        <v>2949</v>
      </c>
    </row>
    <row r="617" spans="1:80" x14ac:dyDescent="0.25">
      <c r="A617">
        <v>616</v>
      </c>
      <c r="B617" t="s">
        <v>2630</v>
      </c>
      <c r="C617" s="1">
        <v>44790</v>
      </c>
      <c r="D617">
        <v>9</v>
      </c>
      <c r="E617" t="s">
        <v>4</v>
      </c>
      <c r="F617" t="s">
        <v>1310</v>
      </c>
      <c r="G617">
        <v>0</v>
      </c>
      <c r="H617" s="3">
        <v>6476790</v>
      </c>
      <c r="I617" s="3">
        <v>595358</v>
      </c>
      <c r="J617" s="3">
        <v>1488395</v>
      </c>
      <c r="K617" s="3">
        <v>0</v>
      </c>
      <c r="L617" t="s">
        <v>1191</v>
      </c>
      <c r="M617">
        <v>1752555</v>
      </c>
      <c r="N617" t="s">
        <v>1401</v>
      </c>
      <c r="P617" t="s">
        <v>1698</v>
      </c>
      <c r="Q617" t="s">
        <v>1254</v>
      </c>
      <c r="R617">
        <v>63124</v>
      </c>
      <c r="S617" t="s">
        <v>1698</v>
      </c>
      <c r="T617" t="s">
        <v>965</v>
      </c>
      <c r="U617">
        <v>0</v>
      </c>
      <c r="V617">
        <v>3</v>
      </c>
      <c r="W617" t="s">
        <v>1194</v>
      </c>
      <c r="X617" t="s">
        <v>973</v>
      </c>
      <c r="Y617">
        <v>10000</v>
      </c>
      <c r="Z617" s="2">
        <v>1.0000015440000001</v>
      </c>
      <c r="AA617" s="2">
        <v>1</v>
      </c>
      <c r="AB617">
        <v>0.01</v>
      </c>
      <c r="AC617">
        <v>740</v>
      </c>
      <c r="AD617" t="s">
        <v>1280</v>
      </c>
      <c r="AE617">
        <v>3</v>
      </c>
      <c r="AF617" t="s">
        <v>1290</v>
      </c>
      <c r="AG617">
        <v>0</v>
      </c>
      <c r="AH617">
        <v>0</v>
      </c>
      <c r="AI617">
        <v>0</v>
      </c>
      <c r="AJ617">
        <v>1972</v>
      </c>
      <c r="AK617">
        <v>2019</v>
      </c>
      <c r="AL617">
        <v>2006</v>
      </c>
      <c r="AM617" s="4" t="s">
        <v>1304</v>
      </c>
      <c r="AN617">
        <v>0</v>
      </c>
      <c r="AO617" t="s">
        <v>1317</v>
      </c>
      <c r="AP617">
        <f t="shared" si="18"/>
        <v>0</v>
      </c>
      <c r="AQ617">
        <v>1</v>
      </c>
      <c r="AR617" t="s">
        <v>1992</v>
      </c>
      <c r="AS617" t="s">
        <v>1995</v>
      </c>
      <c r="AT617" t="s">
        <v>1996</v>
      </c>
      <c r="AU617" t="s">
        <v>1996</v>
      </c>
      <c r="AV617" t="s">
        <v>1995</v>
      </c>
      <c r="AW617" t="s">
        <v>1995</v>
      </c>
      <c r="AX617" t="s">
        <v>1194</v>
      </c>
      <c r="AY617" t="s">
        <v>1996</v>
      </c>
      <c r="AZ617">
        <v>3977</v>
      </c>
      <c r="BA617" t="s">
        <v>1194</v>
      </c>
      <c r="BB617" t="s">
        <v>1194</v>
      </c>
      <c r="BC617" s="3">
        <v>0</v>
      </c>
      <c r="BD617" s="3">
        <v>0</v>
      </c>
      <c r="BE617" s="3">
        <v>0</v>
      </c>
      <c r="BF617" s="3">
        <v>0</v>
      </c>
      <c r="BG617" s="3">
        <v>175</v>
      </c>
      <c r="BH617" s="3">
        <v>0</v>
      </c>
      <c r="BI617" s="3">
        <v>0</v>
      </c>
      <c r="BJ617" s="3">
        <v>18827.72</v>
      </c>
      <c r="BK617" s="3">
        <v>5244.39</v>
      </c>
      <c r="BL617" s="3">
        <v>24072.11</v>
      </c>
      <c r="BM617" s="2">
        <f t="shared" ca="1" si="19"/>
        <v>0</v>
      </c>
      <c r="BN617" s="3">
        <v>2000000</v>
      </c>
      <c r="BO617" s="3">
        <v>250000</v>
      </c>
      <c r="BP617" s="3">
        <v>50000</v>
      </c>
      <c r="BQ617" s="3">
        <v>25000</v>
      </c>
      <c r="BR617" s="3">
        <v>250000</v>
      </c>
      <c r="BS617" t="s">
        <v>2916</v>
      </c>
      <c r="BT617">
        <v>0</v>
      </c>
      <c r="BU617">
        <v>1</v>
      </c>
      <c r="BV617">
        <v>0</v>
      </c>
      <c r="BW617">
        <v>1</v>
      </c>
      <c r="BX617">
        <v>1</v>
      </c>
      <c r="BY617">
        <v>0</v>
      </c>
      <c r="BZ617" t="s">
        <v>2958</v>
      </c>
      <c r="CA617" t="s">
        <v>1194</v>
      </c>
      <c r="CB617" t="s">
        <v>2945</v>
      </c>
    </row>
    <row r="618" spans="1:80" x14ac:dyDescent="0.25">
      <c r="A618">
        <v>617</v>
      </c>
      <c r="B618" t="s">
        <v>2631</v>
      </c>
      <c r="C618" s="1">
        <v>44802</v>
      </c>
      <c r="D618">
        <v>42</v>
      </c>
      <c r="E618" t="s">
        <v>1194</v>
      </c>
      <c r="F618" t="s">
        <v>1310</v>
      </c>
      <c r="G618">
        <v>1</v>
      </c>
      <c r="H618" s="3">
        <v>1824000</v>
      </c>
      <c r="I618" s="3">
        <v>364800</v>
      </c>
      <c r="J618" s="3">
        <v>1368000</v>
      </c>
      <c r="K618" s="3">
        <v>364800</v>
      </c>
      <c r="L618" t="s">
        <v>1191</v>
      </c>
      <c r="M618">
        <v>1973681</v>
      </c>
      <c r="N618" t="s">
        <v>1402</v>
      </c>
      <c r="P618" t="s">
        <v>1783</v>
      </c>
      <c r="Q618" t="s">
        <v>1272</v>
      </c>
      <c r="R618">
        <v>25425</v>
      </c>
      <c r="S618" t="s">
        <v>1736</v>
      </c>
      <c r="T618" t="s">
        <v>965</v>
      </c>
      <c r="U618">
        <v>0</v>
      </c>
      <c r="V618">
        <v>7</v>
      </c>
      <c r="W618" t="s">
        <v>1194</v>
      </c>
      <c r="X618" t="s">
        <v>973</v>
      </c>
      <c r="Y618">
        <v>5000</v>
      </c>
      <c r="Z618" s="2" t="s">
        <v>1194</v>
      </c>
      <c r="AA618" s="2">
        <v>1</v>
      </c>
      <c r="AB618">
        <v>0.01</v>
      </c>
      <c r="AC618">
        <v>785</v>
      </c>
      <c r="AD618" t="s">
        <v>1279</v>
      </c>
      <c r="AE618">
        <v>9</v>
      </c>
      <c r="AF618" t="s">
        <v>1290</v>
      </c>
      <c r="AG618">
        <v>0</v>
      </c>
      <c r="AH618">
        <v>0</v>
      </c>
      <c r="AI618">
        <v>0</v>
      </c>
      <c r="AJ618">
        <v>2022</v>
      </c>
      <c r="AK618" t="s">
        <v>1194</v>
      </c>
      <c r="AL618">
        <v>2022</v>
      </c>
      <c r="AM618" s="4" t="s">
        <v>1304</v>
      </c>
      <c r="AN618">
        <v>1</v>
      </c>
      <c r="AO618" t="s">
        <v>1315</v>
      </c>
      <c r="AP618">
        <f t="shared" si="18"/>
        <v>0</v>
      </c>
      <c r="AQ618">
        <v>1</v>
      </c>
      <c r="AR618" t="s">
        <v>1992</v>
      </c>
      <c r="AS618" t="s">
        <v>1996</v>
      </c>
      <c r="AT618" t="s">
        <v>1995</v>
      </c>
      <c r="AU618" t="s">
        <v>1996</v>
      </c>
      <c r="AV618" t="s">
        <v>1995</v>
      </c>
      <c r="AW618" t="s">
        <v>1995</v>
      </c>
      <c r="AX618" t="s">
        <v>1194</v>
      </c>
      <c r="AY618" t="s">
        <v>1996</v>
      </c>
      <c r="AZ618">
        <v>3854</v>
      </c>
      <c r="BA618" t="s">
        <v>1194</v>
      </c>
      <c r="BB618" t="s">
        <v>1194</v>
      </c>
      <c r="BC618" s="3">
        <v>0</v>
      </c>
      <c r="BD618" s="3">
        <v>0</v>
      </c>
      <c r="BE618" s="3">
        <v>0</v>
      </c>
      <c r="BF618" s="3">
        <v>0</v>
      </c>
      <c r="BG618" s="3">
        <v>140</v>
      </c>
      <c r="BH618" s="3">
        <v>0</v>
      </c>
      <c r="BI618" s="3">
        <v>0</v>
      </c>
      <c r="BJ618" s="3">
        <v>4366.04</v>
      </c>
      <c r="BK618" s="3">
        <v>250</v>
      </c>
      <c r="BL618" s="3">
        <v>4616.04</v>
      </c>
      <c r="BM618" s="2">
        <f t="shared" ca="1" si="19"/>
        <v>1</v>
      </c>
      <c r="BN618" s="3">
        <v>100000</v>
      </c>
      <c r="BO618" s="3">
        <v>100000</v>
      </c>
      <c r="BP618" s="3">
        <v>50000</v>
      </c>
      <c r="BQ618" s="3">
        <v>1000000</v>
      </c>
      <c r="BR618" s="3">
        <v>50000</v>
      </c>
      <c r="BS618">
        <v>500000</v>
      </c>
      <c r="BT618">
        <v>0</v>
      </c>
      <c r="BU618">
        <v>0</v>
      </c>
      <c r="BV618">
        <v>1</v>
      </c>
      <c r="BW618">
        <v>0</v>
      </c>
      <c r="BX618">
        <v>0</v>
      </c>
      <c r="BY618">
        <v>0</v>
      </c>
      <c r="BZ618" t="s">
        <v>2949</v>
      </c>
      <c r="CA618" t="s">
        <v>1194</v>
      </c>
      <c r="CB618" t="s">
        <v>2941</v>
      </c>
    </row>
    <row r="619" spans="1:80" x14ac:dyDescent="0.25">
      <c r="A619">
        <v>618</v>
      </c>
      <c r="B619" t="s">
        <v>2632</v>
      </c>
      <c r="C619" s="1">
        <v>44695</v>
      </c>
      <c r="D619">
        <v>39</v>
      </c>
      <c r="E619" t="s">
        <v>4</v>
      </c>
      <c r="F619" t="s">
        <v>1311</v>
      </c>
      <c r="G619">
        <v>0</v>
      </c>
      <c r="H619" s="3">
        <v>0</v>
      </c>
      <c r="I619" s="3">
        <v>0</v>
      </c>
      <c r="J619" s="3">
        <v>2452500</v>
      </c>
      <c r="K619" s="3">
        <v>0</v>
      </c>
      <c r="L619" t="s">
        <v>1192</v>
      </c>
      <c r="M619">
        <v>1684822</v>
      </c>
      <c r="N619" t="s">
        <v>1403</v>
      </c>
      <c r="O619" t="s">
        <v>1404</v>
      </c>
      <c r="P619" t="s">
        <v>1733</v>
      </c>
      <c r="Q619" t="s">
        <v>1246</v>
      </c>
      <c r="R619">
        <v>60611</v>
      </c>
      <c r="S619" t="s">
        <v>1734</v>
      </c>
      <c r="T619" t="s">
        <v>965</v>
      </c>
      <c r="U619">
        <v>0</v>
      </c>
      <c r="V619">
        <v>7</v>
      </c>
      <c r="W619" t="s">
        <v>1194</v>
      </c>
      <c r="X619" t="s">
        <v>973</v>
      </c>
      <c r="Y619">
        <v>10000</v>
      </c>
      <c r="Z619" s="2" t="s">
        <v>1194</v>
      </c>
      <c r="AA619" s="2">
        <v>0</v>
      </c>
      <c r="AB619" t="s">
        <v>1238</v>
      </c>
      <c r="AC619">
        <v>692</v>
      </c>
      <c r="AD619" t="s">
        <v>1279</v>
      </c>
      <c r="AE619">
        <v>1</v>
      </c>
      <c r="AF619" t="s">
        <v>1290</v>
      </c>
      <c r="AG619">
        <v>0</v>
      </c>
      <c r="AH619">
        <v>0</v>
      </c>
      <c r="AI619">
        <v>0</v>
      </c>
      <c r="AJ619">
        <v>1974</v>
      </c>
      <c r="AK619" t="s">
        <v>1194</v>
      </c>
      <c r="AL619" t="s">
        <v>1194</v>
      </c>
      <c r="AM619" s="4" t="s">
        <v>1238</v>
      </c>
      <c r="AN619">
        <v>1</v>
      </c>
      <c r="AO619" t="s">
        <v>1315</v>
      </c>
      <c r="AP619">
        <f t="shared" si="18"/>
        <v>0</v>
      </c>
      <c r="AQ619">
        <v>1</v>
      </c>
      <c r="AR619" t="s">
        <v>1992</v>
      </c>
      <c r="AS619" t="s">
        <v>1996</v>
      </c>
      <c r="AT619" t="s">
        <v>1995</v>
      </c>
      <c r="AU619" t="s">
        <v>1995</v>
      </c>
      <c r="AV619" t="s">
        <v>1996</v>
      </c>
      <c r="AW619" t="s">
        <v>1996</v>
      </c>
      <c r="AX619" t="s">
        <v>1194</v>
      </c>
      <c r="AY619" t="s">
        <v>1996</v>
      </c>
      <c r="AZ619">
        <v>6224</v>
      </c>
      <c r="BA619" t="s">
        <v>1194</v>
      </c>
      <c r="BB619" t="s">
        <v>1194</v>
      </c>
      <c r="BC619" s="3">
        <v>0</v>
      </c>
      <c r="BD619" s="3">
        <v>0</v>
      </c>
      <c r="BE619" s="3">
        <v>0</v>
      </c>
      <c r="BF619" s="3">
        <v>0</v>
      </c>
      <c r="BG619" s="3">
        <v>210</v>
      </c>
      <c r="BH619" s="3">
        <v>0</v>
      </c>
      <c r="BI619" s="3">
        <v>0</v>
      </c>
      <c r="BJ619" s="3">
        <v>9201.02</v>
      </c>
      <c r="BK619" s="3">
        <v>245</v>
      </c>
      <c r="BL619" s="3">
        <v>9446.02</v>
      </c>
      <c r="BM619" s="2">
        <f t="shared" ca="1" si="19"/>
        <v>5</v>
      </c>
      <c r="BN619" s="3">
        <v>2000000</v>
      </c>
      <c r="BO619" s="3">
        <v>100000</v>
      </c>
      <c r="BP619" s="3">
        <v>200000</v>
      </c>
      <c r="BQ619" s="3">
        <v>50000</v>
      </c>
      <c r="BR619" s="3">
        <v>100000</v>
      </c>
      <c r="BS619">
        <v>2000000</v>
      </c>
      <c r="BT619">
        <v>0</v>
      </c>
      <c r="BU619">
        <v>0</v>
      </c>
      <c r="BV619">
        <v>0</v>
      </c>
      <c r="BW619">
        <v>1</v>
      </c>
      <c r="BX619">
        <v>0</v>
      </c>
      <c r="BY619">
        <v>0</v>
      </c>
      <c r="BZ619" t="s">
        <v>1194</v>
      </c>
      <c r="CA619" t="s">
        <v>1194</v>
      </c>
      <c r="CB619" t="s">
        <v>1194</v>
      </c>
    </row>
    <row r="620" spans="1:80" x14ac:dyDescent="0.25">
      <c r="A620">
        <v>619</v>
      </c>
      <c r="B620" t="s">
        <v>2633</v>
      </c>
      <c r="C620" s="1">
        <v>44862</v>
      </c>
      <c r="D620">
        <v>12</v>
      </c>
      <c r="E620" t="s">
        <v>4</v>
      </c>
      <c r="F620" t="s">
        <v>1311</v>
      </c>
      <c r="G620">
        <v>0</v>
      </c>
      <c r="H620" s="3">
        <v>2650000</v>
      </c>
      <c r="I620" s="3">
        <v>530000</v>
      </c>
      <c r="J620" s="3">
        <v>0</v>
      </c>
      <c r="K620" s="3">
        <v>0</v>
      </c>
      <c r="L620" t="s">
        <v>1191</v>
      </c>
      <c r="M620">
        <v>2002223</v>
      </c>
      <c r="N620" t="s">
        <v>1405</v>
      </c>
      <c r="P620" t="s">
        <v>1759</v>
      </c>
      <c r="Q620" t="s">
        <v>1266</v>
      </c>
      <c r="R620">
        <v>37205</v>
      </c>
      <c r="S620" t="s">
        <v>1760</v>
      </c>
      <c r="T620" t="s">
        <v>965</v>
      </c>
      <c r="U620">
        <v>0</v>
      </c>
      <c r="V620" t="s">
        <v>1989</v>
      </c>
      <c r="W620" t="s">
        <v>1194</v>
      </c>
      <c r="X620" t="s">
        <v>973</v>
      </c>
      <c r="Y620">
        <v>10000</v>
      </c>
      <c r="Z620" s="2" t="s">
        <v>1194</v>
      </c>
      <c r="AA620" s="2" t="s">
        <v>1238</v>
      </c>
      <c r="AB620" t="s">
        <v>1238</v>
      </c>
      <c r="AC620">
        <v>829</v>
      </c>
      <c r="AD620" t="s">
        <v>1284</v>
      </c>
      <c r="AE620">
        <v>3</v>
      </c>
      <c r="AF620" t="s">
        <v>1290</v>
      </c>
      <c r="AG620">
        <v>0</v>
      </c>
      <c r="AH620">
        <v>0</v>
      </c>
      <c r="AI620">
        <v>0</v>
      </c>
      <c r="AJ620">
        <v>1991</v>
      </c>
      <c r="AK620">
        <v>2005</v>
      </c>
      <c r="AL620">
        <v>2012</v>
      </c>
      <c r="AM620" s="4" t="s">
        <v>1238</v>
      </c>
      <c r="AN620">
        <v>0</v>
      </c>
      <c r="AO620" t="s">
        <v>1315</v>
      </c>
      <c r="AP620">
        <f t="shared" si="18"/>
        <v>0</v>
      </c>
      <c r="AQ620">
        <v>1</v>
      </c>
      <c r="AR620" t="s">
        <v>1992</v>
      </c>
      <c r="AS620" t="s">
        <v>1996</v>
      </c>
      <c r="AT620" t="s">
        <v>1996</v>
      </c>
      <c r="AU620" t="s">
        <v>1996</v>
      </c>
      <c r="AV620" t="s">
        <v>1996</v>
      </c>
      <c r="AW620" t="s">
        <v>1995</v>
      </c>
      <c r="AX620" t="s">
        <v>1194</v>
      </c>
      <c r="AY620" t="s">
        <v>1996</v>
      </c>
      <c r="AZ620">
        <v>6567</v>
      </c>
      <c r="BA620" t="s">
        <v>1194</v>
      </c>
      <c r="BB620" t="s">
        <v>1194</v>
      </c>
      <c r="BC620" s="3">
        <v>0</v>
      </c>
      <c r="BD620" s="3">
        <v>1262.82</v>
      </c>
      <c r="BE620" s="3">
        <v>0</v>
      </c>
      <c r="BF620" s="3">
        <v>0</v>
      </c>
      <c r="BG620" s="3">
        <v>150</v>
      </c>
      <c r="BH620" s="3">
        <v>0</v>
      </c>
      <c r="BI620" s="3">
        <v>0</v>
      </c>
      <c r="BJ620" s="3">
        <v>6491.83</v>
      </c>
      <c r="BK620" s="3">
        <v>-15</v>
      </c>
      <c r="BL620" s="3">
        <v>6476.83</v>
      </c>
      <c r="BM620" s="2">
        <f t="shared" ca="1" si="19"/>
        <v>3</v>
      </c>
      <c r="BN620" s="3">
        <v>1000000</v>
      </c>
      <c r="BO620" s="3">
        <v>25000</v>
      </c>
      <c r="BP620" s="3">
        <v>50000</v>
      </c>
      <c r="BQ620" s="3">
        <v>500000</v>
      </c>
      <c r="BR620" s="3">
        <v>250000</v>
      </c>
      <c r="BS620">
        <v>100000</v>
      </c>
      <c r="BT620">
        <v>0</v>
      </c>
      <c r="BU620">
        <v>0</v>
      </c>
      <c r="BV620">
        <v>0</v>
      </c>
      <c r="BW620">
        <v>1</v>
      </c>
      <c r="BX620">
        <v>0</v>
      </c>
      <c r="BY620">
        <v>0</v>
      </c>
      <c r="BZ620" t="s">
        <v>2958</v>
      </c>
      <c r="CA620" t="s">
        <v>1194</v>
      </c>
      <c r="CB620" t="s">
        <v>2949</v>
      </c>
    </row>
    <row r="621" spans="1:80" x14ac:dyDescent="0.25">
      <c r="A621">
        <v>620</v>
      </c>
      <c r="B621" t="s">
        <v>2634</v>
      </c>
      <c r="C621" s="1">
        <v>44653</v>
      </c>
      <c r="D621">
        <v>15</v>
      </c>
      <c r="E621" t="s">
        <v>4</v>
      </c>
      <c r="F621" t="s">
        <v>1311</v>
      </c>
      <c r="G621">
        <v>0</v>
      </c>
      <c r="H621" s="3">
        <v>2100000</v>
      </c>
      <c r="I621" s="3">
        <v>346620</v>
      </c>
      <c r="J621" s="3">
        <v>866550</v>
      </c>
      <c r="K621" s="3">
        <v>0</v>
      </c>
      <c r="L621" t="s">
        <v>1191</v>
      </c>
      <c r="M621">
        <v>1609754</v>
      </c>
      <c r="N621" t="s">
        <v>1406</v>
      </c>
      <c r="P621" t="s">
        <v>1784</v>
      </c>
      <c r="Q621" t="s">
        <v>1320</v>
      </c>
      <c r="R621">
        <v>3755</v>
      </c>
      <c r="S621" t="s">
        <v>1785</v>
      </c>
      <c r="T621" t="s">
        <v>965</v>
      </c>
      <c r="U621">
        <v>0</v>
      </c>
      <c r="V621">
        <v>1</v>
      </c>
      <c r="W621" t="s">
        <v>1194</v>
      </c>
      <c r="X621" t="s">
        <v>973</v>
      </c>
      <c r="Y621">
        <v>10000</v>
      </c>
      <c r="Z621" s="2" t="s">
        <v>1194</v>
      </c>
      <c r="AA621" s="2">
        <v>1</v>
      </c>
      <c r="AB621">
        <v>0.03</v>
      </c>
      <c r="AC621">
        <v>881</v>
      </c>
      <c r="AD621" t="s">
        <v>1279</v>
      </c>
      <c r="AE621">
        <v>3</v>
      </c>
      <c r="AF621" t="s">
        <v>1290</v>
      </c>
      <c r="AG621">
        <v>0</v>
      </c>
      <c r="AH621">
        <v>0</v>
      </c>
      <c r="AI621">
        <v>0</v>
      </c>
      <c r="AJ621">
        <v>1925</v>
      </c>
      <c r="AK621">
        <v>2005</v>
      </c>
      <c r="AL621">
        <v>2010</v>
      </c>
      <c r="AM621" s="4" t="s">
        <v>1238</v>
      </c>
      <c r="AN621">
        <v>0</v>
      </c>
      <c r="AO621" t="s">
        <v>1315</v>
      </c>
      <c r="AP621">
        <f t="shared" si="18"/>
        <v>0</v>
      </c>
      <c r="AQ621">
        <v>1</v>
      </c>
      <c r="AR621" t="s">
        <v>1992</v>
      </c>
      <c r="AS621" t="s">
        <v>1996</v>
      </c>
      <c r="AT621" t="s">
        <v>1995</v>
      </c>
      <c r="AU621" t="s">
        <v>1995</v>
      </c>
      <c r="AV621" t="s">
        <v>1996</v>
      </c>
      <c r="AW621" t="s">
        <v>1996</v>
      </c>
      <c r="AX621" t="s">
        <v>1194</v>
      </c>
      <c r="AY621" t="s">
        <v>1996</v>
      </c>
      <c r="AZ621">
        <v>3348</v>
      </c>
      <c r="BA621" t="s">
        <v>1194</v>
      </c>
      <c r="BB621" t="s">
        <v>1194</v>
      </c>
      <c r="BC621" s="3">
        <v>0</v>
      </c>
      <c r="BD621" s="3">
        <v>0</v>
      </c>
      <c r="BE621" s="3">
        <v>0</v>
      </c>
      <c r="BF621" s="3">
        <v>0</v>
      </c>
      <c r="BG621" s="3">
        <v>110</v>
      </c>
      <c r="BH621" s="3">
        <v>0</v>
      </c>
      <c r="BI621" s="3">
        <v>0</v>
      </c>
      <c r="BJ621" s="3">
        <v>3953.29</v>
      </c>
      <c r="BK621" s="3">
        <v>-10</v>
      </c>
      <c r="BL621" s="3">
        <v>3533.99</v>
      </c>
      <c r="BM621" s="2">
        <f t="shared" ca="1" si="19"/>
        <v>3</v>
      </c>
      <c r="BN621" s="3">
        <v>100000</v>
      </c>
      <c r="BO621" s="3">
        <v>25000</v>
      </c>
      <c r="BP621" s="3">
        <v>100000</v>
      </c>
      <c r="BQ621" s="3">
        <v>2000000</v>
      </c>
      <c r="BR621" s="3">
        <v>1000000</v>
      </c>
      <c r="BS621">
        <v>1000000</v>
      </c>
      <c r="BT621">
        <v>0</v>
      </c>
      <c r="BU621">
        <v>0</v>
      </c>
      <c r="BV621">
        <v>1</v>
      </c>
      <c r="BW621">
        <v>0</v>
      </c>
      <c r="BX621">
        <v>0</v>
      </c>
      <c r="BY621">
        <v>0</v>
      </c>
      <c r="BZ621" t="s">
        <v>2949</v>
      </c>
      <c r="CA621" t="s">
        <v>1194</v>
      </c>
      <c r="CB621" t="s">
        <v>2949</v>
      </c>
    </row>
    <row r="622" spans="1:80" x14ac:dyDescent="0.25">
      <c r="A622">
        <v>621</v>
      </c>
      <c r="B622" t="s">
        <v>2635</v>
      </c>
      <c r="C622" s="1">
        <v>44925</v>
      </c>
      <c r="D622">
        <v>12</v>
      </c>
      <c r="E622" t="s">
        <v>4</v>
      </c>
      <c r="F622" t="s">
        <v>1311</v>
      </c>
      <c r="G622">
        <v>0</v>
      </c>
      <c r="H622" s="3">
        <v>6773206</v>
      </c>
      <c r="I622" s="3">
        <v>804965</v>
      </c>
      <c r="J622" s="3">
        <v>307873</v>
      </c>
      <c r="K622" s="3">
        <v>1354641.2</v>
      </c>
      <c r="L622" t="s">
        <v>1191</v>
      </c>
      <c r="M622">
        <v>740721</v>
      </c>
      <c r="N622" t="s">
        <v>1407</v>
      </c>
      <c r="P622" t="s">
        <v>1786</v>
      </c>
      <c r="Q622" t="s">
        <v>1240</v>
      </c>
      <c r="R622">
        <v>6117</v>
      </c>
      <c r="S622" t="s">
        <v>1700</v>
      </c>
      <c r="T622" t="s">
        <v>965</v>
      </c>
      <c r="U622">
        <v>0</v>
      </c>
      <c r="V622">
        <v>41</v>
      </c>
      <c r="W622" t="s">
        <v>1194</v>
      </c>
      <c r="X622" t="s">
        <v>973</v>
      </c>
      <c r="Y622">
        <v>10000</v>
      </c>
      <c r="Z622" s="2" t="s">
        <v>1194</v>
      </c>
      <c r="AA622" s="2" t="s">
        <v>1238</v>
      </c>
      <c r="AB622" t="s">
        <v>1238</v>
      </c>
      <c r="AC622">
        <v>844</v>
      </c>
      <c r="AD622" t="s">
        <v>1284</v>
      </c>
      <c r="AE622">
        <v>2</v>
      </c>
      <c r="AF622" t="s">
        <v>1290</v>
      </c>
      <c r="AG622">
        <v>0</v>
      </c>
      <c r="AH622">
        <v>0</v>
      </c>
      <c r="AI622">
        <v>0</v>
      </c>
      <c r="AJ622">
        <v>1929</v>
      </c>
      <c r="AK622" t="s">
        <v>1194</v>
      </c>
      <c r="AL622" t="s">
        <v>1194</v>
      </c>
      <c r="AM622" s="4" t="s">
        <v>1238</v>
      </c>
      <c r="AN622">
        <v>1</v>
      </c>
      <c r="AO622" t="s">
        <v>1316</v>
      </c>
      <c r="AP622">
        <f t="shared" si="18"/>
        <v>0</v>
      </c>
      <c r="AQ622">
        <v>0</v>
      </c>
      <c r="AR622" t="s">
        <v>1993</v>
      </c>
      <c r="AS622" t="s">
        <v>1996</v>
      </c>
      <c r="AT622" t="s">
        <v>1996</v>
      </c>
      <c r="AU622" t="s">
        <v>1995</v>
      </c>
      <c r="AV622" t="s">
        <v>1995</v>
      </c>
      <c r="AW622" t="s">
        <v>1996</v>
      </c>
      <c r="AX622" t="s">
        <v>2003</v>
      </c>
      <c r="AY622" t="s">
        <v>1996</v>
      </c>
      <c r="AZ622">
        <v>7424</v>
      </c>
      <c r="BA622" t="s">
        <v>1194</v>
      </c>
      <c r="BB622" t="s">
        <v>1194</v>
      </c>
      <c r="BC622" s="3">
        <v>0</v>
      </c>
      <c r="BD622" s="3">
        <v>0</v>
      </c>
      <c r="BE622" s="3">
        <v>0</v>
      </c>
      <c r="BF622" s="3">
        <v>0</v>
      </c>
      <c r="BG622" s="3">
        <v>130</v>
      </c>
      <c r="BH622" s="3">
        <v>0</v>
      </c>
      <c r="BI622" s="3">
        <v>0</v>
      </c>
      <c r="BJ622" s="3">
        <v>17273</v>
      </c>
      <c r="BK622" s="3">
        <v>586</v>
      </c>
      <c r="BL622" s="3">
        <v>17859</v>
      </c>
      <c r="BM622" s="2">
        <f t="shared" ca="1" si="19"/>
        <v>5</v>
      </c>
      <c r="BN622" s="3">
        <v>1000000</v>
      </c>
      <c r="BO622" s="3">
        <v>100000</v>
      </c>
      <c r="BP622" s="3">
        <v>200000</v>
      </c>
      <c r="BQ622" s="3">
        <v>50000</v>
      </c>
      <c r="BR622" s="3" t="s">
        <v>2916</v>
      </c>
      <c r="BS622">
        <v>500000</v>
      </c>
      <c r="BT622">
        <v>0</v>
      </c>
      <c r="BU622">
        <v>0</v>
      </c>
      <c r="BV622">
        <v>0</v>
      </c>
      <c r="BW622">
        <v>1</v>
      </c>
      <c r="BX622">
        <v>1</v>
      </c>
      <c r="BY622">
        <v>0</v>
      </c>
      <c r="BZ622" t="s">
        <v>2959</v>
      </c>
      <c r="CA622" t="s">
        <v>1194</v>
      </c>
      <c r="CB622" t="s">
        <v>2949</v>
      </c>
    </row>
    <row r="623" spans="1:80" x14ac:dyDescent="0.25">
      <c r="A623">
        <v>622</v>
      </c>
      <c r="B623" t="s">
        <v>2636</v>
      </c>
      <c r="C623" s="1">
        <v>44785</v>
      </c>
      <c r="D623">
        <v>42</v>
      </c>
      <c r="E623" t="s">
        <v>4</v>
      </c>
      <c r="F623" t="s">
        <v>1311</v>
      </c>
      <c r="G623">
        <v>1</v>
      </c>
      <c r="H623" s="3">
        <v>1427997</v>
      </c>
      <c r="I623" s="3">
        <v>209300</v>
      </c>
      <c r="J623" s="3">
        <v>732549</v>
      </c>
      <c r="K623" s="3">
        <v>285599.40000000002</v>
      </c>
      <c r="L623" t="s">
        <v>1191</v>
      </c>
      <c r="M623">
        <v>846472</v>
      </c>
      <c r="N623" t="s">
        <v>1408</v>
      </c>
      <c r="P623" t="s">
        <v>1788</v>
      </c>
      <c r="Q623" t="s">
        <v>1266</v>
      </c>
      <c r="R623">
        <v>37027</v>
      </c>
      <c r="S623" t="s">
        <v>1789</v>
      </c>
      <c r="T623" t="s">
        <v>965</v>
      </c>
      <c r="U623">
        <v>0</v>
      </c>
      <c r="V623">
        <v>6</v>
      </c>
      <c r="W623" t="s">
        <v>1194</v>
      </c>
      <c r="X623" t="s">
        <v>973</v>
      </c>
      <c r="Y623">
        <v>10000</v>
      </c>
      <c r="Z623" s="2" t="s">
        <v>1194</v>
      </c>
      <c r="AA623" s="2" t="s">
        <v>1238</v>
      </c>
      <c r="AB623" t="s">
        <v>1238</v>
      </c>
      <c r="AC623">
        <v>770</v>
      </c>
      <c r="AD623" t="s">
        <v>1284</v>
      </c>
      <c r="AE623">
        <v>4</v>
      </c>
      <c r="AF623" t="s">
        <v>1290</v>
      </c>
      <c r="AG623">
        <v>0</v>
      </c>
      <c r="AH623">
        <v>0</v>
      </c>
      <c r="AI623">
        <v>0</v>
      </c>
      <c r="AJ623">
        <v>1966</v>
      </c>
      <c r="AK623">
        <v>2006</v>
      </c>
      <c r="AL623">
        <v>2014</v>
      </c>
      <c r="AM623" s="4" t="s">
        <v>1238</v>
      </c>
      <c r="AN623">
        <v>1</v>
      </c>
      <c r="AO623" t="s">
        <v>1316</v>
      </c>
      <c r="AP623">
        <f t="shared" si="18"/>
        <v>0</v>
      </c>
      <c r="AQ623">
        <v>0</v>
      </c>
      <c r="AR623" t="s">
        <v>1993</v>
      </c>
      <c r="AS623" t="s">
        <v>1996</v>
      </c>
      <c r="AT623" t="s">
        <v>1995</v>
      </c>
      <c r="AU623" t="s">
        <v>1996</v>
      </c>
      <c r="AV623" t="s">
        <v>1996</v>
      </c>
      <c r="AW623" t="s">
        <v>1995</v>
      </c>
      <c r="AX623" t="s">
        <v>1194</v>
      </c>
      <c r="AY623" t="s">
        <v>1996</v>
      </c>
      <c r="AZ623">
        <v>2484</v>
      </c>
      <c r="BA623" t="s">
        <v>1194</v>
      </c>
      <c r="BB623" t="s">
        <v>1194</v>
      </c>
      <c r="BC623" s="3">
        <v>0</v>
      </c>
      <c r="BD623" s="3">
        <v>866.74</v>
      </c>
      <c r="BE623" s="3">
        <v>0</v>
      </c>
      <c r="BF623" s="3">
        <v>0</v>
      </c>
      <c r="BG623" s="3">
        <v>175</v>
      </c>
      <c r="BH623" s="3">
        <v>0</v>
      </c>
      <c r="BI623" s="3">
        <v>0</v>
      </c>
      <c r="BJ623" s="3">
        <v>4225.1099999999997</v>
      </c>
      <c r="BK623" s="3">
        <v>399.12</v>
      </c>
      <c r="BL623" s="3">
        <v>4624.2299999999996</v>
      </c>
      <c r="BM623" s="2">
        <f t="shared" ca="1" si="19"/>
        <v>4</v>
      </c>
      <c r="BN623" s="3">
        <v>100000</v>
      </c>
      <c r="BO623" s="3">
        <v>25000</v>
      </c>
      <c r="BP623" s="3">
        <v>50000</v>
      </c>
      <c r="BQ623" s="3">
        <v>50000</v>
      </c>
      <c r="BR623" s="3">
        <v>50000</v>
      </c>
      <c r="BS623">
        <v>500000</v>
      </c>
      <c r="BT623">
        <v>0</v>
      </c>
      <c r="BU623">
        <v>1</v>
      </c>
      <c r="BV623">
        <v>1</v>
      </c>
      <c r="BW623">
        <v>0</v>
      </c>
      <c r="BX623">
        <v>0</v>
      </c>
      <c r="BY623">
        <v>0</v>
      </c>
      <c r="BZ623" t="s">
        <v>2958</v>
      </c>
      <c r="CA623" t="s">
        <v>1194</v>
      </c>
      <c r="CB623" t="s">
        <v>2949</v>
      </c>
    </row>
    <row r="624" spans="1:80" x14ac:dyDescent="0.25">
      <c r="A624">
        <v>623</v>
      </c>
      <c r="B624" t="s">
        <v>2637</v>
      </c>
      <c r="C624" s="1">
        <v>44787</v>
      </c>
      <c r="D624">
        <v>12</v>
      </c>
      <c r="E624" t="s">
        <v>5</v>
      </c>
      <c r="F624" t="s">
        <v>1310</v>
      </c>
      <c r="G624">
        <v>0</v>
      </c>
      <c r="H624" s="3">
        <v>1972002</v>
      </c>
      <c r="I624" s="3">
        <v>566656</v>
      </c>
      <c r="J624" s="3">
        <v>986001</v>
      </c>
      <c r="K624" s="3">
        <v>394400.4</v>
      </c>
      <c r="L624" t="s">
        <v>1191</v>
      </c>
      <c r="M624">
        <v>507312</v>
      </c>
      <c r="N624" t="s">
        <v>1409</v>
      </c>
      <c r="P624" t="s">
        <v>1790</v>
      </c>
      <c r="Q624" t="s">
        <v>1251</v>
      </c>
      <c r="R624">
        <v>4538</v>
      </c>
      <c r="S624" t="s">
        <v>676</v>
      </c>
      <c r="T624" t="s">
        <v>1238</v>
      </c>
      <c r="U624">
        <v>1</v>
      </c>
      <c r="V624">
        <v>1</v>
      </c>
      <c r="W624" t="s">
        <v>1194</v>
      </c>
      <c r="X624" t="s">
        <v>1309</v>
      </c>
      <c r="Y624">
        <v>10000</v>
      </c>
      <c r="Z624" s="2" t="s">
        <v>1194</v>
      </c>
      <c r="AA624" s="2">
        <v>1</v>
      </c>
      <c r="AB624">
        <v>2.5000000000000001E-3</v>
      </c>
      <c r="AC624">
        <v>779</v>
      </c>
      <c r="AD624" t="s">
        <v>1279</v>
      </c>
      <c r="AE624">
        <v>9</v>
      </c>
      <c r="AF624" t="s">
        <v>1290</v>
      </c>
      <c r="AG624">
        <v>0</v>
      </c>
      <c r="AH624">
        <v>0</v>
      </c>
      <c r="AI624">
        <v>0</v>
      </c>
      <c r="AJ624">
        <v>1920</v>
      </c>
      <c r="AK624">
        <v>2007</v>
      </c>
      <c r="AL624">
        <v>2007</v>
      </c>
      <c r="AM624" s="4" t="s">
        <v>1305</v>
      </c>
      <c r="AN624">
        <v>1</v>
      </c>
      <c r="AO624" t="s">
        <v>1315</v>
      </c>
      <c r="AP624">
        <f t="shared" si="18"/>
        <v>0</v>
      </c>
      <c r="AQ624">
        <v>0</v>
      </c>
      <c r="AR624" t="s">
        <v>1993</v>
      </c>
      <c r="AS624" t="s">
        <v>1996</v>
      </c>
      <c r="AT624" t="s">
        <v>1995</v>
      </c>
      <c r="AU624" t="s">
        <v>1996</v>
      </c>
      <c r="AV624" t="s">
        <v>1995</v>
      </c>
      <c r="AW624" t="s">
        <v>1995</v>
      </c>
      <c r="AX624" t="s">
        <v>1194</v>
      </c>
      <c r="AY624" t="s">
        <v>1996</v>
      </c>
      <c r="AZ624">
        <v>2672</v>
      </c>
      <c r="BA624" t="s">
        <v>1194</v>
      </c>
      <c r="BB624" t="s">
        <v>1194</v>
      </c>
      <c r="BC624" s="3">
        <v>0</v>
      </c>
      <c r="BD624" s="3">
        <v>0</v>
      </c>
      <c r="BE624" s="3">
        <v>0</v>
      </c>
      <c r="BF624" s="3">
        <v>0</v>
      </c>
      <c r="BG624" s="3">
        <v>110</v>
      </c>
      <c r="BH624" s="3">
        <v>0</v>
      </c>
      <c r="BI624" s="3">
        <v>0</v>
      </c>
      <c r="BJ624" s="3">
        <v>6663.86</v>
      </c>
      <c r="BK624" s="3">
        <v>110</v>
      </c>
      <c r="BL624" s="3">
        <v>5930.4</v>
      </c>
      <c r="BM624" s="2">
        <f t="shared" ca="1" si="19"/>
        <v>5</v>
      </c>
      <c r="BN624" s="3" t="s">
        <v>2916</v>
      </c>
      <c r="BO624" s="3">
        <v>250000</v>
      </c>
      <c r="BP624" s="3">
        <v>50000</v>
      </c>
      <c r="BQ624" s="3">
        <v>250000</v>
      </c>
      <c r="BR624" s="3">
        <v>1000000</v>
      </c>
      <c r="BS624" t="s">
        <v>2916</v>
      </c>
      <c r="BT624">
        <v>0</v>
      </c>
      <c r="BU624">
        <v>0</v>
      </c>
      <c r="BV624">
        <v>0</v>
      </c>
      <c r="BW624">
        <v>1</v>
      </c>
      <c r="BX624">
        <v>1</v>
      </c>
      <c r="BY624">
        <v>0</v>
      </c>
      <c r="BZ624" t="s">
        <v>2949</v>
      </c>
      <c r="CA624" t="s">
        <v>1194</v>
      </c>
      <c r="CB624" t="s">
        <v>2949</v>
      </c>
    </row>
    <row r="625" spans="1:80" x14ac:dyDescent="0.25">
      <c r="A625">
        <v>624</v>
      </c>
      <c r="B625" t="s">
        <v>2638</v>
      </c>
      <c r="C625" s="1">
        <v>44750</v>
      </c>
      <c r="D625">
        <v>15</v>
      </c>
      <c r="E625" t="s">
        <v>4</v>
      </c>
      <c r="F625" t="s">
        <v>1311</v>
      </c>
      <c r="G625">
        <v>1</v>
      </c>
      <c r="H625" s="3">
        <v>363960</v>
      </c>
      <c r="I625" s="3">
        <v>72792</v>
      </c>
      <c r="J625" s="3">
        <v>181980</v>
      </c>
      <c r="K625" s="3">
        <v>72792</v>
      </c>
      <c r="L625" t="s">
        <v>1191</v>
      </c>
      <c r="M625">
        <v>1269404</v>
      </c>
      <c r="N625" t="s">
        <v>1410</v>
      </c>
      <c r="P625" t="s">
        <v>1791</v>
      </c>
      <c r="Q625" t="s">
        <v>1249</v>
      </c>
      <c r="R625">
        <v>42164</v>
      </c>
      <c r="S625" t="s">
        <v>1792</v>
      </c>
      <c r="T625" t="s">
        <v>965</v>
      </c>
      <c r="U625">
        <v>0</v>
      </c>
      <c r="V625">
        <v>1</v>
      </c>
      <c r="W625" t="s">
        <v>1194</v>
      </c>
      <c r="X625" t="s">
        <v>973</v>
      </c>
      <c r="Y625">
        <v>10000</v>
      </c>
      <c r="Z625" s="2" t="s">
        <v>1194</v>
      </c>
      <c r="AA625" s="2">
        <v>1</v>
      </c>
      <c r="AB625">
        <v>2.5000000000000001E-3</v>
      </c>
      <c r="AC625">
        <v>721</v>
      </c>
      <c r="AD625" t="s">
        <v>1279</v>
      </c>
      <c r="AE625">
        <v>6</v>
      </c>
      <c r="AF625" t="s">
        <v>1290</v>
      </c>
      <c r="AG625">
        <v>0</v>
      </c>
      <c r="AH625">
        <v>0</v>
      </c>
      <c r="AI625">
        <v>0</v>
      </c>
      <c r="AJ625">
        <v>1995</v>
      </c>
      <c r="AK625" t="s">
        <v>1194</v>
      </c>
      <c r="AL625">
        <v>2019</v>
      </c>
      <c r="AM625" s="4" t="s">
        <v>1238</v>
      </c>
      <c r="AN625">
        <v>1</v>
      </c>
      <c r="AO625" t="s">
        <v>1315</v>
      </c>
      <c r="AP625">
        <f t="shared" si="18"/>
        <v>0</v>
      </c>
      <c r="AQ625">
        <v>0</v>
      </c>
      <c r="AR625" t="s">
        <v>1993</v>
      </c>
      <c r="AS625" t="s">
        <v>1995</v>
      </c>
      <c r="AT625" t="s">
        <v>1996</v>
      </c>
      <c r="AU625" t="s">
        <v>1995</v>
      </c>
      <c r="AV625" t="s">
        <v>1995</v>
      </c>
      <c r="AW625" t="s">
        <v>1996</v>
      </c>
      <c r="AX625" t="s">
        <v>1194</v>
      </c>
      <c r="AY625" t="s">
        <v>1996</v>
      </c>
      <c r="AZ625">
        <v>1050</v>
      </c>
      <c r="BA625" t="s">
        <v>1194</v>
      </c>
      <c r="BB625" t="s">
        <v>1194</v>
      </c>
      <c r="BC625" s="3">
        <v>0</v>
      </c>
      <c r="BD625" s="3">
        <v>0</v>
      </c>
      <c r="BE625" s="3">
        <v>0</v>
      </c>
      <c r="BF625" s="3">
        <v>0</v>
      </c>
      <c r="BG625" s="3">
        <v>175</v>
      </c>
      <c r="BH625" s="3">
        <v>0</v>
      </c>
      <c r="BI625" s="3">
        <v>0</v>
      </c>
      <c r="BJ625" s="3">
        <v>1851.39</v>
      </c>
      <c r="BK625" s="3">
        <v>240</v>
      </c>
      <c r="BL625" s="3">
        <v>2091.39</v>
      </c>
      <c r="BM625" s="2">
        <f t="shared" ca="1" si="19"/>
        <v>5</v>
      </c>
      <c r="BN625" s="3">
        <v>250000</v>
      </c>
      <c r="BO625" s="3">
        <v>500000</v>
      </c>
      <c r="BP625" s="3">
        <v>50000</v>
      </c>
      <c r="BQ625" s="3">
        <v>25000</v>
      </c>
      <c r="BR625" s="3">
        <v>250000</v>
      </c>
      <c r="BS625">
        <v>50000</v>
      </c>
      <c r="BT625">
        <v>0</v>
      </c>
      <c r="BU625">
        <v>0</v>
      </c>
      <c r="BV625">
        <v>0</v>
      </c>
      <c r="BW625">
        <v>1</v>
      </c>
      <c r="BX625">
        <v>1</v>
      </c>
      <c r="BY625">
        <v>0</v>
      </c>
      <c r="BZ625" t="s">
        <v>2958</v>
      </c>
      <c r="CA625" t="s">
        <v>1194</v>
      </c>
      <c r="CB625" t="s">
        <v>2949</v>
      </c>
    </row>
    <row r="626" spans="1:80" x14ac:dyDescent="0.25">
      <c r="A626">
        <v>625</v>
      </c>
      <c r="B626" t="s">
        <v>2639</v>
      </c>
      <c r="C626" s="1">
        <v>44802</v>
      </c>
      <c r="D626">
        <v>12</v>
      </c>
      <c r="E626" t="s">
        <v>4</v>
      </c>
      <c r="F626" t="s">
        <v>1311</v>
      </c>
      <c r="G626">
        <v>1</v>
      </c>
      <c r="H626" s="3">
        <v>29018000</v>
      </c>
      <c r="I626" s="3">
        <v>600000</v>
      </c>
      <c r="J626" s="3">
        <v>7480200</v>
      </c>
      <c r="K626" s="3">
        <v>0</v>
      </c>
      <c r="L626" t="s">
        <v>1191</v>
      </c>
      <c r="M626">
        <v>1891821</v>
      </c>
      <c r="N626" t="s">
        <v>1411</v>
      </c>
      <c r="P626" t="s">
        <v>1793</v>
      </c>
      <c r="Q626" t="s">
        <v>1255</v>
      </c>
      <c r="R626">
        <v>59715</v>
      </c>
      <c r="S626" t="s">
        <v>1691</v>
      </c>
      <c r="T626" t="s">
        <v>965</v>
      </c>
      <c r="U626">
        <v>0</v>
      </c>
      <c r="V626">
        <v>1</v>
      </c>
      <c r="W626" t="s">
        <v>1194</v>
      </c>
      <c r="X626" t="s">
        <v>973</v>
      </c>
      <c r="Y626">
        <v>25000</v>
      </c>
      <c r="Z626" s="2" t="s">
        <v>1194</v>
      </c>
      <c r="AA626" s="2">
        <v>1</v>
      </c>
      <c r="AB626">
        <v>0.03</v>
      </c>
      <c r="AC626">
        <v>929</v>
      </c>
      <c r="AD626" t="s">
        <v>1279</v>
      </c>
      <c r="AE626">
        <v>9</v>
      </c>
      <c r="AF626" t="s">
        <v>1290</v>
      </c>
      <c r="AG626">
        <v>0</v>
      </c>
      <c r="AH626">
        <v>0</v>
      </c>
      <c r="AI626">
        <v>0</v>
      </c>
      <c r="AJ626">
        <v>2022</v>
      </c>
      <c r="AK626" t="s">
        <v>1194</v>
      </c>
      <c r="AL626" t="s">
        <v>1194</v>
      </c>
      <c r="AM626" s="4" t="s">
        <v>1238</v>
      </c>
      <c r="AN626">
        <v>0</v>
      </c>
      <c r="AO626" t="s">
        <v>1315</v>
      </c>
      <c r="AP626">
        <f t="shared" si="18"/>
        <v>0</v>
      </c>
      <c r="AQ626">
        <v>1</v>
      </c>
      <c r="AR626" t="s">
        <v>1992</v>
      </c>
      <c r="AS626" t="s">
        <v>1996</v>
      </c>
      <c r="AT626" t="s">
        <v>1995</v>
      </c>
      <c r="AU626" t="s">
        <v>1996</v>
      </c>
      <c r="AV626" t="s">
        <v>1995</v>
      </c>
      <c r="AW626" t="s">
        <v>1995</v>
      </c>
      <c r="AX626" t="s">
        <v>1194</v>
      </c>
      <c r="AY626" t="s">
        <v>1996</v>
      </c>
      <c r="AZ626">
        <v>22757</v>
      </c>
      <c r="BA626">
        <v>1</v>
      </c>
      <c r="BB626" t="s">
        <v>1194</v>
      </c>
      <c r="BC626" s="3">
        <v>0</v>
      </c>
      <c r="BD626" s="3">
        <v>0</v>
      </c>
      <c r="BE626" s="3">
        <v>0</v>
      </c>
      <c r="BF626" s="3">
        <v>0</v>
      </c>
      <c r="BG626" s="3">
        <v>160</v>
      </c>
      <c r="BH626" s="3">
        <v>0</v>
      </c>
      <c r="BI626" s="3">
        <v>0</v>
      </c>
      <c r="BJ626" s="3">
        <v>52955.41</v>
      </c>
      <c r="BK626" s="3">
        <v>-15</v>
      </c>
      <c r="BL626" s="3">
        <v>52940.41</v>
      </c>
      <c r="BM626" s="2">
        <f t="shared" ca="1" si="19"/>
        <v>3</v>
      </c>
      <c r="BN626" s="3" t="s">
        <v>2916</v>
      </c>
      <c r="BO626" s="3">
        <v>100000</v>
      </c>
      <c r="BP626" s="3" t="s">
        <v>2922</v>
      </c>
      <c r="BQ626" s="3">
        <v>250000</v>
      </c>
      <c r="BR626" s="3" t="s">
        <v>2916</v>
      </c>
      <c r="BS626" t="s">
        <v>2916</v>
      </c>
      <c r="BT626">
        <v>0</v>
      </c>
      <c r="BU626">
        <v>0</v>
      </c>
      <c r="BV626">
        <v>1</v>
      </c>
      <c r="BW626">
        <v>0</v>
      </c>
      <c r="BX626">
        <v>0</v>
      </c>
      <c r="BY626">
        <v>0</v>
      </c>
      <c r="BZ626" t="s">
        <v>2959</v>
      </c>
      <c r="CA626" t="s">
        <v>1194</v>
      </c>
      <c r="CB626" t="s">
        <v>2949</v>
      </c>
    </row>
    <row r="627" spans="1:80" x14ac:dyDescent="0.25">
      <c r="A627">
        <v>626</v>
      </c>
      <c r="B627" t="s">
        <v>2640</v>
      </c>
      <c r="C627" s="1">
        <v>44718</v>
      </c>
      <c r="D627">
        <v>12</v>
      </c>
      <c r="E627" t="s">
        <v>4</v>
      </c>
      <c r="F627" t="s">
        <v>1311</v>
      </c>
      <c r="G627">
        <v>0</v>
      </c>
      <c r="H627" s="3">
        <v>3275000</v>
      </c>
      <c r="I627" s="3">
        <v>600000</v>
      </c>
      <c r="J627" s="3">
        <v>0</v>
      </c>
      <c r="K627" s="3">
        <v>0</v>
      </c>
      <c r="L627" t="s">
        <v>1191</v>
      </c>
      <c r="M627">
        <v>1894896</v>
      </c>
      <c r="N627" t="s">
        <v>1412</v>
      </c>
      <c r="P627" t="s">
        <v>1794</v>
      </c>
      <c r="Q627" t="s">
        <v>1254</v>
      </c>
      <c r="R627">
        <v>64112</v>
      </c>
      <c r="S627" t="s">
        <v>72</v>
      </c>
      <c r="T627" t="s">
        <v>965</v>
      </c>
      <c r="U627">
        <v>0</v>
      </c>
      <c r="V627">
        <v>3</v>
      </c>
      <c r="W627" t="s">
        <v>1194</v>
      </c>
      <c r="X627" t="s">
        <v>973</v>
      </c>
      <c r="Y627">
        <v>50000</v>
      </c>
      <c r="Z627" s="2">
        <v>2</v>
      </c>
      <c r="AA627" s="2">
        <v>1</v>
      </c>
      <c r="AB627">
        <v>0.01</v>
      </c>
      <c r="AC627">
        <v>740</v>
      </c>
      <c r="AD627" t="s">
        <v>1279</v>
      </c>
      <c r="AE627">
        <v>1</v>
      </c>
      <c r="AF627" t="s">
        <v>1290</v>
      </c>
      <c r="AG627">
        <v>0</v>
      </c>
      <c r="AH627">
        <v>0</v>
      </c>
      <c r="AI627">
        <v>0</v>
      </c>
      <c r="AJ627">
        <v>2004</v>
      </c>
      <c r="AK627" t="s">
        <v>1194</v>
      </c>
      <c r="AL627" t="s">
        <v>1194</v>
      </c>
      <c r="AM627" s="4" t="s">
        <v>1238</v>
      </c>
      <c r="AN627">
        <v>0</v>
      </c>
      <c r="AO627" t="s">
        <v>1315</v>
      </c>
      <c r="AP627">
        <f t="shared" si="18"/>
        <v>0</v>
      </c>
      <c r="AQ627">
        <v>0</v>
      </c>
      <c r="AR627" t="s">
        <v>1993</v>
      </c>
      <c r="AS627" t="s">
        <v>1995</v>
      </c>
      <c r="AT627" t="s">
        <v>1996</v>
      </c>
      <c r="AU627" t="s">
        <v>1995</v>
      </c>
      <c r="AV627" t="s">
        <v>1995</v>
      </c>
      <c r="AW627" t="s">
        <v>1996</v>
      </c>
      <c r="AX627" t="s">
        <v>1194</v>
      </c>
      <c r="AY627" t="s">
        <v>1996</v>
      </c>
      <c r="AZ627">
        <v>7722</v>
      </c>
      <c r="BA627" t="s">
        <v>1194</v>
      </c>
      <c r="BB627" t="s">
        <v>1194</v>
      </c>
      <c r="BC627" s="3">
        <v>0</v>
      </c>
      <c r="BD627" s="3">
        <v>0</v>
      </c>
      <c r="BE627" s="3">
        <v>0</v>
      </c>
      <c r="BF627" s="3">
        <v>0</v>
      </c>
      <c r="BG627" s="3">
        <v>175</v>
      </c>
      <c r="BH627" s="3">
        <v>0</v>
      </c>
      <c r="BI627" s="3">
        <v>0</v>
      </c>
      <c r="BJ627" s="3">
        <v>11898.92</v>
      </c>
      <c r="BK627" s="3">
        <v>-15</v>
      </c>
      <c r="BL627" s="3">
        <v>11883.92</v>
      </c>
      <c r="BM627" s="2">
        <f t="shared" ca="1" si="19"/>
        <v>4</v>
      </c>
      <c r="BN627" s="3" t="s">
        <v>2916</v>
      </c>
      <c r="BO627" s="3">
        <v>500000</v>
      </c>
      <c r="BP627" s="3">
        <v>200000</v>
      </c>
      <c r="BQ627" s="3">
        <v>25000</v>
      </c>
      <c r="BR627" s="3">
        <v>100000</v>
      </c>
      <c r="BS627">
        <v>100000</v>
      </c>
      <c r="BT627">
        <v>0</v>
      </c>
      <c r="BU627">
        <v>0</v>
      </c>
      <c r="BV627">
        <v>0</v>
      </c>
      <c r="BW627">
        <v>1</v>
      </c>
      <c r="BX627">
        <v>1</v>
      </c>
      <c r="BY627">
        <v>0</v>
      </c>
      <c r="BZ627" t="s">
        <v>2960</v>
      </c>
      <c r="CA627" t="s">
        <v>1194</v>
      </c>
      <c r="CB627" t="s">
        <v>2949</v>
      </c>
    </row>
    <row r="628" spans="1:80" x14ac:dyDescent="0.25">
      <c r="A628">
        <v>627</v>
      </c>
      <c r="B628" t="s">
        <v>2641</v>
      </c>
      <c r="C628" s="1">
        <v>44834</v>
      </c>
      <c r="D628">
        <v>12</v>
      </c>
      <c r="E628" t="s">
        <v>4</v>
      </c>
      <c r="F628" t="s">
        <v>1311</v>
      </c>
      <c r="G628">
        <v>0</v>
      </c>
      <c r="H628" s="3">
        <v>1353091</v>
      </c>
      <c r="I628" s="3">
        <v>270619</v>
      </c>
      <c r="J628" s="3">
        <v>676546</v>
      </c>
      <c r="K628" s="3">
        <v>0</v>
      </c>
      <c r="L628" t="s">
        <v>1191</v>
      </c>
      <c r="M628">
        <v>525925</v>
      </c>
      <c r="N628" t="s">
        <v>1413</v>
      </c>
      <c r="P628" t="s">
        <v>1795</v>
      </c>
      <c r="Q628" t="s">
        <v>1270</v>
      </c>
      <c r="R628">
        <v>98040</v>
      </c>
      <c r="S628" t="s">
        <v>1796</v>
      </c>
      <c r="T628" t="s">
        <v>1194</v>
      </c>
      <c r="U628">
        <v>0</v>
      </c>
      <c r="V628">
        <v>52</v>
      </c>
      <c r="W628" t="s">
        <v>1194</v>
      </c>
      <c r="X628" t="s">
        <v>973</v>
      </c>
      <c r="Y628">
        <v>5000</v>
      </c>
      <c r="Z628" s="2" t="s">
        <v>1194</v>
      </c>
      <c r="AA628" s="2" t="s">
        <v>1238</v>
      </c>
      <c r="AB628" t="s">
        <v>1238</v>
      </c>
      <c r="AC628" t="s">
        <v>1194</v>
      </c>
      <c r="AD628" t="s">
        <v>1279</v>
      </c>
      <c r="AE628">
        <v>4</v>
      </c>
      <c r="AF628" t="s">
        <v>1194</v>
      </c>
      <c r="AG628">
        <v>0</v>
      </c>
      <c r="AH628">
        <v>0</v>
      </c>
      <c r="AI628">
        <v>0</v>
      </c>
      <c r="AJ628">
        <v>1974</v>
      </c>
      <c r="AK628">
        <v>2011</v>
      </c>
      <c r="AL628">
        <v>2011</v>
      </c>
      <c r="AM628" s="4" t="s">
        <v>1238</v>
      </c>
      <c r="AN628">
        <v>1</v>
      </c>
      <c r="AO628" t="s">
        <v>1316</v>
      </c>
      <c r="AP628">
        <f t="shared" si="18"/>
        <v>0</v>
      </c>
      <c r="AQ628">
        <v>0</v>
      </c>
      <c r="AR628" t="s">
        <v>1993</v>
      </c>
      <c r="AS628" t="s">
        <v>1996</v>
      </c>
      <c r="AT628" t="s">
        <v>1996</v>
      </c>
      <c r="AU628" t="s">
        <v>1996</v>
      </c>
      <c r="AV628" t="s">
        <v>1996</v>
      </c>
      <c r="AW628" t="s">
        <v>1995</v>
      </c>
      <c r="AX628" t="s">
        <v>1194</v>
      </c>
      <c r="AY628" t="s">
        <v>1996</v>
      </c>
      <c r="AZ628">
        <v>3340</v>
      </c>
      <c r="BA628" t="s">
        <v>1194</v>
      </c>
      <c r="BB628" t="s">
        <v>2014</v>
      </c>
      <c r="BC628" s="3">
        <v>0</v>
      </c>
      <c r="BD628" s="3">
        <v>0</v>
      </c>
      <c r="BE628" s="3">
        <v>0</v>
      </c>
      <c r="BF628" s="3">
        <v>0</v>
      </c>
      <c r="BG628" s="3">
        <v>110</v>
      </c>
      <c r="BH628" s="3">
        <v>0</v>
      </c>
      <c r="BI628" s="3">
        <v>0</v>
      </c>
      <c r="BJ628" s="3">
        <v>5377.17</v>
      </c>
      <c r="BK628" s="3">
        <v>1810.78</v>
      </c>
      <c r="BL628" s="3">
        <v>7187.95</v>
      </c>
      <c r="BM628" s="2">
        <f t="shared" ca="1" si="19"/>
        <v>1</v>
      </c>
      <c r="BN628" s="3">
        <v>250000</v>
      </c>
      <c r="BO628" s="3">
        <v>100000</v>
      </c>
      <c r="BP628" s="3" t="s">
        <v>2922</v>
      </c>
      <c r="BQ628" s="3">
        <v>250000</v>
      </c>
      <c r="BR628" s="3">
        <v>100000</v>
      </c>
      <c r="BS628">
        <v>250000</v>
      </c>
      <c r="BT628">
        <v>0</v>
      </c>
      <c r="BU628">
        <v>1</v>
      </c>
      <c r="BV628">
        <v>1</v>
      </c>
      <c r="BW628">
        <v>0</v>
      </c>
      <c r="BX628">
        <v>0</v>
      </c>
      <c r="BY628">
        <v>0</v>
      </c>
      <c r="BZ628" t="s">
        <v>2949</v>
      </c>
      <c r="CA628" t="s">
        <v>1194</v>
      </c>
      <c r="CB628" t="s">
        <v>2949</v>
      </c>
    </row>
    <row r="629" spans="1:80" x14ac:dyDescent="0.25">
      <c r="A629">
        <v>628</v>
      </c>
      <c r="B629" t="s">
        <v>2642</v>
      </c>
      <c r="C629" s="1">
        <v>44858</v>
      </c>
      <c r="D629">
        <v>12</v>
      </c>
      <c r="E629" t="s">
        <v>4</v>
      </c>
      <c r="F629" t="s">
        <v>1311</v>
      </c>
      <c r="G629">
        <v>0</v>
      </c>
      <c r="H629" s="3">
        <v>2800000</v>
      </c>
      <c r="I629" s="3">
        <v>560000</v>
      </c>
      <c r="J629" s="3">
        <v>1400000</v>
      </c>
      <c r="K629" s="3">
        <v>560000</v>
      </c>
      <c r="L629" t="s">
        <v>1191</v>
      </c>
      <c r="M629">
        <v>596998</v>
      </c>
      <c r="N629" t="s">
        <v>1414</v>
      </c>
      <c r="P629" t="s">
        <v>1797</v>
      </c>
      <c r="Q629" t="s">
        <v>1270</v>
      </c>
      <c r="R629">
        <v>98391</v>
      </c>
      <c r="S629" t="s">
        <v>1798</v>
      </c>
      <c r="T629" t="s">
        <v>965</v>
      </c>
      <c r="U629">
        <v>0</v>
      </c>
      <c r="V629">
        <v>147</v>
      </c>
      <c r="W629" t="s">
        <v>1194</v>
      </c>
      <c r="X629" t="s">
        <v>973</v>
      </c>
      <c r="Y629">
        <v>10000</v>
      </c>
      <c r="Z629" s="2" t="s">
        <v>1194</v>
      </c>
      <c r="AA629" s="2" t="s">
        <v>1238</v>
      </c>
      <c r="AB629" t="s">
        <v>1238</v>
      </c>
      <c r="AC629" t="s">
        <v>1194</v>
      </c>
      <c r="AD629" t="s">
        <v>1279</v>
      </c>
      <c r="AE629">
        <v>3</v>
      </c>
      <c r="AF629" t="s">
        <v>1290</v>
      </c>
      <c r="AG629">
        <v>0</v>
      </c>
      <c r="AH629">
        <v>0</v>
      </c>
      <c r="AI629">
        <v>0</v>
      </c>
      <c r="AJ629">
        <v>2017</v>
      </c>
      <c r="AK629" t="s">
        <v>1194</v>
      </c>
      <c r="AL629" t="s">
        <v>1194</v>
      </c>
      <c r="AM629" s="4" t="s">
        <v>1238</v>
      </c>
      <c r="AN629">
        <v>0</v>
      </c>
      <c r="AO629" t="s">
        <v>1316</v>
      </c>
      <c r="AP629">
        <f t="shared" si="18"/>
        <v>0</v>
      </c>
      <c r="AQ629">
        <v>0</v>
      </c>
      <c r="AR629" t="s">
        <v>1993</v>
      </c>
      <c r="AS629" t="s">
        <v>1995</v>
      </c>
      <c r="AT629" t="s">
        <v>1995</v>
      </c>
      <c r="AU629" t="s">
        <v>1995</v>
      </c>
      <c r="AV629" t="s">
        <v>1995</v>
      </c>
      <c r="AW629" t="s">
        <v>1995</v>
      </c>
      <c r="AX629" t="s">
        <v>1194</v>
      </c>
      <c r="AY629" t="s">
        <v>1996</v>
      </c>
      <c r="AZ629">
        <v>4816</v>
      </c>
      <c r="BA629" t="s">
        <v>1194</v>
      </c>
      <c r="BB629" t="s">
        <v>2016</v>
      </c>
      <c r="BC629" s="3">
        <v>0</v>
      </c>
      <c r="BD629" s="3">
        <v>0</v>
      </c>
      <c r="BE629" s="3">
        <v>0</v>
      </c>
      <c r="BF629" s="3">
        <v>0</v>
      </c>
      <c r="BG629" s="3">
        <v>140</v>
      </c>
      <c r="BH629" s="3">
        <v>0</v>
      </c>
      <c r="BI629" s="3">
        <v>0</v>
      </c>
      <c r="BJ629" s="3">
        <v>7710.03</v>
      </c>
      <c r="BK629" s="3">
        <v>2645</v>
      </c>
      <c r="BL629" s="3">
        <v>10355.030000000001</v>
      </c>
      <c r="BM629" s="2">
        <f t="shared" ca="1" si="19"/>
        <v>3</v>
      </c>
      <c r="BN629" s="3">
        <v>1000000</v>
      </c>
      <c r="BO629" s="3">
        <v>250000</v>
      </c>
      <c r="BP629" s="3">
        <v>200000</v>
      </c>
      <c r="BQ629" s="3">
        <v>25000</v>
      </c>
      <c r="BR629" s="3">
        <v>50000</v>
      </c>
      <c r="BS629">
        <v>1000000</v>
      </c>
      <c r="BT629">
        <v>0</v>
      </c>
      <c r="BU629">
        <v>1</v>
      </c>
      <c r="BV629">
        <v>0</v>
      </c>
      <c r="BW629">
        <v>1</v>
      </c>
      <c r="BX629">
        <v>1</v>
      </c>
      <c r="BY629">
        <v>0</v>
      </c>
      <c r="BZ629" t="s">
        <v>2949</v>
      </c>
      <c r="CA629" t="s">
        <v>1194</v>
      </c>
      <c r="CB629" t="s">
        <v>2949</v>
      </c>
    </row>
    <row r="630" spans="1:80" x14ac:dyDescent="0.25">
      <c r="A630">
        <v>629</v>
      </c>
      <c r="B630" t="s">
        <v>2643</v>
      </c>
      <c r="C630" s="1">
        <v>44721</v>
      </c>
      <c r="D630">
        <v>12</v>
      </c>
      <c r="E630" t="s">
        <v>4</v>
      </c>
      <c r="F630" t="s">
        <v>1311</v>
      </c>
      <c r="G630">
        <v>1</v>
      </c>
      <c r="H630" s="3">
        <v>2180000</v>
      </c>
      <c r="I630" s="3">
        <v>436000</v>
      </c>
      <c r="J630" s="3">
        <v>43600</v>
      </c>
      <c r="K630" s="3">
        <v>0</v>
      </c>
      <c r="L630" t="s">
        <v>1191</v>
      </c>
      <c r="M630">
        <v>1672861</v>
      </c>
      <c r="N630" t="s">
        <v>1415</v>
      </c>
      <c r="P630" t="s">
        <v>1730</v>
      </c>
      <c r="Q630" t="s">
        <v>1261</v>
      </c>
      <c r="R630">
        <v>74105</v>
      </c>
      <c r="S630" t="s">
        <v>1730</v>
      </c>
      <c r="T630" t="s">
        <v>965</v>
      </c>
      <c r="U630">
        <v>0</v>
      </c>
      <c r="V630">
        <v>4</v>
      </c>
      <c r="W630" t="s">
        <v>1194</v>
      </c>
      <c r="X630" t="s">
        <v>973</v>
      </c>
      <c r="Y630">
        <v>10000</v>
      </c>
      <c r="Z630" s="2">
        <v>1</v>
      </c>
      <c r="AA630" s="2">
        <v>1</v>
      </c>
      <c r="AB630">
        <v>5.0000000000000001E-3</v>
      </c>
      <c r="AC630">
        <v>763</v>
      </c>
      <c r="AD630" t="s">
        <v>1284</v>
      </c>
      <c r="AE630">
        <v>1</v>
      </c>
      <c r="AF630" t="s">
        <v>1290</v>
      </c>
      <c r="AG630">
        <v>0</v>
      </c>
      <c r="AH630">
        <v>0</v>
      </c>
      <c r="AI630">
        <v>0</v>
      </c>
      <c r="AJ630">
        <v>1975</v>
      </c>
      <c r="AK630" t="s">
        <v>1194</v>
      </c>
      <c r="AL630">
        <v>2007</v>
      </c>
      <c r="AM630" s="4" t="s">
        <v>1238</v>
      </c>
      <c r="AN630">
        <v>0</v>
      </c>
      <c r="AO630" t="s">
        <v>1316</v>
      </c>
      <c r="AP630">
        <f t="shared" si="18"/>
        <v>0</v>
      </c>
      <c r="AQ630">
        <v>0</v>
      </c>
      <c r="AR630" t="s">
        <v>1993</v>
      </c>
      <c r="AS630" t="s">
        <v>1995</v>
      </c>
      <c r="AT630" t="s">
        <v>1996</v>
      </c>
      <c r="AU630" t="s">
        <v>1995</v>
      </c>
      <c r="AV630" t="s">
        <v>1996</v>
      </c>
      <c r="AW630" t="s">
        <v>1996</v>
      </c>
      <c r="AX630" t="s">
        <v>1194</v>
      </c>
      <c r="AY630" t="s">
        <v>1996</v>
      </c>
      <c r="AZ630">
        <v>5975</v>
      </c>
      <c r="BA630" t="s">
        <v>1194</v>
      </c>
      <c r="BB630" t="s">
        <v>1194</v>
      </c>
      <c r="BC630" s="3">
        <v>0</v>
      </c>
      <c r="BD630" s="3">
        <v>0</v>
      </c>
      <c r="BE630" s="3">
        <v>0</v>
      </c>
      <c r="BF630" s="3">
        <v>0</v>
      </c>
      <c r="BG630" s="3">
        <v>210</v>
      </c>
      <c r="BH630" s="3">
        <v>0</v>
      </c>
      <c r="BI630" s="3">
        <v>0</v>
      </c>
      <c r="BJ630" s="3">
        <v>11117.4</v>
      </c>
      <c r="BK630" s="3">
        <v>440</v>
      </c>
      <c r="BL630" s="3">
        <v>11464.35</v>
      </c>
      <c r="BM630" s="2">
        <f t="shared" ca="1" si="19"/>
        <v>3</v>
      </c>
      <c r="BN630" s="3">
        <v>1000000</v>
      </c>
      <c r="BO630" s="3">
        <v>25000</v>
      </c>
      <c r="BP630" s="3">
        <v>200000</v>
      </c>
      <c r="BQ630" s="3">
        <v>100000</v>
      </c>
      <c r="BR630" s="3">
        <v>500000</v>
      </c>
      <c r="BS630">
        <v>100000</v>
      </c>
      <c r="BT630">
        <v>0</v>
      </c>
      <c r="BU630">
        <v>0</v>
      </c>
      <c r="BV630">
        <v>0</v>
      </c>
      <c r="BW630">
        <v>1</v>
      </c>
      <c r="BX630">
        <v>1</v>
      </c>
      <c r="BY630">
        <v>0</v>
      </c>
      <c r="BZ630" t="s">
        <v>2958</v>
      </c>
      <c r="CA630" t="s">
        <v>1194</v>
      </c>
      <c r="CB630" t="s">
        <v>2941</v>
      </c>
    </row>
    <row r="631" spans="1:80" x14ac:dyDescent="0.25">
      <c r="A631">
        <v>630</v>
      </c>
      <c r="B631" t="s">
        <v>2644</v>
      </c>
      <c r="C631" s="1">
        <v>44829</v>
      </c>
      <c r="D631">
        <v>12</v>
      </c>
      <c r="E631" t="s">
        <v>4</v>
      </c>
      <c r="F631" t="s">
        <v>1311</v>
      </c>
      <c r="G631">
        <v>1</v>
      </c>
      <c r="H631" s="3">
        <v>1842938</v>
      </c>
      <c r="I631" s="3">
        <v>100000</v>
      </c>
      <c r="J631" s="3">
        <v>601175</v>
      </c>
      <c r="K631" s="3">
        <v>0</v>
      </c>
      <c r="L631" t="s">
        <v>1191</v>
      </c>
      <c r="M631">
        <v>215840</v>
      </c>
      <c r="N631" t="s">
        <v>1416</v>
      </c>
      <c r="P631" t="s">
        <v>1799</v>
      </c>
      <c r="Q631" t="s">
        <v>1253</v>
      </c>
      <c r="R631">
        <v>55331</v>
      </c>
      <c r="S631" t="s">
        <v>1714</v>
      </c>
      <c r="T631" t="s">
        <v>965</v>
      </c>
      <c r="U631">
        <v>0</v>
      </c>
      <c r="V631">
        <v>1</v>
      </c>
      <c r="W631" t="s">
        <v>1194</v>
      </c>
      <c r="X631" t="s">
        <v>973</v>
      </c>
      <c r="Y631">
        <v>10000</v>
      </c>
      <c r="Z631" s="2">
        <v>0.99997938099999994</v>
      </c>
      <c r="AA631" s="2">
        <v>1</v>
      </c>
      <c r="AB631">
        <v>2500</v>
      </c>
      <c r="AC631">
        <v>717</v>
      </c>
      <c r="AD631" t="s">
        <v>1279</v>
      </c>
      <c r="AE631">
        <v>4</v>
      </c>
      <c r="AF631" t="s">
        <v>1290</v>
      </c>
      <c r="AG631">
        <v>0</v>
      </c>
      <c r="AH631">
        <v>0</v>
      </c>
      <c r="AI631">
        <v>0</v>
      </c>
      <c r="AJ631">
        <v>1978</v>
      </c>
      <c r="AK631" t="s">
        <v>1194</v>
      </c>
      <c r="AL631">
        <v>2022</v>
      </c>
      <c r="AM631" s="4" t="s">
        <v>1238</v>
      </c>
      <c r="AN631">
        <v>1</v>
      </c>
      <c r="AO631" t="s">
        <v>1317</v>
      </c>
      <c r="AP631">
        <f t="shared" si="18"/>
        <v>0</v>
      </c>
      <c r="AQ631">
        <v>1</v>
      </c>
      <c r="AR631" t="s">
        <v>1992</v>
      </c>
      <c r="AS631" t="s">
        <v>1996</v>
      </c>
      <c r="AT631" t="s">
        <v>1996</v>
      </c>
      <c r="AU631" t="s">
        <v>1995</v>
      </c>
      <c r="AV631" t="s">
        <v>1995</v>
      </c>
      <c r="AW631" t="s">
        <v>1996</v>
      </c>
      <c r="AX631" t="s">
        <v>1194</v>
      </c>
      <c r="AY631" t="s">
        <v>1996</v>
      </c>
      <c r="AZ631">
        <v>3818</v>
      </c>
      <c r="BA631" t="s">
        <v>1194</v>
      </c>
      <c r="BB631" t="s">
        <v>1194</v>
      </c>
      <c r="BC631" s="3">
        <v>0</v>
      </c>
      <c r="BD631" s="3">
        <v>0</v>
      </c>
      <c r="BE631" s="3">
        <v>0</v>
      </c>
      <c r="BF631" s="3">
        <v>0</v>
      </c>
      <c r="BG631" s="3">
        <v>175</v>
      </c>
      <c r="BH631" s="3">
        <v>0</v>
      </c>
      <c r="BI631" s="3">
        <v>0</v>
      </c>
      <c r="BJ631" s="3">
        <v>6340.32</v>
      </c>
      <c r="BK631" s="3">
        <v>180</v>
      </c>
      <c r="BL631" s="3">
        <v>6520.32</v>
      </c>
      <c r="BM631" s="2">
        <f t="shared" ca="1" si="19"/>
        <v>4</v>
      </c>
      <c r="BN631" s="3">
        <v>50000</v>
      </c>
      <c r="BO631" s="3">
        <v>20000</v>
      </c>
      <c r="BP631" s="3" t="s">
        <v>2922</v>
      </c>
      <c r="BQ631" s="3">
        <v>100000</v>
      </c>
      <c r="BR631" s="3">
        <v>100000</v>
      </c>
      <c r="BS631" t="s">
        <v>2916</v>
      </c>
      <c r="BT631">
        <v>0</v>
      </c>
      <c r="BU631">
        <v>0</v>
      </c>
      <c r="BV631">
        <v>1</v>
      </c>
      <c r="BW631">
        <v>0</v>
      </c>
      <c r="BX631">
        <v>0</v>
      </c>
      <c r="BY631">
        <v>0</v>
      </c>
      <c r="BZ631" t="s">
        <v>2958</v>
      </c>
      <c r="CA631" t="s">
        <v>1194</v>
      </c>
      <c r="CB631" t="s">
        <v>2945</v>
      </c>
    </row>
    <row r="632" spans="1:80" x14ac:dyDescent="0.25">
      <c r="A632">
        <v>631</v>
      </c>
      <c r="B632" t="s">
        <v>2645</v>
      </c>
      <c r="C632" s="1">
        <v>44787</v>
      </c>
      <c r="D632">
        <v>39</v>
      </c>
      <c r="E632" t="s">
        <v>4</v>
      </c>
      <c r="F632" t="s">
        <v>1311</v>
      </c>
      <c r="G632">
        <v>1</v>
      </c>
      <c r="H632" s="3">
        <v>2571920</v>
      </c>
      <c r="I632" s="3">
        <v>165460</v>
      </c>
      <c r="J632" s="3">
        <v>1285960</v>
      </c>
      <c r="K632" s="3">
        <v>514384</v>
      </c>
      <c r="L632" t="s">
        <v>1191</v>
      </c>
      <c r="M632">
        <v>1302365</v>
      </c>
      <c r="N632" t="s">
        <v>1417</v>
      </c>
      <c r="P632" t="s">
        <v>1800</v>
      </c>
      <c r="Q632" t="s">
        <v>1270</v>
      </c>
      <c r="R632">
        <v>98199</v>
      </c>
      <c r="S632" t="s">
        <v>1796</v>
      </c>
      <c r="T632" t="s">
        <v>1194</v>
      </c>
      <c r="U632">
        <v>0</v>
      </c>
      <c r="V632">
        <v>53</v>
      </c>
      <c r="W632" t="s">
        <v>1194</v>
      </c>
      <c r="X632" t="s">
        <v>973</v>
      </c>
      <c r="Y632">
        <v>10000</v>
      </c>
      <c r="Z632" s="2" t="s">
        <v>1194</v>
      </c>
      <c r="AA632" s="2" t="s">
        <v>1238</v>
      </c>
      <c r="AB632" t="s">
        <v>1238</v>
      </c>
      <c r="AC632" t="s">
        <v>1194</v>
      </c>
      <c r="AD632" t="s">
        <v>1279</v>
      </c>
      <c r="AE632">
        <v>2</v>
      </c>
      <c r="AF632" t="s">
        <v>1194</v>
      </c>
      <c r="AG632">
        <v>0</v>
      </c>
      <c r="AH632">
        <v>0</v>
      </c>
      <c r="AI632">
        <v>0</v>
      </c>
      <c r="AJ632">
        <v>1942</v>
      </c>
      <c r="AK632">
        <v>2012</v>
      </c>
      <c r="AL632">
        <v>2012</v>
      </c>
      <c r="AM632" s="4" t="s">
        <v>1238</v>
      </c>
      <c r="AN632">
        <v>0</v>
      </c>
      <c r="AO632" t="s">
        <v>1315</v>
      </c>
      <c r="AP632">
        <f t="shared" si="18"/>
        <v>0</v>
      </c>
      <c r="AQ632">
        <v>0</v>
      </c>
      <c r="AR632" t="s">
        <v>1993</v>
      </c>
      <c r="AS632" t="s">
        <v>1996</v>
      </c>
      <c r="AT632" t="s">
        <v>1996</v>
      </c>
      <c r="AU632" t="s">
        <v>1995</v>
      </c>
      <c r="AV632" t="s">
        <v>1995</v>
      </c>
      <c r="AW632" t="s">
        <v>1996</v>
      </c>
      <c r="AX632" t="s">
        <v>1194</v>
      </c>
      <c r="AY632" t="s">
        <v>1996</v>
      </c>
      <c r="AZ632">
        <v>3660</v>
      </c>
      <c r="BA632" t="s">
        <v>1194</v>
      </c>
      <c r="BB632" t="s">
        <v>2014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6759.34</v>
      </c>
      <c r="BK632" s="3">
        <v>-15</v>
      </c>
      <c r="BL632" s="3">
        <v>6744.34</v>
      </c>
      <c r="BM632" s="2">
        <f t="shared" ca="1" si="19"/>
        <v>3</v>
      </c>
      <c r="BN632" s="3">
        <v>250000</v>
      </c>
      <c r="BO632" s="3">
        <v>500000</v>
      </c>
      <c r="BP632" s="3">
        <v>200000</v>
      </c>
      <c r="BQ632" s="3">
        <v>100000</v>
      </c>
      <c r="BR632" s="3">
        <v>250000</v>
      </c>
      <c r="BS632">
        <v>50000</v>
      </c>
      <c r="BT632">
        <v>0</v>
      </c>
      <c r="BU632">
        <v>0</v>
      </c>
      <c r="BV632">
        <v>0</v>
      </c>
      <c r="BW632">
        <v>1</v>
      </c>
      <c r="BX632">
        <v>1</v>
      </c>
      <c r="BY632">
        <v>0</v>
      </c>
      <c r="BZ632" t="s">
        <v>2949</v>
      </c>
      <c r="CA632" t="s">
        <v>1194</v>
      </c>
      <c r="CB632" t="s">
        <v>2949</v>
      </c>
    </row>
    <row r="633" spans="1:80" x14ac:dyDescent="0.25">
      <c r="A633">
        <v>632</v>
      </c>
      <c r="B633" t="s">
        <v>2646</v>
      </c>
      <c r="C633" s="1">
        <v>44867</v>
      </c>
      <c r="D633">
        <v>12</v>
      </c>
      <c r="E633" t="s">
        <v>4</v>
      </c>
      <c r="F633" t="s">
        <v>1311</v>
      </c>
      <c r="G633">
        <v>1</v>
      </c>
      <c r="H633" s="3">
        <v>9265000</v>
      </c>
      <c r="I633" s="3">
        <v>602368</v>
      </c>
      <c r="J633" s="3">
        <v>1324902</v>
      </c>
      <c r="K633" s="3">
        <v>0</v>
      </c>
      <c r="L633" t="s">
        <v>1191</v>
      </c>
      <c r="M633">
        <v>679120</v>
      </c>
      <c r="N633" t="s">
        <v>1418</v>
      </c>
      <c r="P633" t="s">
        <v>1801</v>
      </c>
      <c r="Q633" t="s">
        <v>1264</v>
      </c>
      <c r="R633">
        <v>2891</v>
      </c>
      <c r="S633" t="s">
        <v>1716</v>
      </c>
      <c r="T633" t="s">
        <v>979</v>
      </c>
      <c r="U633">
        <v>0</v>
      </c>
      <c r="V633">
        <v>6</v>
      </c>
      <c r="W633" t="s">
        <v>1194</v>
      </c>
      <c r="X633" t="s">
        <v>973</v>
      </c>
      <c r="Y633">
        <v>50000</v>
      </c>
      <c r="Z633" s="2">
        <v>5</v>
      </c>
      <c r="AA633" s="2" t="s">
        <v>1238</v>
      </c>
      <c r="AB633" t="s">
        <v>1238</v>
      </c>
      <c r="AC633">
        <v>768</v>
      </c>
      <c r="AD633" t="s">
        <v>1279</v>
      </c>
      <c r="AE633">
        <v>2</v>
      </c>
      <c r="AF633" t="s">
        <v>1290</v>
      </c>
      <c r="AG633">
        <v>0</v>
      </c>
      <c r="AH633">
        <v>0</v>
      </c>
      <c r="AI633">
        <v>0</v>
      </c>
      <c r="AJ633">
        <v>1899</v>
      </c>
      <c r="AK633" t="s">
        <v>1194</v>
      </c>
      <c r="AL633">
        <v>2000</v>
      </c>
      <c r="AM633" s="4" t="s">
        <v>1238</v>
      </c>
      <c r="AN633">
        <v>0</v>
      </c>
      <c r="AO633" t="s">
        <v>1317</v>
      </c>
      <c r="AP633">
        <f t="shared" si="18"/>
        <v>0</v>
      </c>
      <c r="AQ633">
        <v>0</v>
      </c>
      <c r="AR633" t="s">
        <v>1993</v>
      </c>
      <c r="AS633" t="s">
        <v>1996</v>
      </c>
      <c r="AT633" t="s">
        <v>1996</v>
      </c>
      <c r="AU633" t="s">
        <v>1996</v>
      </c>
      <c r="AV633" t="s">
        <v>1995</v>
      </c>
      <c r="AW633" t="s">
        <v>1996</v>
      </c>
      <c r="AX633" t="s">
        <v>2003</v>
      </c>
      <c r="AY633" t="s">
        <v>1996</v>
      </c>
      <c r="AZ633">
        <v>6543</v>
      </c>
      <c r="BA633" t="s">
        <v>1194</v>
      </c>
      <c r="BB633" t="s">
        <v>1194</v>
      </c>
      <c r="BC633" s="3">
        <v>0</v>
      </c>
      <c r="BD633" s="3">
        <v>10177.14</v>
      </c>
      <c r="BE633" s="3">
        <v>0</v>
      </c>
      <c r="BF633" s="3">
        <v>0</v>
      </c>
      <c r="BG633" s="3">
        <v>130</v>
      </c>
      <c r="BH633" s="3">
        <v>0</v>
      </c>
      <c r="BI633" s="3">
        <v>0</v>
      </c>
      <c r="BJ633" s="3">
        <v>46777.38</v>
      </c>
      <c r="BK633" s="3">
        <v>135</v>
      </c>
      <c r="BL633" s="3">
        <v>46912.38</v>
      </c>
      <c r="BM633" s="2">
        <f t="shared" ca="1" si="19"/>
        <v>6</v>
      </c>
      <c r="BN633" s="3">
        <v>50000</v>
      </c>
      <c r="BO633" s="3">
        <v>100000</v>
      </c>
      <c r="BP633" s="3">
        <v>50000</v>
      </c>
      <c r="BQ633" s="3">
        <v>50000</v>
      </c>
      <c r="BR633" s="3">
        <v>250000</v>
      </c>
      <c r="BS633">
        <v>2000000</v>
      </c>
      <c r="BT633">
        <v>0</v>
      </c>
      <c r="BU633">
        <v>0</v>
      </c>
      <c r="BV633">
        <v>0</v>
      </c>
      <c r="BW633">
        <v>1</v>
      </c>
      <c r="BX633">
        <v>1</v>
      </c>
      <c r="BY633">
        <v>0</v>
      </c>
      <c r="BZ633" t="s">
        <v>2949</v>
      </c>
      <c r="CA633" t="s">
        <v>1194</v>
      </c>
      <c r="CB633" t="s">
        <v>2941</v>
      </c>
    </row>
    <row r="634" spans="1:80" x14ac:dyDescent="0.25">
      <c r="A634">
        <v>633</v>
      </c>
      <c r="B634" t="s">
        <v>2647</v>
      </c>
      <c r="C634" s="1">
        <v>44727</v>
      </c>
      <c r="D634">
        <v>12</v>
      </c>
      <c r="E634" t="s">
        <v>4</v>
      </c>
      <c r="F634" t="s">
        <v>1311</v>
      </c>
      <c r="G634">
        <v>0</v>
      </c>
      <c r="H634" s="3">
        <v>523718</v>
      </c>
      <c r="I634" s="3">
        <v>87200</v>
      </c>
      <c r="J634" s="3">
        <v>218000</v>
      </c>
      <c r="K634" s="3">
        <v>0</v>
      </c>
      <c r="L634" t="s">
        <v>1191</v>
      </c>
      <c r="M634">
        <v>1710586</v>
      </c>
      <c r="N634" t="s">
        <v>1419</v>
      </c>
      <c r="P634" t="s">
        <v>444</v>
      </c>
      <c r="Q634" t="s">
        <v>1273</v>
      </c>
      <c r="R634">
        <v>82331</v>
      </c>
      <c r="S634" t="s">
        <v>1802</v>
      </c>
      <c r="T634" t="s">
        <v>965</v>
      </c>
      <c r="U634">
        <v>0</v>
      </c>
      <c r="V634">
        <v>1</v>
      </c>
      <c r="W634" t="s">
        <v>1194</v>
      </c>
      <c r="X634" t="s">
        <v>973</v>
      </c>
      <c r="Y634">
        <v>10000</v>
      </c>
      <c r="Z634" s="2" t="s">
        <v>1194</v>
      </c>
      <c r="AA634" s="2">
        <v>1</v>
      </c>
      <c r="AB634">
        <v>0.01</v>
      </c>
      <c r="AC634">
        <v>873</v>
      </c>
      <c r="AD634" t="s">
        <v>1279</v>
      </c>
      <c r="AE634">
        <v>7</v>
      </c>
      <c r="AF634" t="s">
        <v>1290</v>
      </c>
      <c r="AG634">
        <v>0</v>
      </c>
      <c r="AH634">
        <v>0</v>
      </c>
      <c r="AI634">
        <v>0</v>
      </c>
      <c r="AJ634">
        <v>1964</v>
      </c>
      <c r="AK634" t="s">
        <v>1194</v>
      </c>
      <c r="AL634" t="s">
        <v>1194</v>
      </c>
      <c r="AM634" s="4" t="s">
        <v>1238</v>
      </c>
      <c r="AN634">
        <v>0</v>
      </c>
      <c r="AO634" t="s">
        <v>1316</v>
      </c>
      <c r="AP634">
        <f t="shared" si="18"/>
        <v>0</v>
      </c>
      <c r="AQ634">
        <v>1</v>
      </c>
      <c r="AR634" t="s">
        <v>1992</v>
      </c>
      <c r="AS634" t="s">
        <v>1996</v>
      </c>
      <c r="AT634" t="s">
        <v>1995</v>
      </c>
      <c r="AU634" t="s">
        <v>1995</v>
      </c>
      <c r="AV634" t="s">
        <v>1995</v>
      </c>
      <c r="AW634" t="s">
        <v>1995</v>
      </c>
      <c r="AX634" t="s">
        <v>1194</v>
      </c>
      <c r="AY634" t="s">
        <v>1996</v>
      </c>
      <c r="AZ634">
        <v>1416</v>
      </c>
      <c r="BA634">
        <v>3</v>
      </c>
      <c r="BB634" t="s">
        <v>2014</v>
      </c>
      <c r="BC634" s="3">
        <v>0</v>
      </c>
      <c r="BD634" s="3">
        <v>79.78</v>
      </c>
      <c r="BE634" s="3">
        <v>0</v>
      </c>
      <c r="BF634" s="3">
        <v>79.78</v>
      </c>
      <c r="BG634" s="3">
        <v>175</v>
      </c>
      <c r="BH634" s="3">
        <v>0</v>
      </c>
      <c r="BI634" s="3">
        <v>0</v>
      </c>
      <c r="BJ634" s="3">
        <v>2342.6999999999998</v>
      </c>
      <c r="BK634" s="3">
        <v>35</v>
      </c>
      <c r="BL634" s="3">
        <v>2377.6999999999998</v>
      </c>
      <c r="BM634" s="2">
        <f t="shared" ca="1" si="19"/>
        <v>1</v>
      </c>
      <c r="BN634" s="3">
        <v>250000</v>
      </c>
      <c r="BO634" s="3">
        <v>25000</v>
      </c>
      <c r="BP634" s="3" t="s">
        <v>2922</v>
      </c>
      <c r="BQ634" s="3">
        <v>50000</v>
      </c>
      <c r="BR634" s="3">
        <v>500000</v>
      </c>
      <c r="BS634">
        <v>500000</v>
      </c>
      <c r="BT634">
        <v>0</v>
      </c>
      <c r="BU634">
        <v>0</v>
      </c>
      <c r="BV634">
        <v>0</v>
      </c>
      <c r="BW634">
        <v>1</v>
      </c>
      <c r="BX634">
        <v>1</v>
      </c>
      <c r="BY634">
        <v>0</v>
      </c>
      <c r="BZ634" t="s">
        <v>2958</v>
      </c>
      <c r="CA634" t="s">
        <v>1194</v>
      </c>
      <c r="CB634" t="s">
        <v>2941</v>
      </c>
    </row>
    <row r="635" spans="1:80" x14ac:dyDescent="0.25">
      <c r="A635">
        <v>634</v>
      </c>
      <c r="B635" t="s">
        <v>2648</v>
      </c>
      <c r="C635" s="1">
        <v>44897</v>
      </c>
      <c r="D635">
        <v>12</v>
      </c>
      <c r="E635" t="s">
        <v>4</v>
      </c>
      <c r="F635" t="s">
        <v>1311</v>
      </c>
      <c r="G635">
        <v>1</v>
      </c>
      <c r="H635" s="3">
        <v>20699100</v>
      </c>
      <c r="I635" s="3">
        <v>2069910</v>
      </c>
      <c r="J635" s="3">
        <v>0</v>
      </c>
      <c r="K635" s="3">
        <v>0</v>
      </c>
      <c r="L635" t="s">
        <v>1191</v>
      </c>
      <c r="M635">
        <v>1556118</v>
      </c>
      <c r="N635" t="s">
        <v>1420</v>
      </c>
      <c r="P635" t="s">
        <v>1803</v>
      </c>
      <c r="Q635" t="s">
        <v>1243</v>
      </c>
      <c r="R635">
        <v>96740</v>
      </c>
      <c r="S635" t="s">
        <v>1804</v>
      </c>
      <c r="T635" t="s">
        <v>1988</v>
      </c>
      <c r="U635">
        <v>0</v>
      </c>
      <c r="V635">
        <v>1</v>
      </c>
      <c r="W635" t="s">
        <v>1194</v>
      </c>
      <c r="X635" t="s">
        <v>973</v>
      </c>
      <c r="Y635">
        <v>50000</v>
      </c>
      <c r="Z635" s="2" t="s">
        <v>1194</v>
      </c>
      <c r="AA635" s="2" t="s">
        <v>1238</v>
      </c>
      <c r="AB635" t="s">
        <v>1238</v>
      </c>
      <c r="AC635" t="s">
        <v>1194</v>
      </c>
      <c r="AD635" t="s">
        <v>1279</v>
      </c>
      <c r="AE635" t="s">
        <v>1288</v>
      </c>
      <c r="AF635" t="s">
        <v>1290</v>
      </c>
      <c r="AG635">
        <v>0</v>
      </c>
      <c r="AH635">
        <v>0</v>
      </c>
      <c r="AI635">
        <v>0</v>
      </c>
      <c r="AJ635">
        <v>2020</v>
      </c>
      <c r="AK635" t="s">
        <v>1194</v>
      </c>
      <c r="AL635" t="s">
        <v>1194</v>
      </c>
      <c r="AM635" s="4" t="s">
        <v>1238</v>
      </c>
      <c r="AN635">
        <v>1</v>
      </c>
      <c r="AO635" t="s">
        <v>1315</v>
      </c>
      <c r="AP635">
        <f t="shared" si="18"/>
        <v>0</v>
      </c>
      <c r="AQ635">
        <v>1</v>
      </c>
      <c r="AR635" t="s">
        <v>1992</v>
      </c>
      <c r="AS635" t="s">
        <v>1995</v>
      </c>
      <c r="AT635" t="s">
        <v>1995</v>
      </c>
      <c r="AU635" t="s">
        <v>1996</v>
      </c>
      <c r="AV635" t="s">
        <v>1996</v>
      </c>
      <c r="AW635" t="s">
        <v>1996</v>
      </c>
      <c r="AX635" t="s">
        <v>2003</v>
      </c>
      <c r="AY635" t="s">
        <v>1996</v>
      </c>
      <c r="AZ635">
        <v>7400</v>
      </c>
      <c r="BA635" t="s">
        <v>1194</v>
      </c>
      <c r="BB635" t="s">
        <v>1194</v>
      </c>
      <c r="BC635" s="3">
        <v>0</v>
      </c>
      <c r="BD635" s="3">
        <v>0</v>
      </c>
      <c r="BE635" s="3">
        <v>0</v>
      </c>
      <c r="BF635" s="3">
        <v>0</v>
      </c>
      <c r="BG635" s="3">
        <v>210</v>
      </c>
      <c r="BH635" s="3">
        <v>0</v>
      </c>
      <c r="BI635" s="3">
        <v>0</v>
      </c>
      <c r="BJ635" s="3">
        <v>48584.46</v>
      </c>
      <c r="BK635" s="3">
        <v>-15</v>
      </c>
      <c r="BL635" s="3">
        <v>48569.46</v>
      </c>
      <c r="BM635" s="2">
        <f t="shared" ca="1" si="19"/>
        <v>1</v>
      </c>
      <c r="BN635" s="3">
        <v>250000</v>
      </c>
      <c r="BO635" s="3">
        <v>1000000</v>
      </c>
      <c r="BP635" s="3">
        <v>200000</v>
      </c>
      <c r="BQ635" s="3">
        <v>500000</v>
      </c>
      <c r="BR635" s="3">
        <v>50000</v>
      </c>
      <c r="BS635">
        <v>50000</v>
      </c>
      <c r="BT635">
        <v>0</v>
      </c>
      <c r="BU635">
        <v>0</v>
      </c>
      <c r="BV635">
        <v>0</v>
      </c>
      <c r="BW635">
        <v>1</v>
      </c>
      <c r="BX635">
        <v>1</v>
      </c>
      <c r="BY635">
        <v>0</v>
      </c>
      <c r="BZ635" t="s">
        <v>2963</v>
      </c>
      <c r="CA635" t="s">
        <v>1194</v>
      </c>
      <c r="CB635" t="s">
        <v>2941</v>
      </c>
    </row>
    <row r="636" spans="1:80" x14ac:dyDescent="0.25">
      <c r="A636">
        <v>635</v>
      </c>
      <c r="B636" t="s">
        <v>2649</v>
      </c>
      <c r="C636" s="1">
        <v>44686</v>
      </c>
      <c r="D636">
        <v>12</v>
      </c>
      <c r="E636" t="s">
        <v>4</v>
      </c>
      <c r="F636" t="s">
        <v>1311</v>
      </c>
      <c r="G636">
        <v>0</v>
      </c>
      <c r="H636" s="3">
        <v>2400000</v>
      </c>
      <c r="I636" s="3">
        <v>480000</v>
      </c>
      <c r="J636" s="3">
        <v>1200000</v>
      </c>
      <c r="K636" s="3">
        <v>480000</v>
      </c>
      <c r="L636" t="s">
        <v>1191</v>
      </c>
      <c r="M636">
        <v>1732504</v>
      </c>
      <c r="N636" t="s">
        <v>1421</v>
      </c>
      <c r="P636" t="s">
        <v>1805</v>
      </c>
      <c r="Q636" t="s">
        <v>1237</v>
      </c>
      <c r="R636">
        <v>85142</v>
      </c>
      <c r="S636" t="s">
        <v>1705</v>
      </c>
      <c r="T636" t="s">
        <v>965</v>
      </c>
      <c r="U636">
        <v>0</v>
      </c>
      <c r="V636">
        <v>4</v>
      </c>
      <c r="W636" t="s">
        <v>1194</v>
      </c>
      <c r="X636" t="s">
        <v>973</v>
      </c>
      <c r="Y636">
        <v>10000</v>
      </c>
      <c r="Z636" s="2" t="s">
        <v>1194</v>
      </c>
      <c r="AA636" s="2" t="s">
        <v>1238</v>
      </c>
      <c r="AB636" t="s">
        <v>1238</v>
      </c>
      <c r="AC636">
        <v>873</v>
      </c>
      <c r="AD636" t="s">
        <v>1279</v>
      </c>
      <c r="AE636">
        <v>2</v>
      </c>
      <c r="AF636" t="s">
        <v>1290</v>
      </c>
      <c r="AG636">
        <v>0</v>
      </c>
      <c r="AH636">
        <v>0</v>
      </c>
      <c r="AI636">
        <v>0</v>
      </c>
      <c r="AJ636">
        <v>2013</v>
      </c>
      <c r="AK636" t="s">
        <v>1194</v>
      </c>
      <c r="AL636" t="s">
        <v>1194</v>
      </c>
      <c r="AM636" s="4" t="s">
        <v>1238</v>
      </c>
      <c r="AN636">
        <v>1</v>
      </c>
      <c r="AO636" t="s">
        <v>1317</v>
      </c>
      <c r="AP636">
        <f t="shared" si="18"/>
        <v>0</v>
      </c>
      <c r="AQ636">
        <v>0</v>
      </c>
      <c r="AR636" t="s">
        <v>1993</v>
      </c>
      <c r="AS636" t="s">
        <v>1995</v>
      </c>
      <c r="AT636" t="s">
        <v>1996</v>
      </c>
      <c r="AU636" t="s">
        <v>1996</v>
      </c>
      <c r="AV636" t="s">
        <v>1995</v>
      </c>
      <c r="AW636" t="s">
        <v>1995</v>
      </c>
      <c r="AX636" t="s">
        <v>1194</v>
      </c>
      <c r="AY636" t="s">
        <v>1996</v>
      </c>
      <c r="AZ636">
        <v>5737</v>
      </c>
      <c r="BA636" t="s">
        <v>1194</v>
      </c>
      <c r="BB636" t="s">
        <v>2014</v>
      </c>
      <c r="BC636" s="3">
        <v>0</v>
      </c>
      <c r="BD636" s="3">
        <v>0</v>
      </c>
      <c r="BE636" s="3">
        <v>0</v>
      </c>
      <c r="BF636" s="3">
        <v>0</v>
      </c>
      <c r="BG636" s="3">
        <v>175</v>
      </c>
      <c r="BH636" s="3">
        <v>0</v>
      </c>
      <c r="BI636" s="3">
        <v>0</v>
      </c>
      <c r="BJ636" s="3">
        <v>8822.5300000000007</v>
      </c>
      <c r="BK636" s="3">
        <v>0</v>
      </c>
      <c r="BL636" s="3">
        <v>8823</v>
      </c>
      <c r="BM636" s="2">
        <f t="shared" ca="1" si="19"/>
        <v>1</v>
      </c>
      <c r="BN636" s="3">
        <v>50000</v>
      </c>
      <c r="BO636" s="3">
        <v>100000</v>
      </c>
      <c r="BP636" s="3">
        <v>100000</v>
      </c>
      <c r="BQ636" s="3">
        <v>500000</v>
      </c>
      <c r="BR636" s="3">
        <v>250000</v>
      </c>
      <c r="BS636">
        <v>1000000</v>
      </c>
      <c r="BT636">
        <v>0</v>
      </c>
      <c r="BU636">
        <v>0</v>
      </c>
      <c r="BV636">
        <v>0</v>
      </c>
      <c r="BW636">
        <v>1</v>
      </c>
      <c r="BX636">
        <v>1</v>
      </c>
      <c r="BY636">
        <v>0</v>
      </c>
      <c r="BZ636" t="s">
        <v>2961</v>
      </c>
      <c r="CA636" t="s">
        <v>1194</v>
      </c>
      <c r="CB636" t="s">
        <v>2949</v>
      </c>
    </row>
    <row r="637" spans="1:80" x14ac:dyDescent="0.25">
      <c r="A637">
        <v>636</v>
      </c>
      <c r="B637" t="s">
        <v>2650</v>
      </c>
      <c r="C637" s="1">
        <v>44764</v>
      </c>
      <c r="D637">
        <v>12</v>
      </c>
      <c r="E637" t="s">
        <v>5</v>
      </c>
      <c r="F637" t="s">
        <v>1310</v>
      </c>
      <c r="G637">
        <v>0</v>
      </c>
      <c r="H637" s="3">
        <v>2211610</v>
      </c>
      <c r="I637" s="3">
        <v>509140</v>
      </c>
      <c r="J637" s="3">
        <v>800000</v>
      </c>
      <c r="K637" s="3">
        <v>442322</v>
      </c>
      <c r="L637" t="s">
        <v>1191</v>
      </c>
      <c r="M637">
        <v>1652015</v>
      </c>
      <c r="N637" t="s">
        <v>1422</v>
      </c>
      <c r="P637" t="s">
        <v>1801</v>
      </c>
      <c r="Q637" t="s">
        <v>1264</v>
      </c>
      <c r="R637">
        <v>2891</v>
      </c>
      <c r="S637" t="s">
        <v>1716</v>
      </c>
      <c r="T637" t="s">
        <v>979</v>
      </c>
      <c r="U637">
        <v>0</v>
      </c>
      <c r="V637">
        <v>6</v>
      </c>
      <c r="W637" t="s">
        <v>1194</v>
      </c>
      <c r="X637" t="s">
        <v>973</v>
      </c>
      <c r="Y637">
        <v>50000</v>
      </c>
      <c r="Z637" s="2" t="s">
        <v>1194</v>
      </c>
      <c r="AA637" s="2" t="s">
        <v>1238</v>
      </c>
      <c r="AB637" t="s">
        <v>1238</v>
      </c>
      <c r="AC637">
        <v>753</v>
      </c>
      <c r="AD637" t="s">
        <v>1279</v>
      </c>
      <c r="AE637">
        <v>2</v>
      </c>
      <c r="AF637" t="s">
        <v>1290</v>
      </c>
      <c r="AG637">
        <v>0</v>
      </c>
      <c r="AH637">
        <v>0</v>
      </c>
      <c r="AI637">
        <v>0</v>
      </c>
      <c r="AJ637">
        <v>1911</v>
      </c>
      <c r="AK637">
        <v>2022</v>
      </c>
      <c r="AL637">
        <v>2022</v>
      </c>
      <c r="AM637" s="4" t="s">
        <v>1304</v>
      </c>
      <c r="AN637">
        <v>0</v>
      </c>
      <c r="AO637" t="s">
        <v>1316</v>
      </c>
      <c r="AP637">
        <f t="shared" si="18"/>
        <v>0</v>
      </c>
      <c r="AQ637">
        <v>0</v>
      </c>
      <c r="AR637" t="s">
        <v>1993</v>
      </c>
      <c r="AS637" t="s">
        <v>1995</v>
      </c>
      <c r="AT637" t="s">
        <v>1996</v>
      </c>
      <c r="AU637" t="s">
        <v>1996</v>
      </c>
      <c r="AV637" t="s">
        <v>1996</v>
      </c>
      <c r="AW637" t="s">
        <v>1996</v>
      </c>
      <c r="AX637" t="s">
        <v>2003</v>
      </c>
      <c r="AY637" t="s">
        <v>1996</v>
      </c>
      <c r="AZ637">
        <v>3203</v>
      </c>
      <c r="BA637" t="s">
        <v>1194</v>
      </c>
      <c r="BB637" t="s">
        <v>1194</v>
      </c>
      <c r="BC637" s="3">
        <v>0</v>
      </c>
      <c r="BD637" s="3">
        <v>3043.14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5943.08</v>
      </c>
      <c r="BK637" s="3">
        <v>360</v>
      </c>
      <c r="BL637" s="3">
        <v>6303.08</v>
      </c>
      <c r="BM637" s="2">
        <f t="shared" ca="1" si="19"/>
        <v>4</v>
      </c>
      <c r="BN637" s="3">
        <v>1000000</v>
      </c>
      <c r="BO637" s="3">
        <v>250000</v>
      </c>
      <c r="BP637" s="3" t="s">
        <v>2922</v>
      </c>
      <c r="BQ637" s="3">
        <v>100000</v>
      </c>
      <c r="BR637" s="3">
        <v>250000</v>
      </c>
      <c r="BS637">
        <v>1000000</v>
      </c>
      <c r="BT637">
        <v>0</v>
      </c>
      <c r="BU637">
        <v>0</v>
      </c>
      <c r="BV637">
        <v>0</v>
      </c>
      <c r="BW637">
        <v>1</v>
      </c>
      <c r="BX637">
        <v>1</v>
      </c>
      <c r="BY637">
        <v>0</v>
      </c>
      <c r="BZ637" t="s">
        <v>2949</v>
      </c>
      <c r="CA637" t="s">
        <v>1194</v>
      </c>
      <c r="CB637" t="s">
        <v>2941</v>
      </c>
    </row>
    <row r="638" spans="1:80" x14ac:dyDescent="0.25">
      <c r="A638">
        <v>637</v>
      </c>
      <c r="B638" t="s">
        <v>2651</v>
      </c>
      <c r="C638" s="1">
        <v>44663</v>
      </c>
      <c r="D638">
        <v>36</v>
      </c>
      <c r="E638" t="s">
        <v>4</v>
      </c>
      <c r="F638" t="s">
        <v>1311</v>
      </c>
      <c r="G638">
        <v>1</v>
      </c>
      <c r="H638" s="3">
        <v>1200000</v>
      </c>
      <c r="I638" s="3">
        <v>240000</v>
      </c>
      <c r="J638" s="3">
        <v>600000</v>
      </c>
      <c r="K638" s="3">
        <v>0</v>
      </c>
      <c r="L638" t="s">
        <v>1191</v>
      </c>
      <c r="M638">
        <v>1169565</v>
      </c>
      <c r="N638" t="s">
        <v>1423</v>
      </c>
      <c r="P638" t="s">
        <v>1806</v>
      </c>
      <c r="Q638" t="s">
        <v>1254</v>
      </c>
      <c r="R638">
        <v>63390</v>
      </c>
      <c r="S638" t="s">
        <v>1761</v>
      </c>
      <c r="T638" t="s">
        <v>965</v>
      </c>
      <c r="U638">
        <v>0</v>
      </c>
      <c r="V638">
        <v>2</v>
      </c>
      <c r="W638" t="s">
        <v>1194</v>
      </c>
      <c r="X638" t="s">
        <v>973</v>
      </c>
      <c r="Y638">
        <v>10000</v>
      </c>
      <c r="Z638" s="2" t="s">
        <v>1194</v>
      </c>
      <c r="AA638" s="2">
        <v>1</v>
      </c>
      <c r="AB638">
        <v>2500</v>
      </c>
      <c r="AC638">
        <v>879</v>
      </c>
      <c r="AD638" t="s">
        <v>1279</v>
      </c>
      <c r="AE638">
        <v>4</v>
      </c>
      <c r="AF638" t="s">
        <v>1290</v>
      </c>
      <c r="AG638">
        <v>0</v>
      </c>
      <c r="AH638">
        <v>0</v>
      </c>
      <c r="AI638">
        <v>0</v>
      </c>
      <c r="AJ638">
        <v>2022</v>
      </c>
      <c r="AK638" t="s">
        <v>1194</v>
      </c>
      <c r="AL638">
        <v>2022</v>
      </c>
      <c r="AM638" s="4" t="s">
        <v>1238</v>
      </c>
      <c r="AN638">
        <v>0</v>
      </c>
      <c r="AO638" t="s">
        <v>1316</v>
      </c>
      <c r="AP638">
        <f t="shared" si="18"/>
        <v>0</v>
      </c>
      <c r="AQ638">
        <v>1</v>
      </c>
      <c r="AR638" t="s">
        <v>1992</v>
      </c>
      <c r="AS638" t="s">
        <v>1995</v>
      </c>
      <c r="AT638" t="s">
        <v>1995</v>
      </c>
      <c r="AU638" t="s">
        <v>1995</v>
      </c>
      <c r="AV638" t="s">
        <v>1996</v>
      </c>
      <c r="AW638" t="s">
        <v>1995</v>
      </c>
      <c r="AX638" t="s">
        <v>1194</v>
      </c>
      <c r="AY638" t="s">
        <v>1996</v>
      </c>
      <c r="AZ638">
        <v>2500</v>
      </c>
      <c r="BA638" t="s">
        <v>1194</v>
      </c>
      <c r="BB638" t="s">
        <v>1194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2165.48</v>
      </c>
      <c r="BK638" s="3">
        <v>427.25</v>
      </c>
      <c r="BL638" s="3">
        <v>2592.73</v>
      </c>
      <c r="BM638" s="2">
        <f t="shared" ca="1" si="19"/>
        <v>5</v>
      </c>
      <c r="BN638" s="3">
        <v>50000</v>
      </c>
      <c r="BO638" s="3">
        <v>25000</v>
      </c>
      <c r="BP638" s="3">
        <v>50000</v>
      </c>
      <c r="BQ638" s="3">
        <v>250000</v>
      </c>
      <c r="BR638" s="3">
        <v>100000</v>
      </c>
      <c r="BS638">
        <v>50000</v>
      </c>
      <c r="BT638">
        <v>0</v>
      </c>
      <c r="BU638">
        <v>1</v>
      </c>
      <c r="BV638">
        <v>0</v>
      </c>
      <c r="BW638">
        <v>1</v>
      </c>
      <c r="BX638">
        <v>1</v>
      </c>
      <c r="BY638">
        <v>0</v>
      </c>
      <c r="BZ638" t="s">
        <v>2958</v>
      </c>
      <c r="CA638" t="s">
        <v>1194</v>
      </c>
      <c r="CB638" t="s">
        <v>2945</v>
      </c>
    </row>
    <row r="639" spans="1:80" x14ac:dyDescent="0.25">
      <c r="A639">
        <v>638</v>
      </c>
      <c r="B639" t="s">
        <v>2652</v>
      </c>
      <c r="C639" s="1">
        <v>44658</v>
      </c>
      <c r="D639">
        <v>12</v>
      </c>
      <c r="E639" t="s">
        <v>5</v>
      </c>
      <c r="F639" t="s">
        <v>1310</v>
      </c>
      <c r="G639">
        <v>1</v>
      </c>
      <c r="H639" s="3">
        <v>995000</v>
      </c>
      <c r="I639" s="3">
        <v>75000</v>
      </c>
      <c r="J639" s="3">
        <v>497500</v>
      </c>
      <c r="K639" s="3">
        <v>199000</v>
      </c>
      <c r="L639" t="s">
        <v>1191</v>
      </c>
      <c r="M639">
        <v>611269</v>
      </c>
      <c r="N639" t="s">
        <v>1424</v>
      </c>
      <c r="P639" t="s">
        <v>1807</v>
      </c>
      <c r="Q639" t="s">
        <v>1246</v>
      </c>
      <c r="R639">
        <v>60004</v>
      </c>
      <c r="S639" t="s">
        <v>1734</v>
      </c>
      <c r="T639" t="s">
        <v>965</v>
      </c>
      <c r="U639">
        <v>0</v>
      </c>
      <c r="V639">
        <v>7</v>
      </c>
      <c r="W639" t="s">
        <v>1194</v>
      </c>
      <c r="X639" t="s">
        <v>973</v>
      </c>
      <c r="Y639">
        <v>10000</v>
      </c>
      <c r="Z639" s="2" t="s">
        <v>1194</v>
      </c>
      <c r="AA639" s="2">
        <v>0</v>
      </c>
      <c r="AB639" t="s">
        <v>1238</v>
      </c>
      <c r="AC639">
        <v>797</v>
      </c>
      <c r="AD639" t="s">
        <v>1284</v>
      </c>
      <c r="AE639">
        <v>2</v>
      </c>
      <c r="AF639" t="s">
        <v>1290</v>
      </c>
      <c r="AG639">
        <v>0</v>
      </c>
      <c r="AH639">
        <v>0</v>
      </c>
      <c r="AI639">
        <v>0</v>
      </c>
      <c r="AJ639">
        <v>1966</v>
      </c>
      <c r="AK639">
        <v>2011</v>
      </c>
      <c r="AL639">
        <v>2010</v>
      </c>
      <c r="AM639" s="4" t="s">
        <v>1305</v>
      </c>
      <c r="AN639">
        <v>0</v>
      </c>
      <c r="AO639" t="s">
        <v>1315</v>
      </c>
      <c r="AP639">
        <f t="shared" si="18"/>
        <v>0</v>
      </c>
      <c r="AQ639">
        <v>0</v>
      </c>
      <c r="AR639" t="s">
        <v>1993</v>
      </c>
      <c r="AS639" t="s">
        <v>1995</v>
      </c>
      <c r="AT639" t="s">
        <v>1996</v>
      </c>
      <c r="AU639" t="s">
        <v>1996</v>
      </c>
      <c r="AV639" t="s">
        <v>1995</v>
      </c>
      <c r="AW639" t="s">
        <v>1995</v>
      </c>
      <c r="AX639" t="s">
        <v>1194</v>
      </c>
      <c r="AY639" t="s">
        <v>1996</v>
      </c>
      <c r="AZ639">
        <v>2532</v>
      </c>
      <c r="BA639" t="s">
        <v>1194</v>
      </c>
      <c r="BB639" t="s">
        <v>1194</v>
      </c>
      <c r="BC639" s="3">
        <v>0</v>
      </c>
      <c r="BD639" s="3">
        <v>0</v>
      </c>
      <c r="BE639" s="3">
        <v>0</v>
      </c>
      <c r="BF639" s="3">
        <v>0</v>
      </c>
      <c r="BG639" s="3">
        <v>175</v>
      </c>
      <c r="BH639" s="3">
        <v>0</v>
      </c>
      <c r="BI639" s="3">
        <v>0</v>
      </c>
      <c r="BJ639" s="3">
        <v>2487.79</v>
      </c>
      <c r="BK639" s="3">
        <v>0</v>
      </c>
      <c r="BL639" s="3">
        <v>2487.79</v>
      </c>
      <c r="BM639" s="2">
        <f t="shared" ca="1" si="19"/>
        <v>1</v>
      </c>
      <c r="BN639" s="3">
        <v>250000</v>
      </c>
      <c r="BO639" s="3">
        <v>25000</v>
      </c>
      <c r="BP639" s="3">
        <v>200000</v>
      </c>
      <c r="BQ639" s="3">
        <v>500000</v>
      </c>
      <c r="BR639" s="3">
        <v>100000</v>
      </c>
      <c r="BS639">
        <v>500000</v>
      </c>
      <c r="BT639">
        <v>0</v>
      </c>
      <c r="BU639">
        <v>0</v>
      </c>
      <c r="BV639">
        <v>1</v>
      </c>
      <c r="BW639">
        <v>0</v>
      </c>
      <c r="BX639">
        <v>0</v>
      </c>
      <c r="BY639">
        <v>0</v>
      </c>
      <c r="BZ639" t="s">
        <v>2958</v>
      </c>
      <c r="CA639" t="s">
        <v>1194</v>
      </c>
      <c r="CB639" t="s">
        <v>2949</v>
      </c>
    </row>
    <row r="640" spans="1:80" x14ac:dyDescent="0.25">
      <c r="A640">
        <v>639</v>
      </c>
      <c r="B640" t="s">
        <v>2653</v>
      </c>
      <c r="C640" s="1">
        <v>44813</v>
      </c>
      <c r="D640">
        <v>18</v>
      </c>
      <c r="E640" t="s">
        <v>4</v>
      </c>
      <c r="F640" t="s">
        <v>1311</v>
      </c>
      <c r="G640">
        <v>0</v>
      </c>
      <c r="H640" s="3">
        <v>1161000</v>
      </c>
      <c r="I640" s="3">
        <v>200000</v>
      </c>
      <c r="J640" s="3">
        <v>350000</v>
      </c>
      <c r="K640" s="3">
        <v>232200</v>
      </c>
      <c r="L640" t="s">
        <v>1191</v>
      </c>
      <c r="M640">
        <v>1997842</v>
      </c>
      <c r="N640" t="s">
        <v>1425</v>
      </c>
      <c r="P640" t="s">
        <v>1704</v>
      </c>
      <c r="Q640" t="s">
        <v>1237</v>
      </c>
      <c r="R640">
        <v>85266</v>
      </c>
      <c r="S640" t="s">
        <v>1705</v>
      </c>
      <c r="T640" t="s">
        <v>965</v>
      </c>
      <c r="U640">
        <v>0</v>
      </c>
      <c r="V640">
        <v>2</v>
      </c>
      <c r="W640" t="s">
        <v>1194</v>
      </c>
      <c r="X640" t="s">
        <v>973</v>
      </c>
      <c r="Y640">
        <v>10000</v>
      </c>
      <c r="Z640" s="2" t="s">
        <v>1194</v>
      </c>
      <c r="AA640" s="2" t="s">
        <v>1238</v>
      </c>
      <c r="AB640" t="s">
        <v>1238</v>
      </c>
      <c r="AC640">
        <v>926</v>
      </c>
      <c r="AD640" t="s">
        <v>1279</v>
      </c>
      <c r="AE640">
        <v>2</v>
      </c>
      <c r="AF640" t="s">
        <v>1290</v>
      </c>
      <c r="AG640">
        <v>0</v>
      </c>
      <c r="AH640">
        <v>0</v>
      </c>
      <c r="AI640">
        <v>0</v>
      </c>
      <c r="AJ640">
        <v>1995</v>
      </c>
      <c r="AK640" t="s">
        <v>1194</v>
      </c>
      <c r="AL640">
        <v>2022</v>
      </c>
      <c r="AM640" s="4" t="s">
        <v>1238</v>
      </c>
      <c r="AN640">
        <v>0</v>
      </c>
      <c r="AO640" t="s">
        <v>1316</v>
      </c>
      <c r="AP640">
        <f t="shared" si="18"/>
        <v>0</v>
      </c>
      <c r="AQ640">
        <v>1</v>
      </c>
      <c r="AR640" t="s">
        <v>1992</v>
      </c>
      <c r="AS640" t="s">
        <v>1995</v>
      </c>
      <c r="AT640" t="s">
        <v>1996</v>
      </c>
      <c r="AU640" t="s">
        <v>1996</v>
      </c>
      <c r="AV640" t="s">
        <v>1995</v>
      </c>
      <c r="AW640" t="s">
        <v>1996</v>
      </c>
      <c r="AX640" t="s">
        <v>1194</v>
      </c>
      <c r="AY640" t="s">
        <v>1996</v>
      </c>
      <c r="AZ640">
        <v>2399</v>
      </c>
      <c r="BA640" t="s">
        <v>1194</v>
      </c>
      <c r="BB640" t="s">
        <v>2014</v>
      </c>
      <c r="BC640" s="3">
        <v>0</v>
      </c>
      <c r="BD640" s="3">
        <v>0</v>
      </c>
      <c r="BE640" s="3">
        <v>0</v>
      </c>
      <c r="BF640" s="3">
        <v>0</v>
      </c>
      <c r="BG640" s="3">
        <v>210</v>
      </c>
      <c r="BH640" s="3">
        <v>0</v>
      </c>
      <c r="BI640" s="3">
        <v>0</v>
      </c>
      <c r="BJ640" s="3">
        <v>3083.29</v>
      </c>
      <c r="BK640" s="3">
        <v>-15</v>
      </c>
      <c r="BL640" s="3">
        <v>3068</v>
      </c>
      <c r="BM640" s="2">
        <f t="shared" ca="1" si="19"/>
        <v>6</v>
      </c>
      <c r="BN640" s="3">
        <v>250000</v>
      </c>
      <c r="BO640" s="3">
        <v>1000000</v>
      </c>
      <c r="BP640" s="3">
        <v>50000</v>
      </c>
      <c r="BQ640" s="3">
        <v>500000</v>
      </c>
      <c r="BR640" s="3">
        <v>1000000</v>
      </c>
      <c r="BS640">
        <v>1000000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 t="s">
        <v>2961</v>
      </c>
      <c r="CA640" t="s">
        <v>1194</v>
      </c>
      <c r="CB640" t="s">
        <v>2941</v>
      </c>
    </row>
    <row r="641" spans="1:80" x14ac:dyDescent="0.25">
      <c r="A641">
        <v>640</v>
      </c>
      <c r="B641" t="s">
        <v>2654</v>
      </c>
      <c r="C641" s="1">
        <v>44621</v>
      </c>
      <c r="D641">
        <v>12</v>
      </c>
      <c r="E641" t="s">
        <v>4</v>
      </c>
      <c r="F641" t="s">
        <v>1311</v>
      </c>
      <c r="G641">
        <v>0</v>
      </c>
      <c r="H641" s="3">
        <v>8364749</v>
      </c>
      <c r="I641" s="3">
        <v>1756598</v>
      </c>
      <c r="J641" s="3">
        <v>4182376</v>
      </c>
      <c r="K641" s="3">
        <v>1672949.8</v>
      </c>
      <c r="L641" t="s">
        <v>1191</v>
      </c>
      <c r="M641">
        <v>614129</v>
      </c>
      <c r="N641" t="s">
        <v>1426</v>
      </c>
      <c r="P641" t="s">
        <v>1808</v>
      </c>
      <c r="Q641" t="s">
        <v>1237</v>
      </c>
      <c r="R641">
        <v>85253</v>
      </c>
      <c r="S641" t="s">
        <v>1705</v>
      </c>
      <c r="T641" t="s">
        <v>965</v>
      </c>
      <c r="U641">
        <v>0</v>
      </c>
      <c r="V641">
        <v>9</v>
      </c>
      <c r="W641" t="s">
        <v>1194</v>
      </c>
      <c r="X641" t="s">
        <v>973</v>
      </c>
      <c r="Y641">
        <v>25000</v>
      </c>
      <c r="Z641" s="2" t="s">
        <v>1194</v>
      </c>
      <c r="AA641" s="2" t="s">
        <v>1238</v>
      </c>
      <c r="AB641" t="s">
        <v>1238</v>
      </c>
      <c r="AC641">
        <v>908</v>
      </c>
      <c r="AD641" t="s">
        <v>1279</v>
      </c>
      <c r="AE641">
        <v>1</v>
      </c>
      <c r="AF641" t="s">
        <v>1290</v>
      </c>
      <c r="AG641">
        <v>0</v>
      </c>
      <c r="AH641">
        <v>0</v>
      </c>
      <c r="AI641">
        <v>0</v>
      </c>
      <c r="AJ641">
        <v>2000</v>
      </c>
      <c r="AK641" t="s">
        <v>1194</v>
      </c>
      <c r="AL641">
        <v>2022</v>
      </c>
      <c r="AM641" s="4" t="s">
        <v>1238</v>
      </c>
      <c r="AN641">
        <v>0</v>
      </c>
      <c r="AO641" t="s">
        <v>1317</v>
      </c>
      <c r="AP641">
        <f t="shared" si="18"/>
        <v>0</v>
      </c>
      <c r="AQ641">
        <v>0</v>
      </c>
      <c r="AR641" t="s">
        <v>1993</v>
      </c>
      <c r="AS641" t="s">
        <v>1996</v>
      </c>
      <c r="AT641" t="s">
        <v>1995</v>
      </c>
      <c r="AU641" t="s">
        <v>1995</v>
      </c>
      <c r="AV641" t="s">
        <v>1996</v>
      </c>
      <c r="AW641" t="s">
        <v>1996</v>
      </c>
      <c r="AX641" t="s">
        <v>2003</v>
      </c>
      <c r="AY641" t="s">
        <v>1996</v>
      </c>
      <c r="AZ641">
        <v>10064</v>
      </c>
      <c r="BA641">
        <v>3</v>
      </c>
      <c r="BB641" t="s">
        <v>2016</v>
      </c>
      <c r="BC641" s="3">
        <v>0</v>
      </c>
      <c r="BD641" s="3">
        <v>0</v>
      </c>
      <c r="BE641" s="3">
        <v>0</v>
      </c>
      <c r="BF641" s="3">
        <v>0</v>
      </c>
      <c r="BG641" s="3">
        <v>175</v>
      </c>
      <c r="BH641" s="3">
        <v>0</v>
      </c>
      <c r="BI641" s="3">
        <v>0</v>
      </c>
      <c r="BJ641" s="3">
        <v>13085.6</v>
      </c>
      <c r="BK641" s="3">
        <v>1030</v>
      </c>
      <c r="BL641" s="3">
        <v>14116</v>
      </c>
      <c r="BM641" s="2">
        <f t="shared" ca="1" si="19"/>
        <v>3</v>
      </c>
      <c r="BN641" s="3">
        <v>500000</v>
      </c>
      <c r="BO641" s="3">
        <v>250000</v>
      </c>
      <c r="BP641" s="3">
        <v>100000</v>
      </c>
      <c r="BQ641" s="3">
        <v>100000</v>
      </c>
      <c r="BR641" s="3">
        <v>250000</v>
      </c>
      <c r="BS641">
        <v>500000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 t="s">
        <v>2963</v>
      </c>
      <c r="CA641" t="s">
        <v>1194</v>
      </c>
      <c r="CB641" t="s">
        <v>2941</v>
      </c>
    </row>
    <row r="642" spans="1:80" x14ac:dyDescent="0.25">
      <c r="A642">
        <v>641</v>
      </c>
      <c r="B642" t="s">
        <v>2655</v>
      </c>
      <c r="C642" s="1">
        <v>44823</v>
      </c>
      <c r="D642">
        <v>12</v>
      </c>
      <c r="E642" t="s">
        <v>4</v>
      </c>
      <c r="F642" t="s">
        <v>1311</v>
      </c>
      <c r="G642">
        <v>0</v>
      </c>
      <c r="H642" s="3">
        <v>1439890</v>
      </c>
      <c r="I642" s="3">
        <v>287978</v>
      </c>
      <c r="J642" s="3">
        <v>719945</v>
      </c>
      <c r="K642" s="3">
        <v>0</v>
      </c>
      <c r="L642" t="s">
        <v>1191</v>
      </c>
      <c r="M642">
        <v>1758896</v>
      </c>
      <c r="N642" t="s">
        <v>1427</v>
      </c>
      <c r="P642" t="s">
        <v>1717</v>
      </c>
      <c r="Q642" t="s">
        <v>1258</v>
      </c>
      <c r="R642">
        <v>87505</v>
      </c>
      <c r="S642" t="s">
        <v>1717</v>
      </c>
      <c r="T642" t="s">
        <v>965</v>
      </c>
      <c r="U642">
        <v>0</v>
      </c>
      <c r="V642">
        <v>2</v>
      </c>
      <c r="W642" t="s">
        <v>1194</v>
      </c>
      <c r="X642" t="s">
        <v>973</v>
      </c>
      <c r="Y642">
        <v>10000</v>
      </c>
      <c r="Z642" s="2" t="s">
        <v>1194</v>
      </c>
      <c r="AA642" s="2" t="s">
        <v>1238</v>
      </c>
      <c r="AB642" t="s">
        <v>1238</v>
      </c>
      <c r="AC642">
        <v>809</v>
      </c>
      <c r="AD642" t="s">
        <v>1280</v>
      </c>
      <c r="AE642">
        <v>2</v>
      </c>
      <c r="AF642" t="s">
        <v>1290</v>
      </c>
      <c r="AG642">
        <v>0</v>
      </c>
      <c r="AH642">
        <v>0</v>
      </c>
      <c r="AI642">
        <v>0</v>
      </c>
      <c r="AJ642">
        <v>1920</v>
      </c>
      <c r="AK642">
        <v>1995</v>
      </c>
      <c r="AL642">
        <v>1995</v>
      </c>
      <c r="AM642" s="4" t="s">
        <v>1238</v>
      </c>
      <c r="AN642">
        <v>0</v>
      </c>
      <c r="AO642" t="s">
        <v>1315</v>
      </c>
      <c r="AP642">
        <f t="shared" si="18"/>
        <v>0</v>
      </c>
      <c r="AQ642">
        <v>1</v>
      </c>
      <c r="AR642" t="s">
        <v>1992</v>
      </c>
      <c r="AS642" t="s">
        <v>1996</v>
      </c>
      <c r="AT642" t="s">
        <v>1995</v>
      </c>
      <c r="AU642" t="s">
        <v>1996</v>
      </c>
      <c r="AV642" t="s">
        <v>1995</v>
      </c>
      <c r="AW642" t="s">
        <v>1995</v>
      </c>
      <c r="AX642" t="s">
        <v>1194</v>
      </c>
      <c r="AY642" t="s">
        <v>1996</v>
      </c>
      <c r="AZ642">
        <v>3300</v>
      </c>
      <c r="BA642">
        <v>4</v>
      </c>
      <c r="BB642" t="s">
        <v>2017</v>
      </c>
      <c r="BC642" s="3">
        <v>0</v>
      </c>
      <c r="BD642" s="3">
        <v>433.72</v>
      </c>
      <c r="BE642" s="3">
        <v>0</v>
      </c>
      <c r="BF642" s="3">
        <v>433.72</v>
      </c>
      <c r="BG642" s="3">
        <v>200</v>
      </c>
      <c r="BH642" s="3">
        <v>0</v>
      </c>
      <c r="BI642" s="3">
        <v>0</v>
      </c>
      <c r="BJ642" s="3">
        <v>4780.12</v>
      </c>
      <c r="BK642" s="3">
        <v>235</v>
      </c>
      <c r="BL642" s="3">
        <v>5015.12</v>
      </c>
      <c r="BM642" s="2">
        <f t="shared" ca="1" si="19"/>
        <v>0</v>
      </c>
      <c r="BN642" s="3">
        <v>2000000</v>
      </c>
      <c r="BO642" s="3">
        <v>250000</v>
      </c>
      <c r="BP642" s="3" t="s">
        <v>2922</v>
      </c>
      <c r="BQ642" s="3">
        <v>50000</v>
      </c>
      <c r="BR642" s="3">
        <v>2000000</v>
      </c>
      <c r="BS642">
        <v>50000</v>
      </c>
      <c r="BT642">
        <v>0</v>
      </c>
      <c r="BU642">
        <v>0</v>
      </c>
      <c r="BV642">
        <v>0</v>
      </c>
      <c r="BW642">
        <v>1</v>
      </c>
      <c r="BX642">
        <v>1</v>
      </c>
      <c r="BY642">
        <v>1</v>
      </c>
      <c r="BZ642" t="s">
        <v>2949</v>
      </c>
      <c r="CA642" t="s">
        <v>1194</v>
      </c>
      <c r="CB642" t="s">
        <v>2952</v>
      </c>
    </row>
    <row r="643" spans="1:80" x14ac:dyDescent="0.25">
      <c r="A643">
        <v>642</v>
      </c>
      <c r="B643" t="s">
        <v>2656</v>
      </c>
      <c r="C643" s="1">
        <v>44777</v>
      </c>
      <c r="D643">
        <v>42</v>
      </c>
      <c r="E643" t="s">
        <v>6</v>
      </c>
      <c r="F643" t="s">
        <v>1310</v>
      </c>
      <c r="G643">
        <v>1</v>
      </c>
      <c r="H643" s="3">
        <v>0</v>
      </c>
      <c r="I643" s="3">
        <v>0</v>
      </c>
      <c r="J643" s="3">
        <v>770000</v>
      </c>
      <c r="K643" s="3">
        <v>0</v>
      </c>
      <c r="L643" t="s">
        <v>1192</v>
      </c>
      <c r="M643">
        <v>1961804</v>
      </c>
      <c r="N643" t="s">
        <v>1428</v>
      </c>
      <c r="O643" t="s">
        <v>1429</v>
      </c>
      <c r="P643" t="s">
        <v>1766</v>
      </c>
      <c r="Q643" t="s">
        <v>1259</v>
      </c>
      <c r="R643">
        <v>89144</v>
      </c>
      <c r="S643" t="s">
        <v>1767</v>
      </c>
      <c r="T643" t="s">
        <v>965</v>
      </c>
      <c r="U643">
        <v>0</v>
      </c>
      <c r="V643">
        <v>1</v>
      </c>
      <c r="W643" t="s">
        <v>1194</v>
      </c>
      <c r="X643" t="s">
        <v>973</v>
      </c>
      <c r="Y643">
        <v>10000</v>
      </c>
      <c r="Z643" s="2" t="s">
        <v>1194</v>
      </c>
      <c r="AA643" s="2" t="s">
        <v>1238</v>
      </c>
      <c r="AB643" t="s">
        <v>1238</v>
      </c>
      <c r="AC643">
        <v>677</v>
      </c>
      <c r="AD643" t="s">
        <v>1279</v>
      </c>
      <c r="AE643">
        <v>1</v>
      </c>
      <c r="AF643" t="s">
        <v>1290</v>
      </c>
      <c r="AG643">
        <v>0</v>
      </c>
      <c r="AH643">
        <v>0</v>
      </c>
      <c r="AI643">
        <v>0</v>
      </c>
      <c r="AJ643">
        <v>2006</v>
      </c>
      <c r="AK643" t="s">
        <v>1194</v>
      </c>
      <c r="AL643" t="s">
        <v>1194</v>
      </c>
      <c r="AM643" s="4" t="s">
        <v>1305</v>
      </c>
      <c r="AN643">
        <v>1</v>
      </c>
      <c r="AO643" t="s">
        <v>1316</v>
      </c>
      <c r="AP643">
        <f t="shared" si="18"/>
        <v>0</v>
      </c>
      <c r="AQ643">
        <v>0</v>
      </c>
      <c r="AR643" t="s">
        <v>1993</v>
      </c>
      <c r="AS643" t="s">
        <v>1996</v>
      </c>
      <c r="AT643" t="s">
        <v>1996</v>
      </c>
      <c r="AU643" t="s">
        <v>1995</v>
      </c>
      <c r="AV643" t="s">
        <v>1996</v>
      </c>
      <c r="AW643" t="s">
        <v>1995</v>
      </c>
      <c r="AX643" t="s">
        <v>1194</v>
      </c>
      <c r="AY643" t="s">
        <v>1996</v>
      </c>
      <c r="AZ643">
        <v>2109</v>
      </c>
      <c r="BA643" t="s">
        <v>1194</v>
      </c>
      <c r="BB643" t="s">
        <v>2014</v>
      </c>
      <c r="BC643" s="3">
        <v>0</v>
      </c>
      <c r="BD643" s="3">
        <v>60.91</v>
      </c>
      <c r="BE643" s="3">
        <v>0</v>
      </c>
      <c r="BF643" s="3">
        <v>60.91</v>
      </c>
      <c r="BG643" s="3">
        <v>175</v>
      </c>
      <c r="BH643" s="3">
        <v>0</v>
      </c>
      <c r="BI643" s="3">
        <v>0</v>
      </c>
      <c r="BJ643" s="3">
        <v>2323.9499999999998</v>
      </c>
      <c r="BK643" s="3">
        <v>115</v>
      </c>
      <c r="BL643" s="3">
        <v>2438.9499999999998</v>
      </c>
      <c r="BM643" s="2">
        <f t="shared" ca="1" si="19"/>
        <v>5</v>
      </c>
      <c r="BN643" s="3" t="s">
        <v>2916</v>
      </c>
      <c r="BO643" s="3">
        <v>100000</v>
      </c>
      <c r="BP643" s="3">
        <v>50000</v>
      </c>
      <c r="BQ643" s="3">
        <v>500000</v>
      </c>
      <c r="BR643" s="3">
        <v>50000</v>
      </c>
      <c r="BS643">
        <v>50000</v>
      </c>
      <c r="BT643">
        <v>0</v>
      </c>
      <c r="BU643">
        <v>0</v>
      </c>
      <c r="BV643">
        <v>1</v>
      </c>
      <c r="BW643">
        <v>0</v>
      </c>
      <c r="BX643">
        <v>0</v>
      </c>
      <c r="BY643">
        <v>0</v>
      </c>
      <c r="BZ643" t="s">
        <v>1194</v>
      </c>
      <c r="CA643" t="s">
        <v>1194</v>
      </c>
      <c r="CB643" t="s">
        <v>1194</v>
      </c>
    </row>
    <row r="644" spans="1:80" x14ac:dyDescent="0.25">
      <c r="A644">
        <v>643</v>
      </c>
      <c r="B644" t="s">
        <v>2657</v>
      </c>
      <c r="C644" s="1">
        <v>44643</v>
      </c>
      <c r="D644">
        <v>15</v>
      </c>
      <c r="E644" t="s">
        <v>4</v>
      </c>
      <c r="F644" t="s">
        <v>1311</v>
      </c>
      <c r="G644">
        <v>0</v>
      </c>
      <c r="H644" s="3">
        <v>2491120</v>
      </c>
      <c r="I644" s="3">
        <v>498223</v>
      </c>
      <c r="J644" s="3">
        <v>1245560</v>
      </c>
      <c r="K644" s="3">
        <v>0</v>
      </c>
      <c r="L644" t="s">
        <v>1191</v>
      </c>
      <c r="M644">
        <v>982617</v>
      </c>
      <c r="N644" t="s">
        <v>1430</v>
      </c>
      <c r="P644" t="s">
        <v>1712</v>
      </c>
      <c r="Q644" t="s">
        <v>1239</v>
      </c>
      <c r="R644">
        <v>80302</v>
      </c>
      <c r="S644" t="s">
        <v>1712</v>
      </c>
      <c r="T644" t="s">
        <v>965</v>
      </c>
      <c r="U644">
        <v>0</v>
      </c>
      <c r="V644">
        <v>107</v>
      </c>
      <c r="W644" t="s">
        <v>1194</v>
      </c>
      <c r="X644" t="s">
        <v>973</v>
      </c>
      <c r="Y644">
        <v>10000</v>
      </c>
      <c r="Z644" s="2">
        <v>0.60213879699999995</v>
      </c>
      <c r="AA644" s="2">
        <v>1</v>
      </c>
      <c r="AB644" t="s">
        <v>1277</v>
      </c>
      <c r="AC644">
        <v>901</v>
      </c>
      <c r="AD644" t="s">
        <v>1279</v>
      </c>
      <c r="AE644">
        <v>3</v>
      </c>
      <c r="AF644" t="s">
        <v>1290</v>
      </c>
      <c r="AG644">
        <v>0</v>
      </c>
      <c r="AH644">
        <v>0</v>
      </c>
      <c r="AI644">
        <v>0</v>
      </c>
      <c r="AJ644">
        <v>1904</v>
      </c>
      <c r="AK644">
        <v>2014</v>
      </c>
      <c r="AL644">
        <v>2014</v>
      </c>
      <c r="AM644" s="4" t="s">
        <v>1238</v>
      </c>
      <c r="AN644">
        <v>1</v>
      </c>
      <c r="AO644" t="s">
        <v>1316</v>
      </c>
      <c r="AP644">
        <f t="shared" ref="AP644:AP707" si="20">AI644</f>
        <v>0</v>
      </c>
      <c r="AQ644">
        <v>0</v>
      </c>
      <c r="AR644" t="s">
        <v>1993</v>
      </c>
      <c r="AS644" t="s">
        <v>1996</v>
      </c>
      <c r="AT644" t="s">
        <v>1995</v>
      </c>
      <c r="AU644" t="s">
        <v>1995</v>
      </c>
      <c r="AV644" t="s">
        <v>1996</v>
      </c>
      <c r="AW644" t="s">
        <v>1995</v>
      </c>
      <c r="AX644" t="s">
        <v>1194</v>
      </c>
      <c r="AY644" t="s">
        <v>1996</v>
      </c>
      <c r="AZ644">
        <v>4933</v>
      </c>
      <c r="BA644">
        <v>3</v>
      </c>
      <c r="BB644" t="s">
        <v>2016</v>
      </c>
      <c r="BC644" s="3">
        <v>0</v>
      </c>
      <c r="BD644" s="3">
        <v>0</v>
      </c>
      <c r="BE644" s="3">
        <v>0</v>
      </c>
      <c r="BF644" s="3">
        <v>1239.32</v>
      </c>
      <c r="BG644" s="3">
        <v>210</v>
      </c>
      <c r="BH644" s="3">
        <v>0</v>
      </c>
      <c r="BI644" s="3">
        <v>0</v>
      </c>
      <c r="BJ644" s="3">
        <v>8406.26</v>
      </c>
      <c r="BK644" s="3">
        <v>235</v>
      </c>
      <c r="BL644" s="3">
        <v>8641.26</v>
      </c>
      <c r="BM644" s="2">
        <f t="shared" ref="BM644:BM707" ca="1" si="21">IF(ROUND((6*RAND()),0)=0,1,(ROUND((6*RAND()),0)))</f>
        <v>3</v>
      </c>
      <c r="BN644" s="3">
        <v>2000000</v>
      </c>
      <c r="BO644" s="3">
        <v>2000000</v>
      </c>
      <c r="BP644" s="3">
        <v>200000</v>
      </c>
      <c r="BQ644" s="3">
        <v>25000</v>
      </c>
      <c r="BR644" s="3">
        <v>1000000</v>
      </c>
      <c r="BS644">
        <v>250000</v>
      </c>
      <c r="BT644">
        <v>0</v>
      </c>
      <c r="BU644">
        <v>0</v>
      </c>
      <c r="BV644">
        <v>0</v>
      </c>
      <c r="BW644">
        <v>1</v>
      </c>
      <c r="BX644">
        <v>1</v>
      </c>
      <c r="BY644">
        <v>0</v>
      </c>
      <c r="BZ644" t="s">
        <v>2958</v>
      </c>
      <c r="CA644" t="s">
        <v>1194</v>
      </c>
      <c r="CB644" t="s">
        <v>2941</v>
      </c>
    </row>
    <row r="645" spans="1:80" x14ac:dyDescent="0.25">
      <c r="A645">
        <v>644</v>
      </c>
      <c r="B645" t="s">
        <v>2658</v>
      </c>
      <c r="C645" s="1">
        <v>44902</v>
      </c>
      <c r="D645">
        <v>12</v>
      </c>
      <c r="E645" t="s">
        <v>4</v>
      </c>
      <c r="F645" t="s">
        <v>1311</v>
      </c>
      <c r="G645">
        <v>1</v>
      </c>
      <c r="H645" s="3">
        <v>400000</v>
      </c>
      <c r="I645" s="3">
        <v>0</v>
      </c>
      <c r="J645" s="3">
        <v>0</v>
      </c>
      <c r="K645" s="3">
        <v>0</v>
      </c>
      <c r="L645" t="s">
        <v>1191</v>
      </c>
      <c r="M645">
        <v>2013115</v>
      </c>
      <c r="N645" t="s">
        <v>1431</v>
      </c>
      <c r="O645" t="s">
        <v>1432</v>
      </c>
      <c r="P645" t="s">
        <v>1809</v>
      </c>
      <c r="Q645" t="s">
        <v>1240</v>
      </c>
      <c r="R645">
        <v>6877</v>
      </c>
      <c r="S645" t="s">
        <v>1706</v>
      </c>
      <c r="T645" t="s">
        <v>965</v>
      </c>
      <c r="U645">
        <v>0</v>
      </c>
      <c r="V645">
        <v>54</v>
      </c>
      <c r="W645" t="s">
        <v>1194</v>
      </c>
      <c r="X645" t="s">
        <v>973</v>
      </c>
      <c r="Y645">
        <v>10000</v>
      </c>
      <c r="Z645" s="2" t="s">
        <v>1194</v>
      </c>
      <c r="AA645" s="2" t="s">
        <v>1238</v>
      </c>
      <c r="AB645" t="s">
        <v>1238</v>
      </c>
      <c r="AC645">
        <v>644</v>
      </c>
      <c r="AD645" t="s">
        <v>1279</v>
      </c>
      <c r="AE645">
        <v>5</v>
      </c>
      <c r="AF645" t="s">
        <v>1290</v>
      </c>
      <c r="AG645">
        <v>0</v>
      </c>
      <c r="AH645">
        <v>0</v>
      </c>
      <c r="AI645">
        <v>0</v>
      </c>
      <c r="AJ645">
        <v>2022</v>
      </c>
      <c r="AK645" t="s">
        <v>1194</v>
      </c>
      <c r="AL645" t="s">
        <v>1194</v>
      </c>
      <c r="AM645" s="4" t="s">
        <v>1238</v>
      </c>
      <c r="AN645">
        <v>0</v>
      </c>
      <c r="AO645" t="s">
        <v>1315</v>
      </c>
      <c r="AP645">
        <f t="shared" si="20"/>
        <v>0</v>
      </c>
      <c r="AQ645">
        <v>0</v>
      </c>
      <c r="AR645" t="s">
        <v>1993</v>
      </c>
      <c r="AS645" t="s">
        <v>1995</v>
      </c>
      <c r="AT645" t="s">
        <v>1995</v>
      </c>
      <c r="AU645" t="s">
        <v>1995</v>
      </c>
      <c r="AV645" t="s">
        <v>1996</v>
      </c>
      <c r="AW645" t="s">
        <v>1996</v>
      </c>
      <c r="AX645" t="s">
        <v>2003</v>
      </c>
      <c r="AY645" t="s">
        <v>1996</v>
      </c>
      <c r="AZ645">
        <v>1200</v>
      </c>
      <c r="BA645" t="s">
        <v>1194</v>
      </c>
      <c r="BB645" t="s">
        <v>1194</v>
      </c>
      <c r="BC645" s="3">
        <v>0</v>
      </c>
      <c r="BD645" s="3">
        <v>0</v>
      </c>
      <c r="BE645" s="3">
        <v>0</v>
      </c>
      <c r="BF645" s="3">
        <v>0</v>
      </c>
      <c r="BG645" s="3">
        <v>130</v>
      </c>
      <c r="BH645" s="3">
        <v>0</v>
      </c>
      <c r="BI645" s="3">
        <v>0</v>
      </c>
      <c r="BJ645" s="3">
        <v>1888</v>
      </c>
      <c r="BK645" s="3">
        <v>-10</v>
      </c>
      <c r="BL645" s="3">
        <v>1878</v>
      </c>
      <c r="BM645" s="2">
        <f t="shared" ca="1" si="21"/>
        <v>4</v>
      </c>
      <c r="BN645" s="3">
        <v>250000</v>
      </c>
      <c r="BO645" s="3">
        <v>250000</v>
      </c>
      <c r="BP645" s="3">
        <v>100000</v>
      </c>
      <c r="BQ645" s="3">
        <v>250000</v>
      </c>
      <c r="BR645" s="3">
        <v>1000000</v>
      </c>
      <c r="BS645">
        <v>50000</v>
      </c>
      <c r="BT645">
        <v>0</v>
      </c>
      <c r="BU645">
        <v>0</v>
      </c>
      <c r="BV645">
        <v>0</v>
      </c>
      <c r="BW645">
        <v>1</v>
      </c>
      <c r="BX645">
        <v>1</v>
      </c>
      <c r="BY645">
        <v>0</v>
      </c>
      <c r="BZ645" t="s">
        <v>2949</v>
      </c>
      <c r="CA645" t="s">
        <v>1194</v>
      </c>
      <c r="CB645" t="s">
        <v>2949</v>
      </c>
    </row>
    <row r="646" spans="1:80" x14ac:dyDescent="0.25">
      <c r="A646">
        <v>645</v>
      </c>
      <c r="B646" t="s">
        <v>2659</v>
      </c>
      <c r="C646" s="1">
        <v>44680</v>
      </c>
      <c r="D646">
        <v>12</v>
      </c>
      <c r="E646" t="s">
        <v>4</v>
      </c>
      <c r="F646" t="s">
        <v>1311</v>
      </c>
      <c r="G646">
        <v>1</v>
      </c>
      <c r="H646" s="3">
        <v>2814056</v>
      </c>
      <c r="I646" s="3">
        <v>482812</v>
      </c>
      <c r="J646" s="3">
        <v>1207029</v>
      </c>
      <c r="K646" s="3">
        <v>0</v>
      </c>
      <c r="L646" t="s">
        <v>1191</v>
      </c>
      <c r="M646">
        <v>629030</v>
      </c>
      <c r="N646" t="s">
        <v>1433</v>
      </c>
      <c r="P646" t="s">
        <v>1704</v>
      </c>
      <c r="Q646" t="s">
        <v>1237</v>
      </c>
      <c r="R646">
        <v>85255</v>
      </c>
      <c r="S646" t="s">
        <v>1705</v>
      </c>
      <c r="T646" t="s">
        <v>965</v>
      </c>
      <c r="U646">
        <v>0</v>
      </c>
      <c r="V646">
        <v>3</v>
      </c>
      <c r="W646" t="s">
        <v>1194</v>
      </c>
      <c r="X646" t="s">
        <v>973</v>
      </c>
      <c r="Y646">
        <v>10000</v>
      </c>
      <c r="Z646" s="2" t="s">
        <v>1194</v>
      </c>
      <c r="AA646" s="2" t="s">
        <v>1238</v>
      </c>
      <c r="AB646" t="s">
        <v>1238</v>
      </c>
      <c r="AC646">
        <v>744</v>
      </c>
      <c r="AD646" t="s">
        <v>1279</v>
      </c>
      <c r="AE646">
        <v>2</v>
      </c>
      <c r="AF646" t="s">
        <v>1290</v>
      </c>
      <c r="AG646">
        <v>0</v>
      </c>
      <c r="AH646">
        <v>0</v>
      </c>
      <c r="AI646">
        <v>0</v>
      </c>
      <c r="AJ646">
        <v>2001</v>
      </c>
      <c r="AK646" t="s">
        <v>1194</v>
      </c>
      <c r="AL646">
        <v>2001</v>
      </c>
      <c r="AM646" s="4" t="s">
        <v>1238</v>
      </c>
      <c r="AN646">
        <v>0</v>
      </c>
      <c r="AO646" t="s">
        <v>1316</v>
      </c>
      <c r="AP646">
        <f t="shared" si="20"/>
        <v>0</v>
      </c>
      <c r="AQ646">
        <v>0</v>
      </c>
      <c r="AR646" t="s">
        <v>1993</v>
      </c>
      <c r="AS646" t="s">
        <v>1995</v>
      </c>
      <c r="AT646" t="s">
        <v>1995</v>
      </c>
      <c r="AU646" t="s">
        <v>1995</v>
      </c>
      <c r="AV646" t="s">
        <v>1995</v>
      </c>
      <c r="AW646" t="s">
        <v>1996</v>
      </c>
      <c r="AX646" t="s">
        <v>2003</v>
      </c>
      <c r="AY646" t="s">
        <v>1996</v>
      </c>
      <c r="AZ646">
        <v>5128</v>
      </c>
      <c r="BA646" t="s">
        <v>1194</v>
      </c>
      <c r="BB646" t="s">
        <v>2014</v>
      </c>
      <c r="BC646" s="3">
        <v>0</v>
      </c>
      <c r="BD646" s="3">
        <v>0</v>
      </c>
      <c r="BE646" s="3">
        <v>0</v>
      </c>
      <c r="BF646" s="3">
        <v>0</v>
      </c>
      <c r="BG646" s="3">
        <v>175</v>
      </c>
      <c r="BH646" s="3">
        <v>0</v>
      </c>
      <c r="BI646" s="3">
        <v>0</v>
      </c>
      <c r="BJ646" s="3">
        <v>6808.97</v>
      </c>
      <c r="BK646" s="3">
        <v>110</v>
      </c>
      <c r="BL646" s="3">
        <v>6919</v>
      </c>
      <c r="BM646" s="2">
        <f t="shared" ca="1" si="21"/>
        <v>2</v>
      </c>
      <c r="BN646" s="3">
        <v>100000</v>
      </c>
      <c r="BO646" s="3">
        <v>50000</v>
      </c>
      <c r="BP646" s="3">
        <v>100000</v>
      </c>
      <c r="BQ646" s="3">
        <v>50000</v>
      </c>
      <c r="BR646" s="3">
        <v>50000</v>
      </c>
      <c r="BS646">
        <v>500000</v>
      </c>
      <c r="BT646">
        <v>0</v>
      </c>
      <c r="BU646">
        <v>0</v>
      </c>
      <c r="BV646">
        <v>1</v>
      </c>
      <c r="BW646">
        <v>0</v>
      </c>
      <c r="BX646">
        <v>0</v>
      </c>
      <c r="BY646">
        <v>0</v>
      </c>
      <c r="BZ646" t="s">
        <v>2961</v>
      </c>
      <c r="CA646" t="s">
        <v>1194</v>
      </c>
      <c r="CB646" t="s">
        <v>2941</v>
      </c>
    </row>
    <row r="647" spans="1:80" x14ac:dyDescent="0.25">
      <c r="A647">
        <v>646</v>
      </c>
      <c r="B647" t="s">
        <v>2660</v>
      </c>
      <c r="C647" s="1">
        <v>44904</v>
      </c>
      <c r="D647">
        <v>3</v>
      </c>
      <c r="E647" t="s">
        <v>4</v>
      </c>
      <c r="F647" t="s">
        <v>1310</v>
      </c>
      <c r="G647">
        <v>0</v>
      </c>
      <c r="H647" s="3">
        <v>1400000</v>
      </c>
      <c r="I647" s="3">
        <v>140000</v>
      </c>
      <c r="J647" s="3">
        <v>0</v>
      </c>
      <c r="K647" s="3">
        <v>0</v>
      </c>
      <c r="L647" t="s">
        <v>1191</v>
      </c>
      <c r="M647">
        <v>409795</v>
      </c>
      <c r="N647" t="s">
        <v>1434</v>
      </c>
      <c r="P647" t="s">
        <v>1693</v>
      </c>
      <c r="Q647" t="s">
        <v>1264</v>
      </c>
      <c r="R647">
        <v>2840</v>
      </c>
      <c r="S647" t="s">
        <v>1693</v>
      </c>
      <c r="T647" t="s">
        <v>1987</v>
      </c>
      <c r="U647">
        <v>0</v>
      </c>
      <c r="V647">
        <v>3</v>
      </c>
      <c r="W647" t="s">
        <v>1194</v>
      </c>
      <c r="X647" t="s">
        <v>973</v>
      </c>
      <c r="Y647">
        <v>10000</v>
      </c>
      <c r="Z647" s="2">
        <v>2</v>
      </c>
      <c r="AA647" s="2" t="s">
        <v>1238</v>
      </c>
      <c r="AB647" t="s">
        <v>1238</v>
      </c>
      <c r="AC647">
        <v>763</v>
      </c>
      <c r="AD647" t="s">
        <v>1279</v>
      </c>
      <c r="AE647">
        <v>2</v>
      </c>
      <c r="AF647" t="s">
        <v>1290</v>
      </c>
      <c r="AG647">
        <v>0</v>
      </c>
      <c r="AH647">
        <v>0</v>
      </c>
      <c r="AI647">
        <v>0</v>
      </c>
      <c r="AJ647">
        <v>1900</v>
      </c>
      <c r="AK647">
        <v>2015</v>
      </c>
      <c r="AL647" t="s">
        <v>1194</v>
      </c>
      <c r="AM647" s="4" t="s">
        <v>1304</v>
      </c>
      <c r="AN647">
        <v>1</v>
      </c>
      <c r="AO647" t="s">
        <v>1316</v>
      </c>
      <c r="AP647">
        <f t="shared" si="20"/>
        <v>0</v>
      </c>
      <c r="AQ647">
        <v>1</v>
      </c>
      <c r="AR647" t="s">
        <v>1992</v>
      </c>
      <c r="AS647" t="s">
        <v>1996</v>
      </c>
      <c r="AT647" t="s">
        <v>1996</v>
      </c>
      <c r="AU647" t="s">
        <v>1996</v>
      </c>
      <c r="AV647" t="s">
        <v>1995</v>
      </c>
      <c r="AW647" t="s">
        <v>1995</v>
      </c>
      <c r="AX647" t="s">
        <v>2003</v>
      </c>
      <c r="AY647" t="s">
        <v>1996</v>
      </c>
      <c r="AZ647">
        <v>2002</v>
      </c>
      <c r="BA647" t="s">
        <v>1194</v>
      </c>
      <c r="BB647" t="s">
        <v>1194</v>
      </c>
      <c r="BC647" s="3">
        <v>0</v>
      </c>
      <c r="BD647" s="3">
        <v>1881.5</v>
      </c>
      <c r="BE647" s="3">
        <v>0</v>
      </c>
      <c r="BF647" s="3">
        <v>0</v>
      </c>
      <c r="BG647" s="3">
        <v>160</v>
      </c>
      <c r="BH647" s="3">
        <v>0</v>
      </c>
      <c r="BI647" s="3">
        <v>0</v>
      </c>
      <c r="BJ647" s="3">
        <v>4401.1899999999996</v>
      </c>
      <c r="BK647" s="3">
        <v>-15</v>
      </c>
      <c r="BL647" s="3">
        <v>4386.1899999999996</v>
      </c>
      <c r="BM647" s="2">
        <f t="shared" ca="1" si="21"/>
        <v>4</v>
      </c>
      <c r="BN647" s="3">
        <v>1000000</v>
      </c>
      <c r="BO647" s="3">
        <v>100000</v>
      </c>
      <c r="BP647" s="3">
        <v>50000</v>
      </c>
      <c r="BQ647" s="3">
        <v>500000</v>
      </c>
      <c r="BR647" s="3">
        <v>2000000</v>
      </c>
      <c r="BS647">
        <v>500000</v>
      </c>
      <c r="BT647">
        <v>0</v>
      </c>
      <c r="BU647">
        <v>0</v>
      </c>
      <c r="BV647">
        <v>1</v>
      </c>
      <c r="BW647">
        <v>0</v>
      </c>
      <c r="BX647">
        <v>0</v>
      </c>
      <c r="BY647">
        <v>0</v>
      </c>
      <c r="BZ647" t="s">
        <v>2949</v>
      </c>
      <c r="CA647" t="s">
        <v>1194</v>
      </c>
      <c r="CB647" t="s">
        <v>2949</v>
      </c>
    </row>
    <row r="648" spans="1:80" x14ac:dyDescent="0.25">
      <c r="A648">
        <v>647</v>
      </c>
      <c r="B648" t="s">
        <v>2661</v>
      </c>
      <c r="C648" s="1">
        <v>44686</v>
      </c>
      <c r="D648">
        <v>12</v>
      </c>
      <c r="E648" t="s">
        <v>5</v>
      </c>
      <c r="F648" t="s">
        <v>1310</v>
      </c>
      <c r="G648">
        <v>1</v>
      </c>
      <c r="H648" s="3">
        <v>3427865</v>
      </c>
      <c r="I648" s="3">
        <v>94814</v>
      </c>
      <c r="J648" s="3">
        <v>1028359</v>
      </c>
      <c r="K648" s="3">
        <v>685573</v>
      </c>
      <c r="L648" t="s">
        <v>1191</v>
      </c>
      <c r="M648">
        <v>642743</v>
      </c>
      <c r="N648" t="s">
        <v>1435</v>
      </c>
      <c r="P648" t="s">
        <v>1810</v>
      </c>
      <c r="Q648" t="s">
        <v>1239</v>
      </c>
      <c r="R648">
        <v>80111</v>
      </c>
      <c r="S648" t="s">
        <v>1811</v>
      </c>
      <c r="T648" t="s">
        <v>965</v>
      </c>
      <c r="U648">
        <v>0</v>
      </c>
      <c r="V648">
        <v>108</v>
      </c>
      <c r="W648" t="s">
        <v>1194</v>
      </c>
      <c r="X648" t="s">
        <v>973</v>
      </c>
      <c r="Y648">
        <v>10000</v>
      </c>
      <c r="Z648" s="2">
        <v>1.0000102099999999</v>
      </c>
      <c r="AA648" s="2">
        <v>1</v>
      </c>
      <c r="AB648" t="s">
        <v>1277</v>
      </c>
      <c r="AC648">
        <v>762</v>
      </c>
      <c r="AD648" t="s">
        <v>1279</v>
      </c>
      <c r="AE648">
        <v>3</v>
      </c>
      <c r="AF648" t="s">
        <v>1290</v>
      </c>
      <c r="AG648">
        <v>0</v>
      </c>
      <c r="AH648">
        <v>0</v>
      </c>
      <c r="AI648">
        <v>0</v>
      </c>
      <c r="AJ648">
        <v>1991</v>
      </c>
      <c r="AK648" t="s">
        <v>1194</v>
      </c>
      <c r="AL648">
        <v>1996</v>
      </c>
      <c r="AM648" s="4" t="s">
        <v>1306</v>
      </c>
      <c r="AN648">
        <v>0</v>
      </c>
      <c r="AO648" t="s">
        <v>1315</v>
      </c>
      <c r="AP648">
        <f t="shared" si="20"/>
        <v>0</v>
      </c>
      <c r="AQ648">
        <v>1</v>
      </c>
      <c r="AR648" t="s">
        <v>1992</v>
      </c>
      <c r="AS648" t="s">
        <v>1995</v>
      </c>
      <c r="AT648" t="s">
        <v>1996</v>
      </c>
      <c r="AU648" t="s">
        <v>1995</v>
      </c>
      <c r="AV648" t="s">
        <v>1996</v>
      </c>
      <c r="AW648" t="s">
        <v>1996</v>
      </c>
      <c r="AX648" t="s">
        <v>1194</v>
      </c>
      <c r="AY648" t="s">
        <v>1996</v>
      </c>
      <c r="AZ648">
        <v>7000</v>
      </c>
      <c r="BA648" t="s">
        <v>1194</v>
      </c>
      <c r="BB648" t="s">
        <v>2016</v>
      </c>
      <c r="BC648" s="3">
        <v>0</v>
      </c>
      <c r="BD648" s="3">
        <v>0</v>
      </c>
      <c r="BE648" s="3">
        <v>0</v>
      </c>
      <c r="BF648" s="3">
        <v>803.99</v>
      </c>
      <c r="BG648" s="3">
        <v>175</v>
      </c>
      <c r="BH648" s="3">
        <v>0</v>
      </c>
      <c r="BI648" s="3">
        <v>0</v>
      </c>
      <c r="BJ648" s="3">
        <v>7576.89</v>
      </c>
      <c r="BK648" s="3">
        <v>0</v>
      </c>
      <c r="BL648" s="3">
        <v>7576.89</v>
      </c>
      <c r="BM648" s="2">
        <f t="shared" ca="1" si="21"/>
        <v>0</v>
      </c>
      <c r="BN648" s="3">
        <v>1000000</v>
      </c>
      <c r="BO648" s="3">
        <v>25000</v>
      </c>
      <c r="BP648" s="3" t="s">
        <v>2922</v>
      </c>
      <c r="BQ648" s="3">
        <v>25000</v>
      </c>
      <c r="BR648" s="3">
        <v>1000000</v>
      </c>
      <c r="BS648">
        <v>50000</v>
      </c>
      <c r="BT648">
        <v>0</v>
      </c>
      <c r="BU648">
        <v>0</v>
      </c>
      <c r="BV648">
        <v>1</v>
      </c>
      <c r="BW648">
        <v>0</v>
      </c>
      <c r="BX648">
        <v>0</v>
      </c>
      <c r="BY648">
        <v>0</v>
      </c>
      <c r="BZ648" t="s">
        <v>2958</v>
      </c>
      <c r="CA648" t="s">
        <v>1194</v>
      </c>
      <c r="CB648" t="s">
        <v>2941</v>
      </c>
    </row>
    <row r="649" spans="1:80" x14ac:dyDescent="0.25">
      <c r="A649">
        <v>648</v>
      </c>
      <c r="B649" t="s">
        <v>2662</v>
      </c>
      <c r="C649" s="1">
        <v>44699</v>
      </c>
      <c r="D649">
        <v>12</v>
      </c>
      <c r="E649" t="s">
        <v>4</v>
      </c>
      <c r="F649" t="s">
        <v>1311</v>
      </c>
      <c r="G649">
        <v>0</v>
      </c>
      <c r="H649" s="3">
        <v>2668000</v>
      </c>
      <c r="I649" s="3">
        <v>533600</v>
      </c>
      <c r="J649" s="3">
        <v>1334000.5819999999</v>
      </c>
      <c r="K649" s="3">
        <v>458426.2</v>
      </c>
      <c r="L649" t="s">
        <v>1191</v>
      </c>
      <c r="M649">
        <v>645912</v>
      </c>
      <c r="N649" t="s">
        <v>1436</v>
      </c>
      <c r="P649" t="s">
        <v>381</v>
      </c>
      <c r="Q649" t="s">
        <v>1320</v>
      </c>
      <c r="R649">
        <v>3870</v>
      </c>
      <c r="S649" t="s">
        <v>1812</v>
      </c>
      <c r="T649" t="s">
        <v>965</v>
      </c>
      <c r="U649">
        <v>0</v>
      </c>
      <c r="V649">
        <v>1</v>
      </c>
      <c r="W649" t="s">
        <v>1194</v>
      </c>
      <c r="X649" t="s">
        <v>973</v>
      </c>
      <c r="Y649">
        <v>10000</v>
      </c>
      <c r="Z649" s="2" t="s">
        <v>1194</v>
      </c>
      <c r="AA649" s="2">
        <v>1</v>
      </c>
      <c r="AB649">
        <v>5.0000000000000001E-3</v>
      </c>
      <c r="AC649">
        <v>734</v>
      </c>
      <c r="AD649" t="s">
        <v>1279</v>
      </c>
      <c r="AE649">
        <v>5</v>
      </c>
      <c r="AF649" t="s">
        <v>1290</v>
      </c>
      <c r="AG649">
        <v>0</v>
      </c>
      <c r="AH649">
        <v>0</v>
      </c>
      <c r="AI649">
        <v>0</v>
      </c>
      <c r="AJ649">
        <v>2016</v>
      </c>
      <c r="AK649" t="s">
        <v>1194</v>
      </c>
      <c r="AL649">
        <v>2016</v>
      </c>
      <c r="AM649" s="4" t="s">
        <v>1238</v>
      </c>
      <c r="AN649">
        <v>0</v>
      </c>
      <c r="AO649" t="s">
        <v>1316</v>
      </c>
      <c r="AP649">
        <f t="shared" si="20"/>
        <v>0</v>
      </c>
      <c r="AQ649">
        <v>0</v>
      </c>
      <c r="AR649" t="s">
        <v>1993</v>
      </c>
      <c r="AS649" t="s">
        <v>1996</v>
      </c>
      <c r="AT649" t="s">
        <v>1996</v>
      </c>
      <c r="AU649" t="s">
        <v>1995</v>
      </c>
      <c r="AV649" t="s">
        <v>1995</v>
      </c>
      <c r="AW649" t="s">
        <v>1996</v>
      </c>
      <c r="AX649" t="s">
        <v>1194</v>
      </c>
      <c r="AY649" t="s">
        <v>1996</v>
      </c>
      <c r="AZ649">
        <v>4181</v>
      </c>
      <c r="BA649" t="s">
        <v>1194</v>
      </c>
      <c r="BB649" t="s">
        <v>1194</v>
      </c>
      <c r="BC649" s="3">
        <v>0</v>
      </c>
      <c r="BD649" s="3">
        <v>0</v>
      </c>
      <c r="BE649" s="3">
        <v>0</v>
      </c>
      <c r="BF649" s="3">
        <v>0</v>
      </c>
      <c r="BG649" s="3">
        <v>140</v>
      </c>
      <c r="BH649" s="3">
        <v>0</v>
      </c>
      <c r="BI649" s="3">
        <v>0</v>
      </c>
      <c r="BJ649" s="3">
        <v>6122.64</v>
      </c>
      <c r="BK649" s="3">
        <v>1227.5999999999999</v>
      </c>
      <c r="BL649" s="3">
        <v>6696.63</v>
      </c>
      <c r="BM649" s="2">
        <f t="shared" ca="1" si="21"/>
        <v>5</v>
      </c>
      <c r="BN649" s="3">
        <v>250000</v>
      </c>
      <c r="BO649" s="3">
        <v>25000</v>
      </c>
      <c r="BP649" s="3">
        <v>100000</v>
      </c>
      <c r="BQ649" s="3">
        <v>50000</v>
      </c>
      <c r="BR649" s="3">
        <v>250000</v>
      </c>
      <c r="BS649">
        <v>50000</v>
      </c>
      <c r="BT649">
        <v>0</v>
      </c>
      <c r="BU649">
        <v>1</v>
      </c>
      <c r="BV649">
        <v>0</v>
      </c>
      <c r="BW649">
        <v>1</v>
      </c>
      <c r="BX649">
        <v>0</v>
      </c>
      <c r="BY649">
        <v>0</v>
      </c>
      <c r="BZ649" t="s">
        <v>2949</v>
      </c>
      <c r="CA649" t="s">
        <v>1194</v>
      </c>
      <c r="CB649" t="s">
        <v>2949</v>
      </c>
    </row>
    <row r="650" spans="1:80" x14ac:dyDescent="0.25">
      <c r="A650">
        <v>649</v>
      </c>
      <c r="B650" t="s">
        <v>2663</v>
      </c>
      <c r="C650" s="1">
        <v>44651</v>
      </c>
      <c r="D650">
        <v>12</v>
      </c>
      <c r="E650" t="s">
        <v>4</v>
      </c>
      <c r="F650" t="s">
        <v>1311</v>
      </c>
      <c r="G650">
        <v>0</v>
      </c>
      <c r="H650" s="3">
        <v>4000000</v>
      </c>
      <c r="I650" s="3">
        <v>400000</v>
      </c>
      <c r="J650" s="3">
        <v>1750000</v>
      </c>
      <c r="K650" s="3">
        <v>0</v>
      </c>
      <c r="L650" t="s">
        <v>1191</v>
      </c>
      <c r="M650">
        <v>731391</v>
      </c>
      <c r="N650" t="s">
        <v>1437</v>
      </c>
      <c r="P650" t="s">
        <v>1813</v>
      </c>
      <c r="Q650" t="s">
        <v>1240</v>
      </c>
      <c r="R650">
        <v>6831</v>
      </c>
      <c r="S650" t="s">
        <v>1706</v>
      </c>
      <c r="T650" t="s">
        <v>965</v>
      </c>
      <c r="U650">
        <v>0</v>
      </c>
      <c r="V650">
        <v>54</v>
      </c>
      <c r="W650" t="s">
        <v>1194</v>
      </c>
      <c r="X650" t="s">
        <v>973</v>
      </c>
      <c r="Y650">
        <v>10000</v>
      </c>
      <c r="Z650" s="2" t="s">
        <v>1194</v>
      </c>
      <c r="AA650" s="2" t="s">
        <v>1238</v>
      </c>
      <c r="AB650" t="s">
        <v>1238</v>
      </c>
      <c r="AC650">
        <v>808</v>
      </c>
      <c r="AD650" t="s">
        <v>1284</v>
      </c>
      <c r="AE650">
        <v>8</v>
      </c>
      <c r="AF650" t="s">
        <v>1290</v>
      </c>
      <c r="AG650">
        <v>0</v>
      </c>
      <c r="AH650">
        <v>0</v>
      </c>
      <c r="AI650">
        <v>0</v>
      </c>
      <c r="AJ650">
        <v>1977</v>
      </c>
      <c r="AK650" t="s">
        <v>1194</v>
      </c>
      <c r="AL650" t="s">
        <v>1194</v>
      </c>
      <c r="AM650" s="4" t="s">
        <v>1238</v>
      </c>
      <c r="AN650">
        <v>1</v>
      </c>
      <c r="AO650" t="s">
        <v>1315</v>
      </c>
      <c r="AP650">
        <f t="shared" si="20"/>
        <v>0</v>
      </c>
      <c r="AQ650">
        <v>0</v>
      </c>
      <c r="AR650" t="s">
        <v>1993</v>
      </c>
      <c r="AS650" t="s">
        <v>1996</v>
      </c>
      <c r="AT650" t="s">
        <v>1996</v>
      </c>
      <c r="AU650" t="s">
        <v>1995</v>
      </c>
      <c r="AV650" t="s">
        <v>1995</v>
      </c>
      <c r="AW650" t="s">
        <v>1995</v>
      </c>
      <c r="AX650" t="s">
        <v>2003</v>
      </c>
      <c r="AY650" t="s">
        <v>1996</v>
      </c>
      <c r="AZ650">
        <v>5308</v>
      </c>
      <c r="BA650" t="s">
        <v>1194</v>
      </c>
      <c r="BB650" t="s">
        <v>1194</v>
      </c>
      <c r="BC650" s="3">
        <v>0</v>
      </c>
      <c r="BD650" s="3">
        <v>0</v>
      </c>
      <c r="BE650" s="3">
        <v>0</v>
      </c>
      <c r="BF650" s="3">
        <v>0</v>
      </c>
      <c r="BG650" s="3">
        <v>130</v>
      </c>
      <c r="BH650" s="3">
        <v>0</v>
      </c>
      <c r="BI650" s="3">
        <v>0</v>
      </c>
      <c r="BJ650" s="3">
        <v>9762</v>
      </c>
      <c r="BK650" s="3">
        <v>321</v>
      </c>
      <c r="BL650" s="3">
        <v>10083</v>
      </c>
      <c r="BM650" s="2">
        <f t="shared" ca="1" si="21"/>
        <v>1</v>
      </c>
      <c r="BN650" s="3">
        <v>250000</v>
      </c>
      <c r="BO650" s="3">
        <v>20000</v>
      </c>
      <c r="BP650" s="3">
        <v>100000</v>
      </c>
      <c r="BQ650" s="3">
        <v>1000000</v>
      </c>
      <c r="BR650" s="3">
        <v>2000000</v>
      </c>
      <c r="BS650">
        <v>250000</v>
      </c>
      <c r="BT650">
        <v>0</v>
      </c>
      <c r="BU650">
        <v>0</v>
      </c>
      <c r="BV650">
        <v>1</v>
      </c>
      <c r="BW650">
        <v>1</v>
      </c>
      <c r="BX650">
        <v>1</v>
      </c>
      <c r="BY650">
        <v>0</v>
      </c>
      <c r="BZ650" t="s">
        <v>2949</v>
      </c>
      <c r="CA650" t="s">
        <v>1194</v>
      </c>
      <c r="CB650" t="s">
        <v>2941</v>
      </c>
    </row>
    <row r="651" spans="1:80" x14ac:dyDescent="0.25">
      <c r="A651">
        <v>650</v>
      </c>
      <c r="B651" t="s">
        <v>2664</v>
      </c>
      <c r="C651" s="1">
        <v>44816</v>
      </c>
      <c r="D651">
        <v>12</v>
      </c>
      <c r="E651" t="s">
        <v>4</v>
      </c>
      <c r="F651" t="s">
        <v>1311</v>
      </c>
      <c r="G651">
        <v>0</v>
      </c>
      <c r="H651" s="3">
        <v>2484000</v>
      </c>
      <c r="I651" s="3">
        <v>496800</v>
      </c>
      <c r="J651" s="3">
        <v>1242000</v>
      </c>
      <c r="K651" s="3">
        <v>496800</v>
      </c>
      <c r="L651" t="s">
        <v>1191</v>
      </c>
      <c r="M651">
        <v>1985817</v>
      </c>
      <c r="N651" t="s">
        <v>1438</v>
      </c>
      <c r="P651" t="s">
        <v>1814</v>
      </c>
      <c r="Q651" t="s">
        <v>1252</v>
      </c>
      <c r="R651">
        <v>49424</v>
      </c>
      <c r="S651" t="s">
        <v>1755</v>
      </c>
      <c r="T651" t="s">
        <v>965</v>
      </c>
      <c r="U651">
        <v>0</v>
      </c>
      <c r="V651">
        <v>8</v>
      </c>
      <c r="W651" t="s">
        <v>1194</v>
      </c>
      <c r="X651" t="s">
        <v>973</v>
      </c>
      <c r="Y651">
        <v>10000</v>
      </c>
      <c r="Z651" s="2" t="s">
        <v>1194</v>
      </c>
      <c r="AA651" s="2">
        <v>1</v>
      </c>
      <c r="AB651">
        <v>5.0000000000000001E-3</v>
      </c>
      <c r="AC651">
        <v>799</v>
      </c>
      <c r="AD651" t="s">
        <v>1279</v>
      </c>
      <c r="AE651">
        <v>4</v>
      </c>
      <c r="AF651" t="s">
        <v>1290</v>
      </c>
      <c r="AG651">
        <v>0</v>
      </c>
      <c r="AH651">
        <v>0</v>
      </c>
      <c r="AI651">
        <v>0</v>
      </c>
      <c r="AJ651">
        <v>1994</v>
      </c>
      <c r="AK651">
        <v>2022</v>
      </c>
      <c r="AL651">
        <v>2007</v>
      </c>
      <c r="AM651" s="4" t="s">
        <v>1238</v>
      </c>
      <c r="AN651">
        <v>0</v>
      </c>
      <c r="AO651" t="s">
        <v>1315</v>
      </c>
      <c r="AP651">
        <f t="shared" si="20"/>
        <v>0</v>
      </c>
      <c r="AQ651">
        <v>0</v>
      </c>
      <c r="AR651" t="s">
        <v>1993</v>
      </c>
      <c r="AS651" t="s">
        <v>1996</v>
      </c>
      <c r="AT651" t="s">
        <v>1996</v>
      </c>
      <c r="AU651" t="s">
        <v>1996</v>
      </c>
      <c r="AV651" t="s">
        <v>1995</v>
      </c>
      <c r="AW651" t="s">
        <v>1995</v>
      </c>
      <c r="AX651" t="s">
        <v>1194</v>
      </c>
      <c r="AY651" t="s">
        <v>1996</v>
      </c>
      <c r="AZ651">
        <v>2226</v>
      </c>
      <c r="BA651" t="s">
        <v>1194</v>
      </c>
      <c r="BB651" t="s">
        <v>1194</v>
      </c>
      <c r="BC651" s="3">
        <v>0</v>
      </c>
      <c r="BD651" s="3">
        <v>0</v>
      </c>
      <c r="BE651" s="3">
        <v>0</v>
      </c>
      <c r="BF651" s="3">
        <v>0</v>
      </c>
      <c r="BG651" s="3">
        <v>150</v>
      </c>
      <c r="BH651" s="3">
        <v>0</v>
      </c>
      <c r="BI651" s="3">
        <v>0</v>
      </c>
      <c r="BJ651" s="3">
        <v>6670.03</v>
      </c>
      <c r="BK651" s="3">
        <v>-15</v>
      </c>
      <c r="BL651" s="3">
        <v>6655.03</v>
      </c>
      <c r="BM651" s="2">
        <f t="shared" ca="1" si="21"/>
        <v>2</v>
      </c>
      <c r="BN651" s="3">
        <v>250000</v>
      </c>
      <c r="BO651" s="3">
        <v>25000</v>
      </c>
      <c r="BP651" s="3">
        <v>50000</v>
      </c>
      <c r="BQ651" s="3">
        <v>500000</v>
      </c>
      <c r="BR651" s="3">
        <v>50000</v>
      </c>
      <c r="BS651">
        <v>500000</v>
      </c>
      <c r="BT651">
        <v>0</v>
      </c>
      <c r="BU651">
        <v>0</v>
      </c>
      <c r="BV651">
        <v>0</v>
      </c>
      <c r="BW651">
        <v>1</v>
      </c>
      <c r="BX651">
        <v>1</v>
      </c>
      <c r="BY651">
        <v>0</v>
      </c>
      <c r="BZ651" t="s">
        <v>2958</v>
      </c>
      <c r="CA651" t="s">
        <v>1194</v>
      </c>
      <c r="CB651" t="s">
        <v>2941</v>
      </c>
    </row>
    <row r="652" spans="1:80" x14ac:dyDescent="0.25">
      <c r="A652">
        <v>651</v>
      </c>
      <c r="B652" t="s">
        <v>2665</v>
      </c>
      <c r="C652" s="1">
        <v>44713</v>
      </c>
      <c r="D652">
        <v>18</v>
      </c>
      <c r="E652" t="s">
        <v>4</v>
      </c>
      <c r="F652" t="s">
        <v>1311</v>
      </c>
      <c r="G652">
        <v>0</v>
      </c>
      <c r="H652" s="3">
        <v>2462228</v>
      </c>
      <c r="I652" s="3">
        <v>492446</v>
      </c>
      <c r="J652" s="3">
        <v>0</v>
      </c>
      <c r="K652" s="3">
        <v>0</v>
      </c>
      <c r="L652" t="s">
        <v>1191</v>
      </c>
      <c r="M652">
        <v>650579</v>
      </c>
      <c r="N652" t="s">
        <v>1439</v>
      </c>
      <c r="P652" t="s">
        <v>1716</v>
      </c>
      <c r="Q652" t="s">
        <v>1241</v>
      </c>
      <c r="R652">
        <v>20008</v>
      </c>
      <c r="S652" t="s">
        <v>1815</v>
      </c>
      <c r="T652" t="s">
        <v>1194</v>
      </c>
      <c r="U652">
        <v>0</v>
      </c>
      <c r="V652">
        <v>1</v>
      </c>
      <c r="W652" t="s">
        <v>1194</v>
      </c>
      <c r="X652" t="s">
        <v>973</v>
      </c>
      <c r="Y652">
        <v>10000</v>
      </c>
      <c r="Z652" s="2" t="s">
        <v>1194</v>
      </c>
      <c r="AA652" s="2">
        <v>1</v>
      </c>
      <c r="AB652">
        <v>2500</v>
      </c>
      <c r="AC652">
        <v>680</v>
      </c>
      <c r="AD652" t="s">
        <v>1280</v>
      </c>
      <c r="AE652">
        <v>2</v>
      </c>
      <c r="AF652" t="s">
        <v>1290</v>
      </c>
      <c r="AG652">
        <v>0</v>
      </c>
      <c r="AH652">
        <v>0</v>
      </c>
      <c r="AI652">
        <v>0</v>
      </c>
      <c r="AJ652">
        <v>1941</v>
      </c>
      <c r="AK652" t="s">
        <v>1194</v>
      </c>
      <c r="AL652" t="s">
        <v>1194</v>
      </c>
      <c r="AM652" s="4" t="s">
        <v>1238</v>
      </c>
      <c r="AN652">
        <v>0</v>
      </c>
      <c r="AO652" t="s">
        <v>1315</v>
      </c>
      <c r="AP652">
        <f t="shared" si="20"/>
        <v>0</v>
      </c>
      <c r="AQ652">
        <v>1</v>
      </c>
      <c r="AR652" t="s">
        <v>1992</v>
      </c>
      <c r="AS652" t="s">
        <v>1996</v>
      </c>
      <c r="AT652" t="s">
        <v>1996</v>
      </c>
      <c r="AU652" t="s">
        <v>1995</v>
      </c>
      <c r="AV652" t="s">
        <v>1995</v>
      </c>
      <c r="AW652" t="s">
        <v>1996</v>
      </c>
      <c r="AX652" t="s">
        <v>2003</v>
      </c>
      <c r="AY652" t="s">
        <v>1996</v>
      </c>
      <c r="AZ652">
        <v>3556</v>
      </c>
      <c r="BA652" t="s">
        <v>1194</v>
      </c>
      <c r="BB652" t="s">
        <v>1194</v>
      </c>
      <c r="BC652" s="3">
        <v>0</v>
      </c>
      <c r="BD652" s="3">
        <v>0</v>
      </c>
      <c r="BE652" s="3">
        <v>0</v>
      </c>
      <c r="BF652" s="3">
        <v>0</v>
      </c>
      <c r="BG652" s="3">
        <v>150</v>
      </c>
      <c r="BH652" s="3">
        <v>0</v>
      </c>
      <c r="BI652" s="3">
        <v>0</v>
      </c>
      <c r="BJ652" s="3">
        <v>8363.7900000000009</v>
      </c>
      <c r="BK652" s="3">
        <v>-15</v>
      </c>
      <c r="BL652" s="3">
        <v>8348.7900000000009</v>
      </c>
      <c r="BM652" s="2">
        <f t="shared" ca="1" si="21"/>
        <v>1</v>
      </c>
      <c r="BN652" s="3">
        <v>100000</v>
      </c>
      <c r="BO652" s="3">
        <v>50000</v>
      </c>
      <c r="BP652" s="3">
        <v>50000</v>
      </c>
      <c r="BQ652" s="3">
        <v>50000</v>
      </c>
      <c r="BR652" s="3">
        <v>50000</v>
      </c>
      <c r="BS652">
        <v>500000</v>
      </c>
      <c r="BT652">
        <v>0</v>
      </c>
      <c r="BU652">
        <v>0</v>
      </c>
      <c r="BV652">
        <v>1</v>
      </c>
      <c r="BW652">
        <v>0</v>
      </c>
      <c r="BX652">
        <v>0</v>
      </c>
      <c r="BY652">
        <v>0</v>
      </c>
      <c r="BZ652" t="s">
        <v>2959</v>
      </c>
      <c r="CA652" t="s">
        <v>1194</v>
      </c>
      <c r="CB652" t="s">
        <v>2941</v>
      </c>
    </row>
    <row r="653" spans="1:80" x14ac:dyDescent="0.25">
      <c r="A653">
        <v>652</v>
      </c>
      <c r="B653" t="s">
        <v>2666</v>
      </c>
      <c r="C653" s="1">
        <v>44701</v>
      </c>
      <c r="D653">
        <v>33</v>
      </c>
      <c r="E653" t="s">
        <v>5</v>
      </c>
      <c r="F653" t="s">
        <v>1310</v>
      </c>
      <c r="G653">
        <v>0</v>
      </c>
      <c r="H653" s="3">
        <v>3652640</v>
      </c>
      <c r="I653" s="3">
        <v>427377</v>
      </c>
      <c r="J653" s="3">
        <v>1941711</v>
      </c>
      <c r="K653" s="3">
        <v>730528</v>
      </c>
      <c r="L653" t="s">
        <v>1191</v>
      </c>
      <c r="M653">
        <v>650737</v>
      </c>
      <c r="N653" t="s">
        <v>1440</v>
      </c>
      <c r="P653" t="s">
        <v>1816</v>
      </c>
      <c r="Q653" t="s">
        <v>1263</v>
      </c>
      <c r="R653">
        <v>18045</v>
      </c>
      <c r="S653" t="s">
        <v>1817</v>
      </c>
      <c r="T653" t="s">
        <v>965</v>
      </c>
      <c r="U653">
        <v>0</v>
      </c>
      <c r="V653">
        <v>1</v>
      </c>
      <c r="W653" t="s">
        <v>1194</v>
      </c>
      <c r="X653" t="s">
        <v>973</v>
      </c>
      <c r="Y653">
        <v>10000</v>
      </c>
      <c r="Z653" s="2" t="s">
        <v>1194</v>
      </c>
      <c r="AA653" s="2">
        <v>1</v>
      </c>
      <c r="AB653">
        <v>0.02</v>
      </c>
      <c r="AC653">
        <v>862</v>
      </c>
      <c r="AD653" t="s">
        <v>1279</v>
      </c>
      <c r="AE653">
        <v>4</v>
      </c>
      <c r="AF653" t="s">
        <v>1290</v>
      </c>
      <c r="AG653">
        <v>1</v>
      </c>
      <c r="AH653">
        <v>0</v>
      </c>
      <c r="AI653">
        <v>1</v>
      </c>
      <c r="AJ653">
        <v>2007</v>
      </c>
      <c r="AK653" t="s">
        <v>1194</v>
      </c>
      <c r="AL653" t="s">
        <v>1194</v>
      </c>
      <c r="AM653" s="4" t="s">
        <v>1305</v>
      </c>
      <c r="AN653">
        <v>1</v>
      </c>
      <c r="AO653" t="s">
        <v>1315</v>
      </c>
      <c r="AP653">
        <f t="shared" si="20"/>
        <v>1</v>
      </c>
      <c r="AQ653">
        <v>1</v>
      </c>
      <c r="AR653" t="s">
        <v>1992</v>
      </c>
      <c r="AS653" t="s">
        <v>1996</v>
      </c>
      <c r="AT653" t="s">
        <v>1996</v>
      </c>
      <c r="AU653" t="s">
        <v>1995</v>
      </c>
      <c r="AV653" t="s">
        <v>1996</v>
      </c>
      <c r="AW653" t="s">
        <v>1996</v>
      </c>
      <c r="AX653" t="s">
        <v>2003</v>
      </c>
      <c r="AY653" t="s">
        <v>1996</v>
      </c>
      <c r="AZ653">
        <v>6302</v>
      </c>
      <c r="BA653" t="s">
        <v>1194</v>
      </c>
      <c r="BB653" t="s">
        <v>1194</v>
      </c>
      <c r="BC653" s="3">
        <v>0</v>
      </c>
      <c r="BD653" s="3">
        <v>0</v>
      </c>
      <c r="BE653" s="3">
        <v>0</v>
      </c>
      <c r="BF653" s="3">
        <v>0</v>
      </c>
      <c r="BG653" s="3">
        <v>150</v>
      </c>
      <c r="BH653" s="3">
        <v>0</v>
      </c>
      <c r="BI653" s="3">
        <v>0</v>
      </c>
      <c r="BJ653" s="3">
        <v>5365.18</v>
      </c>
      <c r="BK653" s="3">
        <v>611</v>
      </c>
      <c r="BL653" s="3">
        <v>5976.18</v>
      </c>
      <c r="BM653" s="2">
        <f t="shared" ca="1" si="21"/>
        <v>5</v>
      </c>
      <c r="BN653" s="3" t="s">
        <v>2916</v>
      </c>
      <c r="BO653" s="3">
        <v>250000</v>
      </c>
      <c r="BP653" s="3">
        <v>50000</v>
      </c>
      <c r="BQ653" s="3">
        <v>1000000</v>
      </c>
      <c r="BR653" s="3">
        <v>50000</v>
      </c>
      <c r="BS653">
        <v>500000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 t="s">
        <v>2949</v>
      </c>
      <c r="CA653" t="s">
        <v>1194</v>
      </c>
      <c r="CB653" t="s">
        <v>2941</v>
      </c>
    </row>
    <row r="654" spans="1:80" x14ac:dyDescent="0.25">
      <c r="A654">
        <v>653</v>
      </c>
      <c r="B654" t="s">
        <v>2667</v>
      </c>
      <c r="C654" s="1">
        <v>44720</v>
      </c>
      <c r="D654">
        <v>39</v>
      </c>
      <c r="E654" t="s">
        <v>5</v>
      </c>
      <c r="F654" t="s">
        <v>1310</v>
      </c>
      <c r="G654">
        <v>0</v>
      </c>
      <c r="H654" s="3">
        <v>2421798</v>
      </c>
      <c r="I654" s="3">
        <v>484360</v>
      </c>
      <c r="J654" s="3">
        <v>1666765</v>
      </c>
      <c r="K654" s="3">
        <v>0</v>
      </c>
      <c r="L654" t="s">
        <v>1191</v>
      </c>
      <c r="M654">
        <v>662492</v>
      </c>
      <c r="N654" t="s">
        <v>1441</v>
      </c>
      <c r="P654" t="s">
        <v>1818</v>
      </c>
      <c r="Q654" t="s">
        <v>1263</v>
      </c>
      <c r="R654">
        <v>19355</v>
      </c>
      <c r="S654" t="s">
        <v>1819</v>
      </c>
      <c r="T654" t="s">
        <v>965</v>
      </c>
      <c r="U654">
        <v>0</v>
      </c>
      <c r="V654">
        <v>5</v>
      </c>
      <c r="W654" t="s">
        <v>1194</v>
      </c>
      <c r="X654" t="s">
        <v>973</v>
      </c>
      <c r="Y654">
        <v>10000</v>
      </c>
      <c r="Z654" s="2" t="s">
        <v>1194</v>
      </c>
      <c r="AA654" s="2">
        <v>1</v>
      </c>
      <c r="AB654">
        <v>0.01</v>
      </c>
      <c r="AC654">
        <v>811</v>
      </c>
      <c r="AD654" t="s">
        <v>1279</v>
      </c>
      <c r="AE654">
        <v>4</v>
      </c>
      <c r="AF654" t="s">
        <v>1290</v>
      </c>
      <c r="AG654">
        <v>0</v>
      </c>
      <c r="AH654">
        <v>0</v>
      </c>
      <c r="AI654">
        <v>0</v>
      </c>
      <c r="AJ654">
        <v>1965</v>
      </c>
      <c r="AK654" t="s">
        <v>1194</v>
      </c>
      <c r="AL654" t="s">
        <v>1194</v>
      </c>
      <c r="AM654" s="4" t="s">
        <v>1307</v>
      </c>
      <c r="AN654">
        <v>0</v>
      </c>
      <c r="AO654" t="s">
        <v>1317</v>
      </c>
      <c r="AP654">
        <f t="shared" si="20"/>
        <v>0</v>
      </c>
      <c r="AQ654">
        <v>0</v>
      </c>
      <c r="AR654" t="s">
        <v>1993</v>
      </c>
      <c r="AS654" t="s">
        <v>1995</v>
      </c>
      <c r="AT654" t="s">
        <v>1995</v>
      </c>
      <c r="AU654" t="s">
        <v>1995</v>
      </c>
      <c r="AV654" t="s">
        <v>1995</v>
      </c>
      <c r="AW654" t="s">
        <v>1995</v>
      </c>
      <c r="AX654" t="s">
        <v>2003</v>
      </c>
      <c r="AY654" t="s">
        <v>1996</v>
      </c>
      <c r="AZ654">
        <v>4957</v>
      </c>
      <c r="BA654" t="s">
        <v>1194</v>
      </c>
      <c r="BB654" t="s">
        <v>1194</v>
      </c>
      <c r="BC654" s="3">
        <v>0</v>
      </c>
      <c r="BD654" s="3">
        <v>0</v>
      </c>
      <c r="BE654" s="3">
        <v>0</v>
      </c>
      <c r="BF654" s="3">
        <v>0</v>
      </c>
      <c r="BG654" s="3">
        <v>200</v>
      </c>
      <c r="BH654" s="3">
        <v>0</v>
      </c>
      <c r="BI654" s="3">
        <v>0</v>
      </c>
      <c r="BJ654" s="3">
        <v>4887.8599999999997</v>
      </c>
      <c r="BK654" s="3">
        <v>69</v>
      </c>
      <c r="BL654" s="3">
        <v>4956.8599999999997</v>
      </c>
      <c r="BM654" s="2">
        <f t="shared" ca="1" si="21"/>
        <v>6</v>
      </c>
      <c r="BN654" s="3">
        <v>50000</v>
      </c>
      <c r="BO654" s="3">
        <v>100000</v>
      </c>
      <c r="BP654" s="3" t="s">
        <v>2922</v>
      </c>
      <c r="BQ654" s="3">
        <v>250000</v>
      </c>
      <c r="BR654" s="3">
        <v>100000</v>
      </c>
      <c r="BS654">
        <v>1000000</v>
      </c>
      <c r="BT654">
        <v>0</v>
      </c>
      <c r="BU654">
        <v>0</v>
      </c>
      <c r="BV654">
        <v>1</v>
      </c>
      <c r="BW654">
        <v>0</v>
      </c>
      <c r="BX654">
        <v>0</v>
      </c>
      <c r="BY654">
        <v>0</v>
      </c>
      <c r="BZ654" t="s">
        <v>2949</v>
      </c>
      <c r="CA654" t="s">
        <v>1194</v>
      </c>
      <c r="CB654" t="s">
        <v>2941</v>
      </c>
    </row>
    <row r="655" spans="1:80" x14ac:dyDescent="0.25">
      <c r="A655">
        <v>654</v>
      </c>
      <c r="B655" t="s">
        <v>2668</v>
      </c>
      <c r="C655" s="1">
        <v>44811</v>
      </c>
      <c r="D655">
        <v>30</v>
      </c>
      <c r="E655" t="s">
        <v>4</v>
      </c>
      <c r="F655" t="s">
        <v>1311</v>
      </c>
      <c r="G655">
        <v>1</v>
      </c>
      <c r="H655" s="3">
        <v>1405413</v>
      </c>
      <c r="I655" s="3">
        <v>215683</v>
      </c>
      <c r="J655" s="3">
        <v>754889</v>
      </c>
      <c r="K655" s="3">
        <v>0</v>
      </c>
      <c r="L655" t="s">
        <v>1191</v>
      </c>
      <c r="M655">
        <v>664305</v>
      </c>
      <c r="N655" t="s">
        <v>1442</v>
      </c>
      <c r="P655" t="s">
        <v>1820</v>
      </c>
      <c r="Q655" t="s">
        <v>1252</v>
      </c>
      <c r="R655">
        <v>49117</v>
      </c>
      <c r="S655" t="s">
        <v>1821</v>
      </c>
      <c r="T655" t="s">
        <v>965</v>
      </c>
      <c r="U655">
        <v>0</v>
      </c>
      <c r="V655">
        <v>8</v>
      </c>
      <c r="W655" t="s">
        <v>1194</v>
      </c>
      <c r="X655" t="s">
        <v>973</v>
      </c>
      <c r="Y655">
        <v>10000</v>
      </c>
      <c r="Z655" s="2" t="s">
        <v>1194</v>
      </c>
      <c r="AA655" s="2">
        <v>1</v>
      </c>
      <c r="AB655">
        <v>0.03</v>
      </c>
      <c r="AC655">
        <v>838</v>
      </c>
      <c r="AD655" t="s">
        <v>1279</v>
      </c>
      <c r="AE655">
        <v>5</v>
      </c>
      <c r="AF655" t="s">
        <v>1290</v>
      </c>
      <c r="AG655">
        <v>0</v>
      </c>
      <c r="AH655">
        <v>0</v>
      </c>
      <c r="AI655">
        <v>0</v>
      </c>
      <c r="AJ655">
        <v>1939</v>
      </c>
      <c r="AK655">
        <v>1985</v>
      </c>
      <c r="AL655" t="s">
        <v>1194</v>
      </c>
      <c r="AM655" s="4" t="s">
        <v>1238</v>
      </c>
      <c r="AN655">
        <v>1</v>
      </c>
      <c r="AO655" t="s">
        <v>1316</v>
      </c>
      <c r="AP655">
        <f t="shared" si="20"/>
        <v>0</v>
      </c>
      <c r="AQ655">
        <v>0</v>
      </c>
      <c r="AR655" t="s">
        <v>1993</v>
      </c>
      <c r="AS655" t="s">
        <v>1995</v>
      </c>
      <c r="AT655" t="s">
        <v>1995</v>
      </c>
      <c r="AU655" t="s">
        <v>1995</v>
      </c>
      <c r="AV655" t="s">
        <v>1996</v>
      </c>
      <c r="AW655" t="s">
        <v>1995</v>
      </c>
      <c r="AX655" t="s">
        <v>1194</v>
      </c>
      <c r="AY655" t="s">
        <v>1996</v>
      </c>
      <c r="AZ655">
        <v>2300</v>
      </c>
      <c r="BA655" t="s">
        <v>1194</v>
      </c>
      <c r="BB655" t="s">
        <v>1194</v>
      </c>
      <c r="BC655" s="3">
        <v>0</v>
      </c>
      <c r="BD655" s="3">
        <v>0</v>
      </c>
      <c r="BE655" s="3">
        <v>0</v>
      </c>
      <c r="BF655" s="3">
        <v>0</v>
      </c>
      <c r="BG655" s="3">
        <v>200</v>
      </c>
      <c r="BH655" s="3">
        <v>0</v>
      </c>
      <c r="BI655" s="3">
        <v>0</v>
      </c>
      <c r="BJ655" s="3">
        <v>4001.15</v>
      </c>
      <c r="BK655" s="3">
        <v>110</v>
      </c>
      <c r="BL655" s="3">
        <v>4111.1499999999996</v>
      </c>
      <c r="BM655" s="2">
        <f t="shared" ca="1" si="21"/>
        <v>3</v>
      </c>
      <c r="BN655" s="3" t="s">
        <v>2916</v>
      </c>
      <c r="BO655" s="3">
        <v>50000</v>
      </c>
      <c r="BP655" s="3">
        <v>200000</v>
      </c>
      <c r="BQ655" s="3">
        <v>50000</v>
      </c>
      <c r="BR655" s="3">
        <v>250000</v>
      </c>
      <c r="BS655">
        <v>500000</v>
      </c>
      <c r="BT655">
        <v>0</v>
      </c>
      <c r="BU655">
        <v>0</v>
      </c>
      <c r="BV655">
        <v>0</v>
      </c>
      <c r="BW655">
        <v>1</v>
      </c>
      <c r="BX655">
        <v>1</v>
      </c>
      <c r="BY655">
        <v>0</v>
      </c>
      <c r="BZ655" t="s">
        <v>2958</v>
      </c>
      <c r="CA655" t="s">
        <v>1194</v>
      </c>
      <c r="CB655" t="s">
        <v>2949</v>
      </c>
    </row>
    <row r="656" spans="1:80" x14ac:dyDescent="0.25">
      <c r="A656">
        <v>655</v>
      </c>
      <c r="B656" t="s">
        <v>2669</v>
      </c>
      <c r="C656" s="1">
        <v>44688</v>
      </c>
      <c r="D656">
        <v>12</v>
      </c>
      <c r="E656" t="s">
        <v>4</v>
      </c>
      <c r="F656" t="s">
        <v>1311</v>
      </c>
      <c r="G656">
        <v>0</v>
      </c>
      <c r="H656" s="3">
        <v>2180000</v>
      </c>
      <c r="I656" s="3">
        <v>218000</v>
      </c>
      <c r="J656" s="3">
        <v>0</v>
      </c>
      <c r="K656" s="3">
        <v>0</v>
      </c>
      <c r="L656" t="s">
        <v>1191</v>
      </c>
      <c r="M656">
        <v>821822</v>
      </c>
      <c r="N656" t="s">
        <v>1443</v>
      </c>
      <c r="P656" t="s">
        <v>1822</v>
      </c>
      <c r="Q656" t="s">
        <v>1263</v>
      </c>
      <c r="R656">
        <v>19010</v>
      </c>
      <c r="S656" t="s">
        <v>1823</v>
      </c>
      <c r="T656" t="s">
        <v>965</v>
      </c>
      <c r="U656">
        <v>0</v>
      </c>
      <c r="V656">
        <v>6</v>
      </c>
      <c r="W656" t="s">
        <v>1194</v>
      </c>
      <c r="X656" t="s">
        <v>973</v>
      </c>
      <c r="Y656">
        <v>10000</v>
      </c>
      <c r="Z656" s="2" t="s">
        <v>1194</v>
      </c>
      <c r="AA656" s="2">
        <v>1</v>
      </c>
      <c r="AB656">
        <v>0.01</v>
      </c>
      <c r="AC656">
        <v>779</v>
      </c>
      <c r="AD656" t="s">
        <v>1284</v>
      </c>
      <c r="AE656">
        <v>3</v>
      </c>
      <c r="AF656" t="s">
        <v>1290</v>
      </c>
      <c r="AG656">
        <v>0</v>
      </c>
      <c r="AH656">
        <v>0</v>
      </c>
      <c r="AI656">
        <v>0</v>
      </c>
      <c r="AJ656">
        <v>1930</v>
      </c>
      <c r="AK656" t="s">
        <v>1194</v>
      </c>
      <c r="AL656" t="s">
        <v>1194</v>
      </c>
      <c r="AM656" s="4" t="s">
        <v>1238</v>
      </c>
      <c r="AN656">
        <v>0</v>
      </c>
      <c r="AO656" t="s">
        <v>1315</v>
      </c>
      <c r="AP656">
        <f t="shared" si="20"/>
        <v>0</v>
      </c>
      <c r="AQ656">
        <v>0</v>
      </c>
      <c r="AR656" t="s">
        <v>1993</v>
      </c>
      <c r="AS656" t="s">
        <v>1995</v>
      </c>
      <c r="AT656" t="s">
        <v>1995</v>
      </c>
      <c r="AU656" t="s">
        <v>1995</v>
      </c>
      <c r="AV656" t="s">
        <v>1995</v>
      </c>
      <c r="AW656" t="s">
        <v>1996</v>
      </c>
      <c r="AX656" t="s">
        <v>2003</v>
      </c>
      <c r="AY656" t="s">
        <v>1996</v>
      </c>
      <c r="AZ656">
        <v>4580</v>
      </c>
      <c r="BA656" t="s">
        <v>1194</v>
      </c>
      <c r="BB656" t="s">
        <v>1194</v>
      </c>
      <c r="BC656" s="3">
        <v>0</v>
      </c>
      <c r="BD656" s="3">
        <v>0</v>
      </c>
      <c r="BE656" s="3">
        <v>0</v>
      </c>
      <c r="BF656" s="3">
        <v>0</v>
      </c>
      <c r="BG656" s="3">
        <v>150</v>
      </c>
      <c r="BH656" s="3">
        <v>0</v>
      </c>
      <c r="BI656" s="3">
        <v>0</v>
      </c>
      <c r="BJ656" s="3">
        <v>6757.75</v>
      </c>
      <c r="BK656" s="3">
        <v>235</v>
      </c>
      <c r="BL656" s="3">
        <v>6992.75</v>
      </c>
      <c r="BM656" s="2">
        <f t="shared" ca="1" si="21"/>
        <v>5</v>
      </c>
      <c r="BN656" s="3" t="s">
        <v>2916</v>
      </c>
      <c r="BO656" s="3">
        <v>250000</v>
      </c>
      <c r="BP656" s="3">
        <v>200000</v>
      </c>
      <c r="BQ656" s="3">
        <v>250000</v>
      </c>
      <c r="BR656" s="3">
        <v>250000</v>
      </c>
      <c r="BS656">
        <v>1000000</v>
      </c>
      <c r="BT656">
        <v>0</v>
      </c>
      <c r="BU656">
        <v>0</v>
      </c>
      <c r="BV656">
        <v>0</v>
      </c>
      <c r="BW656">
        <v>1</v>
      </c>
      <c r="BX656">
        <v>0</v>
      </c>
      <c r="BY656">
        <v>1</v>
      </c>
      <c r="BZ656" t="s">
        <v>2949</v>
      </c>
      <c r="CA656" t="s">
        <v>1194</v>
      </c>
      <c r="CB656" t="s">
        <v>2949</v>
      </c>
    </row>
    <row r="657" spans="1:80" x14ac:dyDescent="0.25">
      <c r="A657">
        <v>656</v>
      </c>
      <c r="B657" t="s">
        <v>2670</v>
      </c>
      <c r="C657" s="1">
        <v>44866</v>
      </c>
      <c r="D657">
        <v>12</v>
      </c>
      <c r="E657" t="s">
        <v>4</v>
      </c>
      <c r="F657" t="s">
        <v>1311</v>
      </c>
      <c r="G657">
        <v>0</v>
      </c>
      <c r="H657" s="3">
        <v>0</v>
      </c>
      <c r="I657" s="3">
        <v>0</v>
      </c>
      <c r="J657" s="3">
        <v>703050</v>
      </c>
      <c r="K657" s="3">
        <v>0</v>
      </c>
      <c r="L657" t="s">
        <v>1192</v>
      </c>
      <c r="M657">
        <v>1814963</v>
      </c>
      <c r="N657" t="s">
        <v>1444</v>
      </c>
      <c r="O657" t="s">
        <v>1445</v>
      </c>
      <c r="P657" t="s">
        <v>1824</v>
      </c>
      <c r="Q657" t="s">
        <v>1246</v>
      </c>
      <c r="R657">
        <v>60091</v>
      </c>
      <c r="S657" t="s">
        <v>1734</v>
      </c>
      <c r="T657" t="s">
        <v>965</v>
      </c>
      <c r="U657">
        <v>0</v>
      </c>
      <c r="V657">
        <v>7</v>
      </c>
      <c r="W657" t="s">
        <v>1194</v>
      </c>
      <c r="X657" t="s">
        <v>973</v>
      </c>
      <c r="Y657">
        <v>10000</v>
      </c>
      <c r="Z657" s="2" t="s">
        <v>1194</v>
      </c>
      <c r="AA657" s="2">
        <v>0</v>
      </c>
      <c r="AB657" t="s">
        <v>1238</v>
      </c>
      <c r="AC657">
        <v>869</v>
      </c>
      <c r="AD657" t="s">
        <v>1281</v>
      </c>
      <c r="AE657">
        <v>2</v>
      </c>
      <c r="AF657" t="s">
        <v>1290</v>
      </c>
      <c r="AG657">
        <v>0</v>
      </c>
      <c r="AH657">
        <v>0</v>
      </c>
      <c r="AI657">
        <v>0</v>
      </c>
      <c r="AJ657">
        <v>1967</v>
      </c>
      <c r="AK657" t="s">
        <v>1194</v>
      </c>
      <c r="AL657" t="s">
        <v>1194</v>
      </c>
      <c r="AM657" s="4" t="s">
        <v>1238</v>
      </c>
      <c r="AN657">
        <v>0</v>
      </c>
      <c r="AO657" t="s">
        <v>1315</v>
      </c>
      <c r="AP657">
        <f t="shared" si="20"/>
        <v>0</v>
      </c>
      <c r="AQ657">
        <v>0</v>
      </c>
      <c r="AR657" t="s">
        <v>1993</v>
      </c>
      <c r="AS657" t="s">
        <v>1996</v>
      </c>
      <c r="AT657" t="s">
        <v>1996</v>
      </c>
      <c r="AU657" t="s">
        <v>1996</v>
      </c>
      <c r="AV657" t="s">
        <v>1995</v>
      </c>
      <c r="AW657" t="s">
        <v>1995</v>
      </c>
      <c r="AX657" t="s">
        <v>1194</v>
      </c>
      <c r="AY657" t="s">
        <v>1996</v>
      </c>
      <c r="AZ657">
        <v>1852</v>
      </c>
      <c r="BA657" t="s">
        <v>1194</v>
      </c>
      <c r="BB657" t="s">
        <v>1194</v>
      </c>
      <c r="BC657" s="3">
        <v>0</v>
      </c>
      <c r="BD657" s="3">
        <v>0</v>
      </c>
      <c r="BE657" s="3">
        <v>0</v>
      </c>
      <c r="BF657" s="3">
        <v>0</v>
      </c>
      <c r="BG657" s="3">
        <v>175</v>
      </c>
      <c r="BH657" s="3">
        <v>0</v>
      </c>
      <c r="BI657" s="3">
        <v>207</v>
      </c>
      <c r="BJ657" s="3">
        <v>2068.02</v>
      </c>
      <c r="BK657" s="3">
        <v>25</v>
      </c>
      <c r="BL657" s="3">
        <v>2093.02</v>
      </c>
      <c r="BM657" s="2">
        <f t="shared" ca="1" si="21"/>
        <v>1</v>
      </c>
      <c r="BN657" s="3" t="s">
        <v>2916</v>
      </c>
      <c r="BO657" s="3">
        <v>100000</v>
      </c>
      <c r="BP657" s="3">
        <v>50000</v>
      </c>
      <c r="BQ657" s="3">
        <v>2000000</v>
      </c>
      <c r="BR657" s="3">
        <v>100000</v>
      </c>
      <c r="BS657">
        <v>1000000</v>
      </c>
      <c r="BT657">
        <v>0</v>
      </c>
      <c r="BU657">
        <v>0</v>
      </c>
      <c r="BV657">
        <v>1</v>
      </c>
      <c r="BW657">
        <v>0</v>
      </c>
      <c r="BX657">
        <v>0</v>
      </c>
      <c r="BY657">
        <v>0</v>
      </c>
      <c r="BZ657" t="s">
        <v>1194</v>
      </c>
      <c r="CA657" t="s">
        <v>1194</v>
      </c>
      <c r="CB657" t="s">
        <v>1194</v>
      </c>
    </row>
    <row r="658" spans="1:80" x14ac:dyDescent="0.25">
      <c r="A658">
        <v>657</v>
      </c>
      <c r="B658" t="s">
        <v>2671</v>
      </c>
      <c r="C658" s="1">
        <v>44767</v>
      </c>
      <c r="D658">
        <v>48</v>
      </c>
      <c r="E658" t="s">
        <v>4</v>
      </c>
      <c r="F658" t="s">
        <v>1311</v>
      </c>
      <c r="G658">
        <v>0</v>
      </c>
      <c r="H658" s="3">
        <v>1910000</v>
      </c>
      <c r="I658" s="3">
        <v>270000</v>
      </c>
      <c r="J658" s="3">
        <v>675000</v>
      </c>
      <c r="K658" s="3">
        <v>0</v>
      </c>
      <c r="L658" t="s">
        <v>1191</v>
      </c>
      <c r="M658">
        <v>1956991</v>
      </c>
      <c r="N658">
        <v>5508</v>
      </c>
      <c r="O658" t="s">
        <v>1446</v>
      </c>
      <c r="P658" t="s">
        <v>1825</v>
      </c>
      <c r="Q658" t="s">
        <v>1265</v>
      </c>
      <c r="R658">
        <v>57108</v>
      </c>
      <c r="S658" t="s">
        <v>676</v>
      </c>
      <c r="T658" t="s">
        <v>965</v>
      </c>
      <c r="U658">
        <v>0</v>
      </c>
      <c r="V658">
        <v>1</v>
      </c>
      <c r="W658" t="s">
        <v>1194</v>
      </c>
      <c r="X658" t="s">
        <v>973</v>
      </c>
      <c r="Y658">
        <v>10000</v>
      </c>
      <c r="Z658" s="2" t="s">
        <v>1194</v>
      </c>
      <c r="AA658" s="2">
        <v>1</v>
      </c>
      <c r="AB658">
        <v>2.5000000000000001E-3</v>
      </c>
      <c r="AC658">
        <v>915</v>
      </c>
      <c r="AD658" t="s">
        <v>1279</v>
      </c>
      <c r="AE658">
        <v>1</v>
      </c>
      <c r="AF658" t="s">
        <v>1290</v>
      </c>
      <c r="AG658">
        <v>0</v>
      </c>
      <c r="AH658">
        <v>0</v>
      </c>
      <c r="AI658">
        <v>0</v>
      </c>
      <c r="AJ658">
        <v>2005</v>
      </c>
      <c r="AK658" t="s">
        <v>1194</v>
      </c>
      <c r="AL658" t="s">
        <v>1194</v>
      </c>
      <c r="AM658" s="4" t="s">
        <v>1238</v>
      </c>
      <c r="AN658">
        <v>0</v>
      </c>
      <c r="AO658" t="s">
        <v>1317</v>
      </c>
      <c r="AP658">
        <f t="shared" si="20"/>
        <v>0</v>
      </c>
      <c r="AQ658">
        <v>1</v>
      </c>
      <c r="AR658" t="s">
        <v>1992</v>
      </c>
      <c r="AS658" t="s">
        <v>1996</v>
      </c>
      <c r="AT658" t="s">
        <v>1995</v>
      </c>
      <c r="AU658" t="s">
        <v>1995</v>
      </c>
      <c r="AV658" t="s">
        <v>1996</v>
      </c>
      <c r="AW658" t="s">
        <v>1996</v>
      </c>
      <c r="AX658" t="s">
        <v>1194</v>
      </c>
      <c r="AY658" t="s">
        <v>1996</v>
      </c>
      <c r="AZ658">
        <v>4524</v>
      </c>
      <c r="BA658" t="s">
        <v>1194</v>
      </c>
      <c r="BB658" t="s">
        <v>1194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5360.36</v>
      </c>
      <c r="BK658" s="3">
        <v>0</v>
      </c>
      <c r="BL658" s="3">
        <v>5360.36</v>
      </c>
      <c r="BM658" s="2">
        <f t="shared" ca="1" si="21"/>
        <v>1</v>
      </c>
      <c r="BN658" s="3">
        <v>1000000</v>
      </c>
      <c r="BO658" s="3">
        <v>250000</v>
      </c>
      <c r="BP658" s="3">
        <v>100000</v>
      </c>
      <c r="BQ658" s="3">
        <v>500000</v>
      </c>
      <c r="BR658" s="3">
        <v>250000</v>
      </c>
      <c r="BS658" t="s">
        <v>2916</v>
      </c>
      <c r="BT658">
        <v>0</v>
      </c>
      <c r="BU658">
        <v>0</v>
      </c>
      <c r="BV658">
        <v>0</v>
      </c>
      <c r="BW658">
        <v>1</v>
      </c>
      <c r="BX658">
        <v>1</v>
      </c>
      <c r="BY658">
        <v>0</v>
      </c>
      <c r="BZ658" t="s">
        <v>2949</v>
      </c>
      <c r="CA658" t="s">
        <v>1194</v>
      </c>
      <c r="CB658" t="s">
        <v>2949</v>
      </c>
    </row>
    <row r="659" spans="1:80" x14ac:dyDescent="0.25">
      <c r="A659">
        <v>658</v>
      </c>
      <c r="B659" t="s">
        <v>2672</v>
      </c>
      <c r="C659" s="1">
        <v>44788</v>
      </c>
      <c r="D659">
        <v>12</v>
      </c>
      <c r="E659" t="s">
        <v>4</v>
      </c>
      <c r="F659" t="s">
        <v>1311</v>
      </c>
      <c r="G659">
        <v>1</v>
      </c>
      <c r="H659" s="3">
        <v>1361000</v>
      </c>
      <c r="I659" s="3">
        <v>86137</v>
      </c>
      <c r="J659" s="3">
        <v>680500</v>
      </c>
      <c r="K659" s="3">
        <v>272200</v>
      </c>
      <c r="L659" t="s">
        <v>1191</v>
      </c>
      <c r="M659">
        <v>685110</v>
      </c>
      <c r="N659" t="s">
        <v>1447</v>
      </c>
      <c r="P659" t="s">
        <v>1826</v>
      </c>
      <c r="Q659" t="s">
        <v>1253</v>
      </c>
      <c r="R659">
        <v>55439</v>
      </c>
      <c r="S659" t="s">
        <v>1714</v>
      </c>
      <c r="T659" t="s">
        <v>965</v>
      </c>
      <c r="U659">
        <v>0</v>
      </c>
      <c r="V659">
        <v>1</v>
      </c>
      <c r="W659" t="s">
        <v>1194</v>
      </c>
      <c r="X659" t="s">
        <v>973</v>
      </c>
      <c r="Y659">
        <v>10000</v>
      </c>
      <c r="Z659" s="2" t="s">
        <v>1194</v>
      </c>
      <c r="AA659" s="2">
        <v>1</v>
      </c>
      <c r="AB659">
        <v>5.0000000000000001E-3</v>
      </c>
      <c r="AC659">
        <v>830</v>
      </c>
      <c r="AD659" t="s">
        <v>1279</v>
      </c>
      <c r="AE659">
        <v>4</v>
      </c>
      <c r="AF659" t="s">
        <v>1290</v>
      </c>
      <c r="AG659">
        <v>0</v>
      </c>
      <c r="AH659">
        <v>0</v>
      </c>
      <c r="AI659">
        <v>0</v>
      </c>
      <c r="AJ659">
        <v>1992</v>
      </c>
      <c r="AK659" t="s">
        <v>1194</v>
      </c>
      <c r="AL659">
        <v>2013</v>
      </c>
      <c r="AM659" s="4" t="s">
        <v>1238</v>
      </c>
      <c r="AN659">
        <v>0</v>
      </c>
      <c r="AO659" t="s">
        <v>1315</v>
      </c>
      <c r="AP659">
        <f t="shared" si="20"/>
        <v>0</v>
      </c>
      <c r="AQ659">
        <v>0</v>
      </c>
      <c r="AR659" t="s">
        <v>1993</v>
      </c>
      <c r="AS659" t="s">
        <v>1996</v>
      </c>
      <c r="AT659" t="s">
        <v>1996</v>
      </c>
      <c r="AU659" t="s">
        <v>1996</v>
      </c>
      <c r="AV659" t="s">
        <v>1995</v>
      </c>
      <c r="AW659" t="s">
        <v>1995</v>
      </c>
      <c r="AX659" t="s">
        <v>1194</v>
      </c>
      <c r="AY659" t="s">
        <v>1996</v>
      </c>
      <c r="AZ659">
        <v>2752</v>
      </c>
      <c r="BA659" t="s">
        <v>1194</v>
      </c>
      <c r="BB659" t="s">
        <v>1194</v>
      </c>
      <c r="BC659" s="3">
        <v>0</v>
      </c>
      <c r="BD659" s="3">
        <v>0</v>
      </c>
      <c r="BE659" s="3">
        <v>0</v>
      </c>
      <c r="BF659" s="3">
        <v>0</v>
      </c>
      <c r="BG659" s="3">
        <v>175</v>
      </c>
      <c r="BH659" s="3">
        <v>0</v>
      </c>
      <c r="BI659" s="3">
        <v>0</v>
      </c>
      <c r="BJ659" s="3">
        <v>3058.8</v>
      </c>
      <c r="BK659" s="3">
        <v>-15</v>
      </c>
      <c r="BL659" s="3">
        <v>3043.8</v>
      </c>
      <c r="BM659" s="2">
        <f t="shared" ca="1" si="21"/>
        <v>1</v>
      </c>
      <c r="BN659" s="3">
        <v>1000000</v>
      </c>
      <c r="BO659" s="3">
        <v>100000</v>
      </c>
      <c r="BP659" s="3">
        <v>50000</v>
      </c>
      <c r="BQ659" s="3">
        <v>50000</v>
      </c>
      <c r="BR659" s="3">
        <v>500000</v>
      </c>
      <c r="BS659">
        <v>50000</v>
      </c>
      <c r="BT659">
        <v>0</v>
      </c>
      <c r="BU659">
        <v>0</v>
      </c>
      <c r="BV659">
        <v>1</v>
      </c>
      <c r="BW659">
        <v>0</v>
      </c>
      <c r="BX659">
        <v>0</v>
      </c>
      <c r="BY659">
        <v>0</v>
      </c>
      <c r="BZ659" t="s">
        <v>2958</v>
      </c>
      <c r="CA659" t="s">
        <v>1194</v>
      </c>
      <c r="CB659" t="s">
        <v>2941</v>
      </c>
    </row>
    <row r="660" spans="1:80" x14ac:dyDescent="0.25">
      <c r="A660">
        <v>659</v>
      </c>
      <c r="B660" t="s">
        <v>2673</v>
      </c>
      <c r="C660" s="1">
        <v>44730</v>
      </c>
      <c r="D660">
        <v>24</v>
      </c>
      <c r="E660" t="s">
        <v>4</v>
      </c>
      <c r="F660" t="s">
        <v>1311</v>
      </c>
      <c r="G660">
        <v>1</v>
      </c>
      <c r="H660" s="3">
        <v>5880550</v>
      </c>
      <c r="I660" s="3">
        <v>226175</v>
      </c>
      <c r="J660" s="3">
        <v>1744000</v>
      </c>
      <c r="K660" s="3">
        <v>0</v>
      </c>
      <c r="L660" t="s">
        <v>1191</v>
      </c>
      <c r="M660">
        <v>1007028</v>
      </c>
      <c r="N660" t="s">
        <v>1448</v>
      </c>
      <c r="P660" t="s">
        <v>1813</v>
      </c>
      <c r="Q660" t="s">
        <v>1240</v>
      </c>
      <c r="R660">
        <v>6830</v>
      </c>
      <c r="S660" t="s">
        <v>1706</v>
      </c>
      <c r="T660" t="s">
        <v>972</v>
      </c>
      <c r="U660">
        <v>0</v>
      </c>
      <c r="V660">
        <v>53</v>
      </c>
      <c r="W660" t="s">
        <v>1194</v>
      </c>
      <c r="X660" t="s">
        <v>973</v>
      </c>
      <c r="Y660">
        <v>10000</v>
      </c>
      <c r="Z660" s="2" t="s">
        <v>1194</v>
      </c>
      <c r="AA660" s="2" t="s">
        <v>1238</v>
      </c>
      <c r="AB660" t="s">
        <v>1238</v>
      </c>
      <c r="AC660">
        <v>751</v>
      </c>
      <c r="AD660" t="s">
        <v>1279</v>
      </c>
      <c r="AE660">
        <v>2</v>
      </c>
      <c r="AF660" t="s">
        <v>1290</v>
      </c>
      <c r="AG660">
        <v>0</v>
      </c>
      <c r="AH660">
        <v>0</v>
      </c>
      <c r="AI660">
        <v>0</v>
      </c>
      <c r="AJ660">
        <v>1939</v>
      </c>
      <c r="AK660">
        <v>2011</v>
      </c>
      <c r="AL660">
        <v>1939</v>
      </c>
      <c r="AM660" s="4" t="s">
        <v>1238</v>
      </c>
      <c r="AN660">
        <v>0</v>
      </c>
      <c r="AO660" t="s">
        <v>1316</v>
      </c>
      <c r="AP660">
        <f t="shared" si="20"/>
        <v>0</v>
      </c>
      <c r="AQ660">
        <v>0</v>
      </c>
      <c r="AR660" t="s">
        <v>1993</v>
      </c>
      <c r="AS660" t="s">
        <v>1996</v>
      </c>
      <c r="AT660" t="s">
        <v>1995</v>
      </c>
      <c r="AU660" t="s">
        <v>1995</v>
      </c>
      <c r="AV660" t="s">
        <v>1996</v>
      </c>
      <c r="AW660" t="s">
        <v>1995</v>
      </c>
      <c r="AX660" t="s">
        <v>2003</v>
      </c>
      <c r="AY660" t="s">
        <v>1996</v>
      </c>
      <c r="AZ660">
        <v>6746</v>
      </c>
      <c r="BA660" t="s">
        <v>1194</v>
      </c>
      <c r="BB660" t="s">
        <v>1194</v>
      </c>
      <c r="BC660" s="3">
        <v>0</v>
      </c>
      <c r="BD660" s="3">
        <v>807</v>
      </c>
      <c r="BE660" s="3">
        <v>0</v>
      </c>
      <c r="BF660" s="3">
        <v>0</v>
      </c>
      <c r="BG660" s="3">
        <v>0</v>
      </c>
      <c r="BH660" s="3">
        <v>0</v>
      </c>
      <c r="BI660" s="3">
        <v>0</v>
      </c>
      <c r="BJ660" s="3">
        <v>25043</v>
      </c>
      <c r="BK660" s="3">
        <v>331</v>
      </c>
      <c r="BL660" s="3">
        <v>25374</v>
      </c>
      <c r="BM660" s="2">
        <f t="shared" ca="1" si="21"/>
        <v>5</v>
      </c>
      <c r="BN660" s="3" t="s">
        <v>2916</v>
      </c>
      <c r="BO660" s="3">
        <v>500000</v>
      </c>
      <c r="BP660" s="3">
        <v>200000</v>
      </c>
      <c r="BQ660" s="3">
        <v>500000</v>
      </c>
      <c r="BR660" s="3">
        <v>100000</v>
      </c>
      <c r="BS660">
        <v>500000</v>
      </c>
      <c r="BT660">
        <v>0</v>
      </c>
      <c r="BU660">
        <v>0</v>
      </c>
      <c r="BV660">
        <v>0</v>
      </c>
      <c r="BW660">
        <v>1</v>
      </c>
      <c r="BX660">
        <v>0</v>
      </c>
      <c r="BY660">
        <v>0</v>
      </c>
      <c r="BZ660" t="s">
        <v>2959</v>
      </c>
      <c r="CA660" t="s">
        <v>1194</v>
      </c>
      <c r="CB660" t="s">
        <v>2949</v>
      </c>
    </row>
    <row r="661" spans="1:80" x14ac:dyDescent="0.25">
      <c r="A661">
        <v>660</v>
      </c>
      <c r="B661" t="s">
        <v>2674</v>
      </c>
      <c r="C661" s="1">
        <v>44650</v>
      </c>
      <c r="D661">
        <v>36</v>
      </c>
      <c r="E661" t="s">
        <v>5</v>
      </c>
      <c r="F661" t="s">
        <v>1310</v>
      </c>
      <c r="G661">
        <v>0</v>
      </c>
      <c r="H661" s="3">
        <v>11154000</v>
      </c>
      <c r="I661" s="3">
        <v>178600</v>
      </c>
      <c r="J661" s="3">
        <v>5577000</v>
      </c>
      <c r="K661" s="3">
        <v>2230800</v>
      </c>
      <c r="L661" t="s">
        <v>1191</v>
      </c>
      <c r="M661">
        <v>1569784</v>
      </c>
      <c r="N661" t="s">
        <v>1449</v>
      </c>
      <c r="P661" t="s">
        <v>1781</v>
      </c>
      <c r="Q661" t="s">
        <v>1246</v>
      </c>
      <c r="R661">
        <v>60093</v>
      </c>
      <c r="S661" t="s">
        <v>1734</v>
      </c>
      <c r="T661" t="s">
        <v>965</v>
      </c>
      <c r="U661">
        <v>0</v>
      </c>
      <c r="V661">
        <v>7</v>
      </c>
      <c r="W661" t="s">
        <v>1194</v>
      </c>
      <c r="X661" t="s">
        <v>973</v>
      </c>
      <c r="Y661">
        <v>10000</v>
      </c>
      <c r="Z661" s="2">
        <v>0.5</v>
      </c>
      <c r="AA661" s="2">
        <v>0</v>
      </c>
      <c r="AB661" t="s">
        <v>1238</v>
      </c>
      <c r="AC661">
        <v>780</v>
      </c>
      <c r="AD661" t="s">
        <v>1283</v>
      </c>
      <c r="AE661">
        <v>3</v>
      </c>
      <c r="AF661" t="s">
        <v>1291</v>
      </c>
      <c r="AG661">
        <v>0</v>
      </c>
      <c r="AH661">
        <v>0</v>
      </c>
      <c r="AI661">
        <v>0</v>
      </c>
      <c r="AJ661">
        <v>1931</v>
      </c>
      <c r="AK661" t="s">
        <v>1194</v>
      </c>
      <c r="AL661" t="s">
        <v>1194</v>
      </c>
      <c r="AM661" s="4" t="s">
        <v>1308</v>
      </c>
      <c r="AN661">
        <v>1</v>
      </c>
      <c r="AO661" t="s">
        <v>1316</v>
      </c>
      <c r="AP661">
        <f t="shared" si="20"/>
        <v>0</v>
      </c>
      <c r="AQ661">
        <v>0</v>
      </c>
      <c r="AR661" t="s">
        <v>1993</v>
      </c>
      <c r="AS661" t="s">
        <v>1996</v>
      </c>
      <c r="AT661" t="s">
        <v>1996</v>
      </c>
      <c r="AU661" t="s">
        <v>1996</v>
      </c>
      <c r="AV661" t="s">
        <v>1996</v>
      </c>
      <c r="AW661" t="s">
        <v>1996</v>
      </c>
      <c r="AX661" t="s">
        <v>1194</v>
      </c>
      <c r="AY661" t="s">
        <v>1996</v>
      </c>
      <c r="AZ661">
        <v>11925</v>
      </c>
      <c r="BA661" t="s">
        <v>1194</v>
      </c>
      <c r="BB661" t="s">
        <v>1194</v>
      </c>
      <c r="BC661" s="3">
        <v>0</v>
      </c>
      <c r="BD661" s="3">
        <v>0</v>
      </c>
      <c r="BE661" s="3">
        <v>0</v>
      </c>
      <c r="BF661" s="3">
        <v>0</v>
      </c>
      <c r="BG661" s="3">
        <v>175</v>
      </c>
      <c r="BH661" s="3">
        <v>0</v>
      </c>
      <c r="BI661" s="3">
        <v>0</v>
      </c>
      <c r="BJ661" s="3">
        <v>21051.98</v>
      </c>
      <c r="BK661" s="3">
        <v>4756.3999999999996</v>
      </c>
      <c r="BL661" s="3">
        <v>25808.38</v>
      </c>
      <c r="BM661" s="2">
        <f t="shared" ca="1" si="21"/>
        <v>2</v>
      </c>
      <c r="BN661" s="3">
        <v>50000</v>
      </c>
      <c r="BO661" s="3">
        <v>100000</v>
      </c>
      <c r="BP661" s="3">
        <v>100000</v>
      </c>
      <c r="BQ661" s="3">
        <v>50000</v>
      </c>
      <c r="BR661" s="3">
        <v>50000</v>
      </c>
      <c r="BS661">
        <v>250000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 t="s">
        <v>2959</v>
      </c>
      <c r="CA661" t="s">
        <v>1194</v>
      </c>
      <c r="CB661" t="s">
        <v>2941</v>
      </c>
    </row>
    <row r="662" spans="1:80" x14ac:dyDescent="0.25">
      <c r="A662">
        <v>661</v>
      </c>
      <c r="B662" t="s">
        <v>2675</v>
      </c>
      <c r="C662" s="1">
        <v>44813</v>
      </c>
      <c r="D662">
        <v>12</v>
      </c>
      <c r="E662" t="s">
        <v>4</v>
      </c>
      <c r="F662" t="s">
        <v>1311</v>
      </c>
      <c r="G662">
        <v>0</v>
      </c>
      <c r="H662" s="3">
        <v>0</v>
      </c>
      <c r="I662" s="3">
        <v>0</v>
      </c>
      <c r="J662" s="3">
        <v>649104</v>
      </c>
      <c r="K662" s="3">
        <v>129820.8</v>
      </c>
      <c r="L662" t="s">
        <v>1192</v>
      </c>
      <c r="M662">
        <v>694917</v>
      </c>
      <c r="N662" t="s">
        <v>1450</v>
      </c>
      <c r="P662" t="s">
        <v>1827</v>
      </c>
      <c r="Q662" t="s">
        <v>1270</v>
      </c>
      <c r="R662">
        <v>98004</v>
      </c>
      <c r="S662" t="s">
        <v>1796</v>
      </c>
      <c r="T662" t="s">
        <v>965</v>
      </c>
      <c r="U662">
        <v>1</v>
      </c>
      <c r="V662">
        <v>137</v>
      </c>
      <c r="W662" t="s">
        <v>1194</v>
      </c>
      <c r="X662" t="s">
        <v>1309</v>
      </c>
      <c r="Y662">
        <v>10000</v>
      </c>
      <c r="Z662" s="2" t="s">
        <v>1194</v>
      </c>
      <c r="AA662" s="2" t="s">
        <v>1238</v>
      </c>
      <c r="AB662" t="s">
        <v>1238</v>
      </c>
      <c r="AC662" t="s">
        <v>1194</v>
      </c>
      <c r="AD662" t="s">
        <v>1279</v>
      </c>
      <c r="AE662">
        <v>2</v>
      </c>
      <c r="AF662" t="s">
        <v>1290</v>
      </c>
      <c r="AG662">
        <v>0</v>
      </c>
      <c r="AH662">
        <v>0</v>
      </c>
      <c r="AI662">
        <v>0</v>
      </c>
      <c r="AJ662">
        <v>1973</v>
      </c>
      <c r="AK662" t="s">
        <v>1194</v>
      </c>
      <c r="AL662" t="s">
        <v>1194</v>
      </c>
      <c r="AM662" s="4" t="s">
        <v>1238</v>
      </c>
      <c r="AN662">
        <v>0</v>
      </c>
      <c r="AO662" t="s">
        <v>1315</v>
      </c>
      <c r="AP662">
        <f t="shared" si="20"/>
        <v>0</v>
      </c>
      <c r="AQ662">
        <v>0</v>
      </c>
      <c r="AR662" t="s">
        <v>1993</v>
      </c>
      <c r="AS662" t="s">
        <v>1995</v>
      </c>
      <c r="AT662" t="s">
        <v>1995</v>
      </c>
      <c r="AU662" t="s">
        <v>1995</v>
      </c>
      <c r="AV662" t="s">
        <v>1996</v>
      </c>
      <c r="AW662" t="s">
        <v>1996</v>
      </c>
      <c r="AX662" t="s">
        <v>1194</v>
      </c>
      <c r="AY662" t="s">
        <v>1996</v>
      </c>
      <c r="AZ662">
        <v>1735</v>
      </c>
      <c r="BA662" t="s">
        <v>1194</v>
      </c>
      <c r="BB662" t="s">
        <v>2014</v>
      </c>
      <c r="BC662" s="3">
        <v>0</v>
      </c>
      <c r="BD662" s="3">
        <v>0</v>
      </c>
      <c r="BE662" s="3">
        <v>0</v>
      </c>
      <c r="BF662" s="3">
        <v>0</v>
      </c>
      <c r="BG662" s="3">
        <v>80</v>
      </c>
      <c r="BH662" s="3">
        <v>0</v>
      </c>
      <c r="BI662" s="3">
        <v>0</v>
      </c>
      <c r="BJ662" s="3">
        <v>2202.56</v>
      </c>
      <c r="BK662" s="3">
        <v>604.54999999999995</v>
      </c>
      <c r="BL662" s="3">
        <v>2807.11</v>
      </c>
      <c r="BM662" s="2">
        <f t="shared" ca="1" si="21"/>
        <v>0</v>
      </c>
      <c r="BN662" s="3">
        <v>1000000</v>
      </c>
      <c r="BO662" s="3">
        <v>100000</v>
      </c>
      <c r="BP662" s="3">
        <v>50000</v>
      </c>
      <c r="BQ662" s="3">
        <v>1000000</v>
      </c>
      <c r="BR662" s="3" t="s">
        <v>2916</v>
      </c>
      <c r="BS662">
        <v>500000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 t="s">
        <v>1194</v>
      </c>
      <c r="CA662" t="s">
        <v>1194</v>
      </c>
      <c r="CB662" t="s">
        <v>1194</v>
      </c>
    </row>
    <row r="663" spans="1:80" x14ac:dyDescent="0.25">
      <c r="A663">
        <v>662</v>
      </c>
      <c r="B663" t="s">
        <v>2676</v>
      </c>
      <c r="C663" s="1">
        <v>44796</v>
      </c>
      <c r="D663">
        <v>12</v>
      </c>
      <c r="E663" t="s">
        <v>4</v>
      </c>
      <c r="F663" t="s">
        <v>1311</v>
      </c>
      <c r="G663">
        <v>0</v>
      </c>
      <c r="H663" s="3">
        <v>1673888</v>
      </c>
      <c r="I663" s="3">
        <v>386509</v>
      </c>
      <c r="J663" s="3">
        <v>966274</v>
      </c>
      <c r="K663" s="3">
        <v>334777.59999999998</v>
      </c>
      <c r="L663" t="s">
        <v>1191</v>
      </c>
      <c r="M663">
        <v>694698</v>
      </c>
      <c r="N663" t="s">
        <v>1451</v>
      </c>
      <c r="P663" t="s">
        <v>1828</v>
      </c>
      <c r="Q663" t="s">
        <v>1268</v>
      </c>
      <c r="R663">
        <v>23451</v>
      </c>
      <c r="S663" t="s">
        <v>1829</v>
      </c>
      <c r="T663" t="s">
        <v>977</v>
      </c>
      <c r="U663">
        <v>0</v>
      </c>
      <c r="V663">
        <v>303</v>
      </c>
      <c r="W663" t="s">
        <v>1194</v>
      </c>
      <c r="X663" t="s">
        <v>973</v>
      </c>
      <c r="Y663">
        <v>10000</v>
      </c>
      <c r="Z663" s="2" t="s">
        <v>1194</v>
      </c>
      <c r="AA663" s="2" t="s">
        <v>1238</v>
      </c>
      <c r="AB663" t="s">
        <v>1238</v>
      </c>
      <c r="AC663">
        <v>757</v>
      </c>
      <c r="AD663" t="s">
        <v>1279</v>
      </c>
      <c r="AE663">
        <v>2</v>
      </c>
      <c r="AF663" t="s">
        <v>1290</v>
      </c>
      <c r="AG663">
        <v>0</v>
      </c>
      <c r="AH663">
        <v>0</v>
      </c>
      <c r="AI663">
        <v>0</v>
      </c>
      <c r="AJ663">
        <v>1953</v>
      </c>
      <c r="AK663">
        <v>2003</v>
      </c>
      <c r="AL663" t="s">
        <v>1194</v>
      </c>
      <c r="AM663" s="4" t="s">
        <v>1238</v>
      </c>
      <c r="AN663">
        <v>1</v>
      </c>
      <c r="AO663" t="s">
        <v>1317</v>
      </c>
      <c r="AP663">
        <f t="shared" si="20"/>
        <v>0</v>
      </c>
      <c r="AQ663">
        <v>1</v>
      </c>
      <c r="AR663" t="s">
        <v>1992</v>
      </c>
      <c r="AS663" t="s">
        <v>1996</v>
      </c>
      <c r="AT663" t="s">
        <v>1996</v>
      </c>
      <c r="AU663" t="s">
        <v>1996</v>
      </c>
      <c r="AV663" t="s">
        <v>1995</v>
      </c>
      <c r="AW663" t="s">
        <v>1995</v>
      </c>
      <c r="AX663" t="s">
        <v>2003</v>
      </c>
      <c r="AY663" t="s">
        <v>1996</v>
      </c>
      <c r="AZ663">
        <v>4401</v>
      </c>
      <c r="BA663" t="s">
        <v>1194</v>
      </c>
      <c r="BB663" t="s">
        <v>1194</v>
      </c>
      <c r="BC663" s="3">
        <v>0</v>
      </c>
      <c r="BD663" s="3">
        <v>5302.93</v>
      </c>
      <c r="BE663" s="3">
        <v>0</v>
      </c>
      <c r="BF663" s="3">
        <v>0</v>
      </c>
      <c r="BG663" s="3">
        <v>175</v>
      </c>
      <c r="BH663" s="3">
        <v>0</v>
      </c>
      <c r="BI663" s="3">
        <v>0</v>
      </c>
      <c r="BJ663" s="3">
        <v>11186.68</v>
      </c>
      <c r="BK663" s="3">
        <v>55</v>
      </c>
      <c r="BL663" s="3">
        <v>11241.68</v>
      </c>
      <c r="BM663" s="2">
        <f t="shared" ca="1" si="21"/>
        <v>1</v>
      </c>
      <c r="BN663" s="3">
        <v>500000</v>
      </c>
      <c r="BO663" s="3">
        <v>25000</v>
      </c>
      <c r="BP663" s="3">
        <v>100000</v>
      </c>
      <c r="BQ663" s="3">
        <v>1000000</v>
      </c>
      <c r="BR663" s="3">
        <v>50000</v>
      </c>
      <c r="BS663">
        <v>250000</v>
      </c>
      <c r="BT663">
        <v>0</v>
      </c>
      <c r="BU663">
        <v>0</v>
      </c>
      <c r="BV663">
        <v>1</v>
      </c>
      <c r="BW663">
        <v>0</v>
      </c>
      <c r="BX663">
        <v>0</v>
      </c>
      <c r="BY663">
        <v>0</v>
      </c>
      <c r="BZ663" t="s">
        <v>2949</v>
      </c>
      <c r="CA663" t="s">
        <v>1194</v>
      </c>
      <c r="CB663" t="s">
        <v>2949</v>
      </c>
    </row>
    <row r="664" spans="1:80" x14ac:dyDescent="0.25">
      <c r="A664">
        <v>663</v>
      </c>
      <c r="B664" t="s">
        <v>2677</v>
      </c>
      <c r="C664" s="1">
        <v>44866</v>
      </c>
      <c r="D664">
        <v>36</v>
      </c>
      <c r="E664" t="s">
        <v>4</v>
      </c>
      <c r="F664" t="s">
        <v>1311</v>
      </c>
      <c r="G664">
        <v>1</v>
      </c>
      <c r="H664" s="3">
        <v>705012</v>
      </c>
      <c r="I664" s="3">
        <v>2250000</v>
      </c>
      <c r="J664" s="3">
        <v>206566</v>
      </c>
      <c r="K664" s="3">
        <v>0</v>
      </c>
      <c r="L664" t="s">
        <v>1191</v>
      </c>
      <c r="M664">
        <v>1581705</v>
      </c>
      <c r="N664" t="s">
        <v>1452</v>
      </c>
      <c r="P664" t="s">
        <v>1830</v>
      </c>
      <c r="Q664" t="s">
        <v>1252</v>
      </c>
      <c r="R664">
        <v>49969</v>
      </c>
      <c r="S664" t="s">
        <v>1831</v>
      </c>
      <c r="T664" t="s">
        <v>965</v>
      </c>
      <c r="U664">
        <v>0</v>
      </c>
      <c r="V664">
        <v>3</v>
      </c>
      <c r="W664" t="s">
        <v>1194</v>
      </c>
      <c r="X664" t="s">
        <v>973</v>
      </c>
      <c r="Y664">
        <v>10000</v>
      </c>
      <c r="Z664" s="2" t="s">
        <v>1194</v>
      </c>
      <c r="AA664" s="2">
        <v>1</v>
      </c>
      <c r="AB664">
        <v>2500</v>
      </c>
      <c r="AC664">
        <v>916</v>
      </c>
      <c r="AD664" t="s">
        <v>1279</v>
      </c>
      <c r="AE664">
        <v>10</v>
      </c>
      <c r="AF664" t="s">
        <v>1290</v>
      </c>
      <c r="AG664">
        <v>0</v>
      </c>
      <c r="AH664">
        <v>0</v>
      </c>
      <c r="AI664">
        <v>0</v>
      </c>
      <c r="AJ664">
        <v>1969</v>
      </c>
      <c r="AK664">
        <v>2015</v>
      </c>
      <c r="AL664" t="s">
        <v>1194</v>
      </c>
      <c r="AM664" s="4" t="s">
        <v>1238</v>
      </c>
      <c r="AN664">
        <v>0</v>
      </c>
      <c r="AO664" t="s">
        <v>1316</v>
      </c>
      <c r="AP664">
        <f t="shared" si="20"/>
        <v>0</v>
      </c>
      <c r="AQ664">
        <v>1</v>
      </c>
      <c r="AR664" t="s">
        <v>1992</v>
      </c>
      <c r="AS664" t="s">
        <v>1995</v>
      </c>
      <c r="AT664" t="s">
        <v>1996</v>
      </c>
      <c r="AU664" t="s">
        <v>1996</v>
      </c>
      <c r="AV664" t="s">
        <v>1996</v>
      </c>
      <c r="AW664" t="s">
        <v>1995</v>
      </c>
      <c r="AX664" t="s">
        <v>1194</v>
      </c>
      <c r="AY664" t="s">
        <v>1996</v>
      </c>
      <c r="AZ664">
        <v>1400</v>
      </c>
      <c r="BA664" t="s">
        <v>1194</v>
      </c>
      <c r="BB664" t="s">
        <v>1194</v>
      </c>
      <c r="BC664" s="3">
        <v>0</v>
      </c>
      <c r="BD664" s="3">
        <v>0</v>
      </c>
      <c r="BE664" s="3">
        <v>0</v>
      </c>
      <c r="BF664" s="3">
        <v>0</v>
      </c>
      <c r="BG664" s="3">
        <v>120</v>
      </c>
      <c r="BH664" s="3">
        <v>0</v>
      </c>
      <c r="BI664" s="3">
        <v>0</v>
      </c>
      <c r="BJ664" s="3">
        <v>12974.34</v>
      </c>
      <c r="BK664" s="3">
        <v>37.5</v>
      </c>
      <c r="BL664" s="3">
        <v>13011.84</v>
      </c>
      <c r="BM664" s="2">
        <f t="shared" ca="1" si="21"/>
        <v>4</v>
      </c>
      <c r="BN664" s="3" t="s">
        <v>2916</v>
      </c>
      <c r="BO664" s="3">
        <v>20000</v>
      </c>
      <c r="BP664" s="3">
        <v>50000</v>
      </c>
      <c r="BQ664" s="3">
        <v>25000</v>
      </c>
      <c r="BR664" s="3">
        <v>50000</v>
      </c>
      <c r="BS664">
        <v>50000</v>
      </c>
      <c r="BT664">
        <v>0</v>
      </c>
      <c r="BU664">
        <v>0</v>
      </c>
      <c r="BV664">
        <v>0</v>
      </c>
      <c r="BW664">
        <v>1</v>
      </c>
      <c r="BX664">
        <v>1</v>
      </c>
      <c r="BY664">
        <v>0</v>
      </c>
      <c r="BZ664" t="s">
        <v>2958</v>
      </c>
      <c r="CA664" t="s">
        <v>1194</v>
      </c>
      <c r="CB664" t="s">
        <v>2949</v>
      </c>
    </row>
    <row r="665" spans="1:80" x14ac:dyDescent="0.25">
      <c r="A665">
        <v>664</v>
      </c>
      <c r="B665" t="s">
        <v>2678</v>
      </c>
      <c r="C665" s="1">
        <v>44811</v>
      </c>
      <c r="D665">
        <v>12</v>
      </c>
      <c r="E665" t="s">
        <v>4</v>
      </c>
      <c r="F665" t="s">
        <v>1311</v>
      </c>
      <c r="G665">
        <v>1</v>
      </c>
      <c r="H665" s="3">
        <v>737308</v>
      </c>
      <c r="I665" s="3">
        <v>340086</v>
      </c>
      <c r="J665" s="3">
        <v>368655</v>
      </c>
      <c r="K665" s="3">
        <v>0</v>
      </c>
      <c r="L665" t="s">
        <v>1191</v>
      </c>
      <c r="M665">
        <v>700068</v>
      </c>
      <c r="N665" t="s">
        <v>1453</v>
      </c>
      <c r="P665" t="s">
        <v>1832</v>
      </c>
      <c r="Q665" t="s">
        <v>1264</v>
      </c>
      <c r="R665">
        <v>2837</v>
      </c>
      <c r="S665" t="s">
        <v>1693</v>
      </c>
      <c r="T665" t="s">
        <v>1987</v>
      </c>
      <c r="U665">
        <v>0</v>
      </c>
      <c r="V665">
        <v>3</v>
      </c>
      <c r="W665" t="s">
        <v>1194</v>
      </c>
      <c r="X665" t="s">
        <v>973</v>
      </c>
      <c r="Y665">
        <v>10000</v>
      </c>
      <c r="Z665" s="2" t="s">
        <v>1194</v>
      </c>
      <c r="AA665" s="2" t="s">
        <v>1238</v>
      </c>
      <c r="AB665" t="s">
        <v>1238</v>
      </c>
      <c r="AC665">
        <v>785</v>
      </c>
      <c r="AD665" t="s">
        <v>1279</v>
      </c>
      <c r="AE665">
        <v>8</v>
      </c>
      <c r="AF665" t="s">
        <v>1290</v>
      </c>
      <c r="AG665">
        <v>0</v>
      </c>
      <c r="AH665">
        <v>0</v>
      </c>
      <c r="AI665">
        <v>0</v>
      </c>
      <c r="AJ665">
        <v>2013</v>
      </c>
      <c r="AK665" t="s">
        <v>1194</v>
      </c>
      <c r="AL665" t="s">
        <v>1194</v>
      </c>
      <c r="AM665" s="4" t="s">
        <v>1238</v>
      </c>
      <c r="AN665">
        <v>1</v>
      </c>
      <c r="AO665" t="s">
        <v>1317</v>
      </c>
      <c r="AP665">
        <f t="shared" si="20"/>
        <v>0</v>
      </c>
      <c r="AQ665">
        <v>1</v>
      </c>
      <c r="AR665" t="s">
        <v>1992</v>
      </c>
      <c r="AS665" t="s">
        <v>1995</v>
      </c>
      <c r="AT665" t="s">
        <v>1995</v>
      </c>
      <c r="AU665" t="s">
        <v>1995</v>
      </c>
      <c r="AV665" t="s">
        <v>1995</v>
      </c>
      <c r="AW665" t="s">
        <v>1995</v>
      </c>
      <c r="AX665" t="s">
        <v>2003</v>
      </c>
      <c r="AY665" t="s">
        <v>1996</v>
      </c>
      <c r="AZ665">
        <v>1457</v>
      </c>
      <c r="BA665" t="s">
        <v>1194</v>
      </c>
      <c r="BB665" t="s">
        <v>1194</v>
      </c>
      <c r="BC665" s="3">
        <v>0</v>
      </c>
      <c r="BD665" s="3">
        <v>1675.89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4470.05</v>
      </c>
      <c r="BK665" s="3">
        <v>-15</v>
      </c>
      <c r="BL665" s="3">
        <v>4455.05</v>
      </c>
      <c r="BM665" s="2">
        <f t="shared" ca="1" si="21"/>
        <v>4</v>
      </c>
      <c r="BN665" s="3">
        <v>1000000</v>
      </c>
      <c r="BO665" s="3">
        <v>1000000</v>
      </c>
      <c r="BP665" s="3">
        <v>50000</v>
      </c>
      <c r="BQ665" s="3">
        <v>2000000</v>
      </c>
      <c r="BR665" s="3">
        <v>50000</v>
      </c>
      <c r="BS665">
        <v>50000</v>
      </c>
      <c r="BT665">
        <v>0</v>
      </c>
      <c r="BU665">
        <v>0</v>
      </c>
      <c r="BV665">
        <v>0</v>
      </c>
      <c r="BW665">
        <v>1</v>
      </c>
      <c r="BX665">
        <v>1</v>
      </c>
      <c r="BY665">
        <v>0</v>
      </c>
      <c r="BZ665" t="s">
        <v>2949</v>
      </c>
      <c r="CA665" t="s">
        <v>1194</v>
      </c>
      <c r="CB665" t="s">
        <v>2949</v>
      </c>
    </row>
    <row r="666" spans="1:80" x14ac:dyDescent="0.25">
      <c r="A666">
        <v>665</v>
      </c>
      <c r="B666" t="s">
        <v>2679</v>
      </c>
      <c r="C666" s="1">
        <v>44847</v>
      </c>
      <c r="D666">
        <v>12</v>
      </c>
      <c r="E666" t="s">
        <v>4</v>
      </c>
      <c r="F666" t="s">
        <v>1311</v>
      </c>
      <c r="G666">
        <v>0</v>
      </c>
      <c r="H666" s="3">
        <v>481635</v>
      </c>
      <c r="I666" s="3">
        <v>568094</v>
      </c>
      <c r="J666" s="3">
        <v>68805</v>
      </c>
      <c r="K666" s="3">
        <v>88373.4</v>
      </c>
      <c r="L666" t="s">
        <v>1191</v>
      </c>
      <c r="M666">
        <v>888392</v>
      </c>
      <c r="N666" t="s">
        <v>1454</v>
      </c>
      <c r="P666" t="s">
        <v>1833</v>
      </c>
      <c r="Q666" t="s">
        <v>1270</v>
      </c>
      <c r="R666">
        <v>98075</v>
      </c>
      <c r="S666" t="s">
        <v>1796</v>
      </c>
      <c r="T666" t="s">
        <v>1194</v>
      </c>
      <c r="U666">
        <v>0</v>
      </c>
      <c r="V666">
        <v>137</v>
      </c>
      <c r="W666" t="s">
        <v>1194</v>
      </c>
      <c r="X666" t="s">
        <v>973</v>
      </c>
      <c r="Y666">
        <v>10000</v>
      </c>
      <c r="Z666" s="2" t="s">
        <v>1194</v>
      </c>
      <c r="AA666" s="2" t="s">
        <v>1238</v>
      </c>
      <c r="AB666" t="s">
        <v>1238</v>
      </c>
      <c r="AC666" t="s">
        <v>1194</v>
      </c>
      <c r="AD666" t="s">
        <v>1279</v>
      </c>
      <c r="AE666">
        <v>4</v>
      </c>
      <c r="AF666" t="s">
        <v>1290</v>
      </c>
      <c r="AG666">
        <v>0</v>
      </c>
      <c r="AH666">
        <v>0</v>
      </c>
      <c r="AI666">
        <v>0</v>
      </c>
      <c r="AJ666">
        <v>1973</v>
      </c>
      <c r="AK666" t="s">
        <v>1194</v>
      </c>
      <c r="AL666" t="s">
        <v>1194</v>
      </c>
      <c r="AM666" s="4" t="s">
        <v>1238</v>
      </c>
      <c r="AN666">
        <v>1</v>
      </c>
      <c r="AO666" t="s">
        <v>1316</v>
      </c>
      <c r="AP666">
        <f t="shared" si="20"/>
        <v>0</v>
      </c>
      <c r="AQ666">
        <v>1</v>
      </c>
      <c r="AR666" t="s">
        <v>1992</v>
      </c>
      <c r="AS666" t="s">
        <v>1995</v>
      </c>
      <c r="AT666" t="s">
        <v>1996</v>
      </c>
      <c r="AU666" t="s">
        <v>1995</v>
      </c>
      <c r="AV666" t="s">
        <v>1996</v>
      </c>
      <c r="AW666" t="s">
        <v>1996</v>
      </c>
      <c r="AX666" t="s">
        <v>1194</v>
      </c>
      <c r="AY666" t="s">
        <v>1996</v>
      </c>
      <c r="AZ666">
        <v>1800</v>
      </c>
      <c r="BA666" t="s">
        <v>1194</v>
      </c>
      <c r="BB666" t="s">
        <v>2014</v>
      </c>
      <c r="BC666" s="3">
        <v>0</v>
      </c>
      <c r="BD666" s="3">
        <v>0</v>
      </c>
      <c r="BE666" s="3">
        <v>0</v>
      </c>
      <c r="BF666" s="3">
        <v>0</v>
      </c>
      <c r="BG666" s="3">
        <v>110</v>
      </c>
      <c r="BH666" s="3">
        <v>0</v>
      </c>
      <c r="BI666" s="3">
        <v>0</v>
      </c>
      <c r="BJ666" s="3">
        <v>3050.09</v>
      </c>
      <c r="BK666" s="3">
        <v>893.06</v>
      </c>
      <c r="BL666" s="3">
        <v>3943.15</v>
      </c>
      <c r="BM666" s="2">
        <f t="shared" ca="1" si="21"/>
        <v>3</v>
      </c>
      <c r="BN666" s="3">
        <v>100000</v>
      </c>
      <c r="BO666" s="3">
        <v>1000000</v>
      </c>
      <c r="BP666" s="3">
        <v>50000</v>
      </c>
      <c r="BQ666" s="3">
        <v>250000</v>
      </c>
      <c r="BR666" s="3">
        <v>50000</v>
      </c>
      <c r="BS666">
        <v>50000</v>
      </c>
      <c r="BT666">
        <v>0</v>
      </c>
      <c r="BU666">
        <v>1</v>
      </c>
      <c r="BV666">
        <v>0</v>
      </c>
      <c r="BW666">
        <v>0</v>
      </c>
      <c r="BX666">
        <v>0</v>
      </c>
      <c r="BY666">
        <v>1</v>
      </c>
      <c r="BZ666" t="s">
        <v>2949</v>
      </c>
      <c r="CA666" t="s">
        <v>1194</v>
      </c>
      <c r="CB666" t="s">
        <v>2949</v>
      </c>
    </row>
    <row r="667" spans="1:80" x14ac:dyDescent="0.25">
      <c r="A667">
        <v>666</v>
      </c>
      <c r="B667" t="s">
        <v>2680</v>
      </c>
      <c r="C667" s="1">
        <v>44827</v>
      </c>
      <c r="D667">
        <v>12</v>
      </c>
      <c r="E667" t="s">
        <v>6</v>
      </c>
      <c r="F667" t="s">
        <v>1310</v>
      </c>
      <c r="G667">
        <v>0</v>
      </c>
      <c r="H667" s="3">
        <v>2071000</v>
      </c>
      <c r="I667" s="3">
        <v>414200</v>
      </c>
      <c r="J667" s="3">
        <v>1035500</v>
      </c>
      <c r="K667" s="3">
        <v>414200</v>
      </c>
      <c r="L667" t="s">
        <v>1191</v>
      </c>
      <c r="M667">
        <v>536398</v>
      </c>
      <c r="N667" t="s">
        <v>1455</v>
      </c>
      <c r="P667" t="s">
        <v>1834</v>
      </c>
      <c r="Q667" t="s">
        <v>1247</v>
      </c>
      <c r="R667">
        <v>46033</v>
      </c>
      <c r="S667" t="s">
        <v>1835</v>
      </c>
      <c r="T667" t="s">
        <v>965</v>
      </c>
      <c r="U667">
        <v>0</v>
      </c>
      <c r="V667">
        <v>1</v>
      </c>
      <c r="W667" t="s">
        <v>1194</v>
      </c>
      <c r="X667" t="s">
        <v>973</v>
      </c>
      <c r="Y667">
        <v>10000</v>
      </c>
      <c r="Z667" s="2" t="s">
        <v>1194</v>
      </c>
      <c r="AA667" s="2">
        <v>1</v>
      </c>
      <c r="AB667">
        <v>0.02</v>
      </c>
      <c r="AC667">
        <v>843</v>
      </c>
      <c r="AD667" t="s">
        <v>1279</v>
      </c>
      <c r="AE667">
        <v>2</v>
      </c>
      <c r="AF667" t="s">
        <v>1290</v>
      </c>
      <c r="AG667">
        <v>0</v>
      </c>
      <c r="AH667">
        <v>0</v>
      </c>
      <c r="AI667">
        <v>0</v>
      </c>
      <c r="AJ667">
        <v>2006</v>
      </c>
      <c r="AK667" t="s">
        <v>1194</v>
      </c>
      <c r="AL667" t="s">
        <v>1194</v>
      </c>
      <c r="AM667" s="4" t="s">
        <v>1305</v>
      </c>
      <c r="AN667">
        <v>1</v>
      </c>
      <c r="AO667" t="s">
        <v>1315</v>
      </c>
      <c r="AP667">
        <f t="shared" si="20"/>
        <v>0</v>
      </c>
      <c r="AQ667">
        <v>1</v>
      </c>
      <c r="AR667" t="s">
        <v>1992</v>
      </c>
      <c r="AS667" t="s">
        <v>1995</v>
      </c>
      <c r="AT667" t="s">
        <v>1995</v>
      </c>
      <c r="AU667" t="s">
        <v>1996</v>
      </c>
      <c r="AV667" t="s">
        <v>1996</v>
      </c>
      <c r="AW667" t="s">
        <v>1996</v>
      </c>
      <c r="AX667" t="s">
        <v>1194</v>
      </c>
      <c r="AY667" t="s">
        <v>1996</v>
      </c>
      <c r="AZ667">
        <v>6493</v>
      </c>
      <c r="BA667" t="s">
        <v>1194</v>
      </c>
      <c r="BB667" t="s">
        <v>1194</v>
      </c>
      <c r="BC667" s="3">
        <v>0</v>
      </c>
      <c r="BD667" s="3">
        <v>0</v>
      </c>
      <c r="BE667" s="3">
        <v>0</v>
      </c>
      <c r="BF667" s="3">
        <v>0</v>
      </c>
      <c r="BG667" s="3">
        <v>175</v>
      </c>
      <c r="BH667" s="3">
        <v>0</v>
      </c>
      <c r="BI667" s="3">
        <v>0</v>
      </c>
      <c r="BJ667" s="3">
        <v>6151.15</v>
      </c>
      <c r="BK667" s="3">
        <v>110</v>
      </c>
      <c r="BL667" s="3">
        <v>6261.15</v>
      </c>
      <c r="BM667" s="2">
        <f t="shared" ca="1" si="21"/>
        <v>2</v>
      </c>
      <c r="BN667" s="3">
        <v>100000</v>
      </c>
      <c r="BO667" s="3">
        <v>250000</v>
      </c>
      <c r="BP667" s="3">
        <v>200000</v>
      </c>
      <c r="BQ667" s="3">
        <v>250000</v>
      </c>
      <c r="BR667" s="3">
        <v>100000</v>
      </c>
      <c r="BS667">
        <v>2000000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 t="s">
        <v>2958</v>
      </c>
      <c r="CA667" t="s">
        <v>1194</v>
      </c>
      <c r="CB667" t="s">
        <v>2945</v>
      </c>
    </row>
    <row r="668" spans="1:80" x14ac:dyDescent="0.25">
      <c r="A668">
        <v>667</v>
      </c>
      <c r="B668" t="s">
        <v>2681</v>
      </c>
      <c r="C668" s="1">
        <v>44941</v>
      </c>
      <c r="D668">
        <v>12</v>
      </c>
      <c r="E668" t="s">
        <v>4</v>
      </c>
      <c r="F668" t="s">
        <v>1311</v>
      </c>
      <c r="G668">
        <v>1</v>
      </c>
      <c r="H668" s="3">
        <v>4515303</v>
      </c>
      <c r="I668" s="3">
        <v>440901</v>
      </c>
      <c r="J668" s="3">
        <v>0</v>
      </c>
      <c r="K668" s="3">
        <v>0</v>
      </c>
      <c r="L668" t="s">
        <v>1191</v>
      </c>
      <c r="M668">
        <v>1390247</v>
      </c>
      <c r="N668" t="s">
        <v>1456</v>
      </c>
      <c r="P668" t="s">
        <v>1716</v>
      </c>
      <c r="Q668" t="s">
        <v>1241</v>
      </c>
      <c r="R668">
        <v>20016</v>
      </c>
      <c r="S668" t="s">
        <v>1815</v>
      </c>
      <c r="T668" t="s">
        <v>1194</v>
      </c>
      <c r="U668">
        <v>0</v>
      </c>
      <c r="V668">
        <v>1</v>
      </c>
      <c r="W668" t="s">
        <v>1194</v>
      </c>
      <c r="X668" t="s">
        <v>973</v>
      </c>
      <c r="Y668">
        <v>10000</v>
      </c>
      <c r="Z668" s="2" t="s">
        <v>1194</v>
      </c>
      <c r="AA668" s="2">
        <v>1</v>
      </c>
      <c r="AB668" t="s">
        <v>1277</v>
      </c>
      <c r="AC668">
        <v>843</v>
      </c>
      <c r="AD668" t="s">
        <v>1280</v>
      </c>
      <c r="AE668">
        <v>2</v>
      </c>
      <c r="AF668" t="s">
        <v>1290</v>
      </c>
      <c r="AG668">
        <v>0</v>
      </c>
      <c r="AH668">
        <v>0</v>
      </c>
      <c r="AI668">
        <v>0</v>
      </c>
      <c r="AJ668">
        <v>1917</v>
      </c>
      <c r="AK668" t="s">
        <v>1194</v>
      </c>
      <c r="AL668" t="s">
        <v>1194</v>
      </c>
      <c r="AM668" s="4" t="s">
        <v>1238</v>
      </c>
      <c r="AN668">
        <v>1</v>
      </c>
      <c r="AO668" t="s">
        <v>1315</v>
      </c>
      <c r="AP668">
        <f t="shared" si="20"/>
        <v>0</v>
      </c>
      <c r="AQ668">
        <v>1</v>
      </c>
      <c r="AR668" t="s">
        <v>1992</v>
      </c>
      <c r="AS668" t="s">
        <v>1995</v>
      </c>
      <c r="AT668" t="s">
        <v>1995</v>
      </c>
      <c r="AU668" t="s">
        <v>1995</v>
      </c>
      <c r="AV668" t="s">
        <v>1995</v>
      </c>
      <c r="AW668" t="s">
        <v>1996</v>
      </c>
      <c r="AX668" t="s">
        <v>2003</v>
      </c>
      <c r="AY668" t="s">
        <v>1996</v>
      </c>
      <c r="AZ668">
        <v>4131</v>
      </c>
      <c r="BA668" t="s">
        <v>1194</v>
      </c>
      <c r="BB668" t="s">
        <v>1194</v>
      </c>
      <c r="BC668" s="3">
        <v>0</v>
      </c>
      <c r="BD668" s="3">
        <v>0</v>
      </c>
      <c r="BE668" s="3">
        <v>0</v>
      </c>
      <c r="BF668" s="3">
        <v>0</v>
      </c>
      <c r="BG668" s="3">
        <v>210</v>
      </c>
      <c r="BH668" s="3">
        <v>0</v>
      </c>
      <c r="BI668" s="3">
        <v>0</v>
      </c>
      <c r="BJ668" s="3">
        <v>9709.08</v>
      </c>
      <c r="BK668" s="3">
        <v>-15</v>
      </c>
      <c r="BL668" s="3">
        <v>9694.08</v>
      </c>
      <c r="BM668" s="2">
        <f t="shared" ca="1" si="21"/>
        <v>0</v>
      </c>
      <c r="BN668" s="3" t="s">
        <v>2916</v>
      </c>
      <c r="BO668" s="3">
        <v>25000</v>
      </c>
      <c r="BP668" s="3" t="s">
        <v>2922</v>
      </c>
      <c r="BQ668" s="3">
        <v>1000000</v>
      </c>
      <c r="BR668" s="3">
        <v>250000</v>
      </c>
      <c r="BS668">
        <v>50000</v>
      </c>
      <c r="BT668">
        <v>0</v>
      </c>
      <c r="BU668">
        <v>0</v>
      </c>
      <c r="BV668">
        <v>0</v>
      </c>
      <c r="BW668">
        <v>1</v>
      </c>
      <c r="BX668">
        <v>1</v>
      </c>
      <c r="BY668">
        <v>0</v>
      </c>
      <c r="BZ668" t="s">
        <v>2949</v>
      </c>
      <c r="CA668" t="s">
        <v>1194</v>
      </c>
      <c r="CB668" t="s">
        <v>2949</v>
      </c>
    </row>
    <row r="669" spans="1:80" x14ac:dyDescent="0.25">
      <c r="A669">
        <v>668</v>
      </c>
      <c r="B669" t="s">
        <v>2682</v>
      </c>
      <c r="C669" s="1">
        <v>44859</v>
      </c>
      <c r="D669">
        <v>36</v>
      </c>
      <c r="E669" t="s">
        <v>5</v>
      </c>
      <c r="F669" t="s">
        <v>1310</v>
      </c>
      <c r="G669">
        <v>0</v>
      </c>
      <c r="H669" s="3">
        <v>2507000</v>
      </c>
      <c r="I669" s="3">
        <v>283400</v>
      </c>
      <c r="J669" s="3">
        <v>850200</v>
      </c>
      <c r="K669" s="3">
        <v>501400</v>
      </c>
      <c r="L669" t="s">
        <v>1191</v>
      </c>
      <c r="M669">
        <v>1771920</v>
      </c>
      <c r="N669" t="s">
        <v>1457</v>
      </c>
      <c r="P669" t="s">
        <v>1836</v>
      </c>
      <c r="Q669" t="s">
        <v>1268</v>
      </c>
      <c r="R669">
        <v>22102</v>
      </c>
      <c r="S669" t="s">
        <v>1776</v>
      </c>
      <c r="T669" t="s">
        <v>965</v>
      </c>
      <c r="U669">
        <v>0</v>
      </c>
      <c r="V669">
        <v>10</v>
      </c>
      <c r="W669" t="s">
        <v>1194</v>
      </c>
      <c r="X669" t="s">
        <v>973</v>
      </c>
      <c r="Y669">
        <v>10000</v>
      </c>
      <c r="Z669" s="2" t="s">
        <v>1194</v>
      </c>
      <c r="AA669" s="2" t="s">
        <v>1238</v>
      </c>
      <c r="AB669" t="s">
        <v>1238</v>
      </c>
      <c r="AC669">
        <v>728</v>
      </c>
      <c r="AD669" t="s">
        <v>1283</v>
      </c>
      <c r="AE669">
        <v>1</v>
      </c>
      <c r="AF669" t="s">
        <v>1290</v>
      </c>
      <c r="AG669">
        <v>0</v>
      </c>
      <c r="AH669">
        <v>0</v>
      </c>
      <c r="AI669">
        <v>0</v>
      </c>
      <c r="AJ669">
        <v>1998</v>
      </c>
      <c r="AK669">
        <v>2018</v>
      </c>
      <c r="AL669" t="s">
        <v>1194</v>
      </c>
      <c r="AM669" s="4" t="s">
        <v>1304</v>
      </c>
      <c r="AN669">
        <v>0</v>
      </c>
      <c r="AO669" t="s">
        <v>1317</v>
      </c>
      <c r="AP669">
        <f t="shared" si="20"/>
        <v>0</v>
      </c>
      <c r="AQ669">
        <v>1</v>
      </c>
      <c r="AR669" t="s">
        <v>1992</v>
      </c>
      <c r="AS669" t="s">
        <v>1995</v>
      </c>
      <c r="AT669" t="s">
        <v>1995</v>
      </c>
      <c r="AU669" t="s">
        <v>1995</v>
      </c>
      <c r="AV669" t="s">
        <v>1995</v>
      </c>
      <c r="AW669" t="s">
        <v>1995</v>
      </c>
      <c r="AX669" t="s">
        <v>2003</v>
      </c>
      <c r="AY669" t="s">
        <v>1996</v>
      </c>
      <c r="AZ669">
        <v>5453</v>
      </c>
      <c r="BA669" t="s">
        <v>1194</v>
      </c>
      <c r="BB669" t="s">
        <v>1194</v>
      </c>
      <c r="BC669" s="3">
        <v>0</v>
      </c>
      <c r="BD669" s="3">
        <v>0</v>
      </c>
      <c r="BE669" s="3">
        <v>0</v>
      </c>
      <c r="BF669" s="3">
        <v>0</v>
      </c>
      <c r="BG669" s="3">
        <v>210</v>
      </c>
      <c r="BH669" s="3">
        <v>0</v>
      </c>
      <c r="BI669" s="3">
        <v>0</v>
      </c>
      <c r="BJ669" s="3">
        <v>3536.89</v>
      </c>
      <c r="BK669" s="3">
        <v>360</v>
      </c>
      <c r="BL669" s="3">
        <v>3896.89</v>
      </c>
      <c r="BM669" s="2">
        <f t="shared" ca="1" si="21"/>
        <v>1</v>
      </c>
      <c r="BN669" s="3">
        <v>1000000</v>
      </c>
      <c r="BO669" s="3">
        <v>250000</v>
      </c>
      <c r="BP669" s="3">
        <v>100000</v>
      </c>
      <c r="BQ669" s="3">
        <v>250000</v>
      </c>
      <c r="BR669" s="3">
        <v>500000</v>
      </c>
      <c r="BS669" t="s">
        <v>2916</v>
      </c>
      <c r="BT669">
        <v>0</v>
      </c>
      <c r="BU669">
        <v>0</v>
      </c>
      <c r="BV669">
        <v>1</v>
      </c>
      <c r="BW669">
        <v>0</v>
      </c>
      <c r="BX669">
        <v>0</v>
      </c>
      <c r="BY669">
        <v>0</v>
      </c>
      <c r="BZ669" t="s">
        <v>2949</v>
      </c>
      <c r="CA669" t="s">
        <v>1194</v>
      </c>
      <c r="CB669" t="s">
        <v>2949</v>
      </c>
    </row>
    <row r="670" spans="1:80" x14ac:dyDescent="0.25">
      <c r="A670">
        <v>669</v>
      </c>
      <c r="B670" t="s">
        <v>2683</v>
      </c>
      <c r="C670" s="1">
        <v>44621</v>
      </c>
      <c r="D670">
        <v>42</v>
      </c>
      <c r="E670" t="s">
        <v>4</v>
      </c>
      <c r="F670" t="s">
        <v>1311</v>
      </c>
      <c r="G670">
        <v>1</v>
      </c>
      <c r="H670" s="3">
        <v>1263070</v>
      </c>
      <c r="I670" s="3">
        <v>1116180</v>
      </c>
      <c r="J670" s="3">
        <v>378921</v>
      </c>
      <c r="K670" s="3">
        <v>252614</v>
      </c>
      <c r="L670" t="s">
        <v>1191</v>
      </c>
      <c r="M670">
        <v>1621914</v>
      </c>
      <c r="N670" t="s">
        <v>1458</v>
      </c>
      <c r="P670" t="s">
        <v>1837</v>
      </c>
      <c r="Q670" t="s">
        <v>1255</v>
      </c>
      <c r="R670">
        <v>59068</v>
      </c>
      <c r="S670" t="s">
        <v>1802</v>
      </c>
      <c r="T670" t="s">
        <v>965</v>
      </c>
      <c r="U670">
        <v>0</v>
      </c>
      <c r="V670">
        <v>2</v>
      </c>
      <c r="W670" t="s">
        <v>1194</v>
      </c>
      <c r="X670" t="s">
        <v>973</v>
      </c>
      <c r="Y670">
        <v>10000</v>
      </c>
      <c r="Z670" s="2" t="s">
        <v>1194</v>
      </c>
      <c r="AA670" s="2">
        <v>1</v>
      </c>
      <c r="AB670">
        <v>5.0000000000000001E-3</v>
      </c>
      <c r="AC670">
        <v>929</v>
      </c>
      <c r="AD670" t="s">
        <v>1279</v>
      </c>
      <c r="AE670">
        <v>4</v>
      </c>
      <c r="AF670" t="s">
        <v>1290</v>
      </c>
      <c r="AG670">
        <v>0</v>
      </c>
      <c r="AH670">
        <v>0</v>
      </c>
      <c r="AI670">
        <v>0</v>
      </c>
      <c r="AJ670">
        <v>2000</v>
      </c>
      <c r="AK670" t="s">
        <v>1194</v>
      </c>
      <c r="AL670">
        <v>2000</v>
      </c>
      <c r="AM670" s="4" t="s">
        <v>1238</v>
      </c>
      <c r="AN670">
        <v>1</v>
      </c>
      <c r="AO670" t="s">
        <v>1315</v>
      </c>
      <c r="AP670">
        <f t="shared" si="20"/>
        <v>0</v>
      </c>
      <c r="AQ670">
        <v>0</v>
      </c>
      <c r="AR670" t="s">
        <v>1993</v>
      </c>
      <c r="AS670" t="s">
        <v>1996</v>
      </c>
      <c r="AT670" t="s">
        <v>1995</v>
      </c>
      <c r="AU670" t="s">
        <v>1996</v>
      </c>
      <c r="AV670" t="s">
        <v>1995</v>
      </c>
      <c r="AW670" t="s">
        <v>1996</v>
      </c>
      <c r="AX670" t="s">
        <v>1194</v>
      </c>
      <c r="AY670" t="s">
        <v>1996</v>
      </c>
      <c r="AZ670">
        <v>4333</v>
      </c>
      <c r="BA670">
        <v>1</v>
      </c>
      <c r="BB670" t="s">
        <v>2018</v>
      </c>
      <c r="BC670" s="3">
        <v>0</v>
      </c>
      <c r="BD670" s="3">
        <v>0</v>
      </c>
      <c r="BE670" s="3">
        <v>0</v>
      </c>
      <c r="BF670" s="3">
        <v>0</v>
      </c>
      <c r="BG670" s="3">
        <v>130</v>
      </c>
      <c r="BH670" s="3">
        <v>0</v>
      </c>
      <c r="BI670" s="3">
        <v>0</v>
      </c>
      <c r="BJ670" s="3">
        <v>6111.35</v>
      </c>
      <c r="BK670" s="3">
        <v>352.72</v>
      </c>
      <c r="BL670" s="3">
        <v>6464.07</v>
      </c>
      <c r="BM670" s="2">
        <f t="shared" ca="1" si="21"/>
        <v>2</v>
      </c>
      <c r="BN670" s="3">
        <v>500000</v>
      </c>
      <c r="BO670" s="3">
        <v>2000000</v>
      </c>
      <c r="BP670" s="3">
        <v>50000</v>
      </c>
      <c r="BQ670" s="3">
        <v>500000</v>
      </c>
      <c r="BR670" s="3">
        <v>50000</v>
      </c>
      <c r="BS670">
        <v>50000</v>
      </c>
      <c r="BT670">
        <v>0</v>
      </c>
      <c r="BU670">
        <v>0</v>
      </c>
      <c r="BV670">
        <v>0</v>
      </c>
      <c r="BW670">
        <v>1</v>
      </c>
      <c r="BX670">
        <v>1</v>
      </c>
      <c r="BY670">
        <v>0</v>
      </c>
      <c r="BZ670" t="s">
        <v>2958</v>
      </c>
      <c r="CA670" t="s">
        <v>1194</v>
      </c>
      <c r="CB670" t="s">
        <v>2945</v>
      </c>
    </row>
    <row r="671" spans="1:80" x14ac:dyDescent="0.25">
      <c r="A671">
        <v>670</v>
      </c>
      <c r="B671" t="s">
        <v>2684</v>
      </c>
      <c r="C671" s="1">
        <v>44700</v>
      </c>
      <c r="D671">
        <v>42</v>
      </c>
      <c r="E671" t="s">
        <v>4</v>
      </c>
      <c r="F671" t="s">
        <v>1311</v>
      </c>
      <c r="G671">
        <v>0</v>
      </c>
      <c r="H671" s="3">
        <v>1090000</v>
      </c>
      <c r="I671" s="3">
        <v>10900</v>
      </c>
      <c r="J671" s="3">
        <v>218000</v>
      </c>
      <c r="K671" s="3">
        <v>218000</v>
      </c>
      <c r="L671" t="s">
        <v>1191</v>
      </c>
      <c r="M671">
        <v>1689348</v>
      </c>
      <c r="N671" t="s">
        <v>1459</v>
      </c>
      <c r="P671" t="s">
        <v>1838</v>
      </c>
      <c r="Q671" t="s">
        <v>1268</v>
      </c>
      <c r="R671">
        <v>22314</v>
      </c>
      <c r="S671" t="s">
        <v>1839</v>
      </c>
      <c r="T671" t="s">
        <v>965</v>
      </c>
      <c r="U671">
        <v>0</v>
      </c>
      <c r="V671">
        <v>4</v>
      </c>
      <c r="W671" t="s">
        <v>1194</v>
      </c>
      <c r="X671" t="s">
        <v>973</v>
      </c>
      <c r="Y671">
        <v>10000</v>
      </c>
      <c r="Z671" s="2" t="s">
        <v>1194</v>
      </c>
      <c r="AA671" s="2" t="s">
        <v>1238</v>
      </c>
      <c r="AB671" t="s">
        <v>1238</v>
      </c>
      <c r="AC671">
        <v>754</v>
      </c>
      <c r="AD671" t="s">
        <v>1283</v>
      </c>
      <c r="AE671">
        <v>2</v>
      </c>
      <c r="AF671" t="s">
        <v>1290</v>
      </c>
      <c r="AG671">
        <v>0</v>
      </c>
      <c r="AH671">
        <v>0</v>
      </c>
      <c r="AI671">
        <v>0</v>
      </c>
      <c r="AJ671">
        <v>1961</v>
      </c>
      <c r="AK671" t="s">
        <v>1194</v>
      </c>
      <c r="AL671" t="s">
        <v>1194</v>
      </c>
      <c r="AM671" s="4" t="s">
        <v>1238</v>
      </c>
      <c r="AN671">
        <v>0</v>
      </c>
      <c r="AO671" t="s">
        <v>1317</v>
      </c>
      <c r="AP671">
        <f t="shared" si="20"/>
        <v>0</v>
      </c>
      <c r="AQ671">
        <v>0</v>
      </c>
      <c r="AR671" t="s">
        <v>1993</v>
      </c>
      <c r="AS671" t="s">
        <v>1996</v>
      </c>
      <c r="AT671" t="s">
        <v>1996</v>
      </c>
      <c r="AU671" t="s">
        <v>1995</v>
      </c>
      <c r="AV671" t="s">
        <v>1995</v>
      </c>
      <c r="AW671" t="s">
        <v>1996</v>
      </c>
      <c r="AX671" t="s">
        <v>2003</v>
      </c>
      <c r="AY671" t="s">
        <v>1996</v>
      </c>
      <c r="AZ671">
        <v>2850</v>
      </c>
      <c r="BA671" t="s">
        <v>1194</v>
      </c>
      <c r="BB671" t="s">
        <v>1194</v>
      </c>
      <c r="BC671" s="3">
        <v>0</v>
      </c>
      <c r="BD671" s="3">
        <v>0</v>
      </c>
      <c r="BE671" s="3">
        <v>0</v>
      </c>
      <c r="BF671" s="3">
        <v>0</v>
      </c>
      <c r="BG671" s="3">
        <v>210</v>
      </c>
      <c r="BH671" s="3">
        <v>0</v>
      </c>
      <c r="BI671" s="3">
        <v>0</v>
      </c>
      <c r="BJ671" s="3">
        <v>2497.41</v>
      </c>
      <c r="BK671" s="3">
        <v>-10</v>
      </c>
      <c r="BL671" s="3">
        <v>2487.41</v>
      </c>
      <c r="BM671" s="2">
        <f t="shared" ca="1" si="21"/>
        <v>4</v>
      </c>
      <c r="BN671" s="3">
        <v>100000</v>
      </c>
      <c r="BO671" s="3">
        <v>20000</v>
      </c>
      <c r="BP671" s="3">
        <v>50000</v>
      </c>
      <c r="BQ671" s="3">
        <v>25000</v>
      </c>
      <c r="BR671" s="3" t="s">
        <v>2916</v>
      </c>
      <c r="BS671">
        <v>100000</v>
      </c>
      <c r="BT671">
        <v>0</v>
      </c>
      <c r="BU671">
        <v>0</v>
      </c>
      <c r="BV671">
        <v>0</v>
      </c>
      <c r="BW671">
        <v>1</v>
      </c>
      <c r="BX671">
        <v>1</v>
      </c>
      <c r="BY671">
        <v>0</v>
      </c>
      <c r="BZ671" t="s">
        <v>2949</v>
      </c>
      <c r="CA671" t="s">
        <v>1194</v>
      </c>
      <c r="CB671" t="s">
        <v>2949</v>
      </c>
    </row>
    <row r="672" spans="1:80" x14ac:dyDescent="0.25">
      <c r="A672">
        <v>671</v>
      </c>
      <c r="B672" t="s">
        <v>2685</v>
      </c>
      <c r="C672" s="1">
        <v>44679</v>
      </c>
      <c r="D672">
        <v>48</v>
      </c>
      <c r="E672" t="s">
        <v>4</v>
      </c>
      <c r="F672" t="s">
        <v>1311</v>
      </c>
      <c r="G672">
        <v>0</v>
      </c>
      <c r="H672" s="3">
        <v>525707</v>
      </c>
      <c r="I672" s="3">
        <v>11554</v>
      </c>
      <c r="J672" s="3">
        <v>0</v>
      </c>
      <c r="K672" s="3">
        <v>0</v>
      </c>
      <c r="L672" t="s">
        <v>1191</v>
      </c>
      <c r="M672">
        <v>1458166</v>
      </c>
      <c r="N672" t="s">
        <v>1460</v>
      </c>
      <c r="P672" t="s">
        <v>1840</v>
      </c>
      <c r="Q672" t="s">
        <v>1262</v>
      </c>
      <c r="R672">
        <v>97403</v>
      </c>
      <c r="S672" t="s">
        <v>1841</v>
      </c>
      <c r="T672" t="s">
        <v>965</v>
      </c>
      <c r="U672">
        <v>0</v>
      </c>
      <c r="V672">
        <v>1</v>
      </c>
      <c r="W672" t="s">
        <v>1194</v>
      </c>
      <c r="X672" t="s">
        <v>973</v>
      </c>
      <c r="Y672">
        <v>10000</v>
      </c>
      <c r="Z672" s="2" t="s">
        <v>1194</v>
      </c>
      <c r="AA672" s="2" t="s">
        <v>1238</v>
      </c>
      <c r="AB672" t="s">
        <v>1238</v>
      </c>
      <c r="AC672">
        <v>681</v>
      </c>
      <c r="AD672" t="s">
        <v>1279</v>
      </c>
      <c r="AE672">
        <v>2</v>
      </c>
      <c r="AF672" t="s">
        <v>1290</v>
      </c>
      <c r="AG672">
        <v>0</v>
      </c>
      <c r="AH672">
        <v>0</v>
      </c>
      <c r="AI672">
        <v>0</v>
      </c>
      <c r="AJ672">
        <v>1930</v>
      </c>
      <c r="AK672" t="s">
        <v>1194</v>
      </c>
      <c r="AL672">
        <v>2021</v>
      </c>
      <c r="AM672" s="4" t="s">
        <v>1238</v>
      </c>
      <c r="AN672">
        <v>1</v>
      </c>
      <c r="AO672" t="s">
        <v>1315</v>
      </c>
      <c r="AP672">
        <f t="shared" si="20"/>
        <v>0</v>
      </c>
      <c r="AQ672">
        <v>1</v>
      </c>
      <c r="AR672" t="s">
        <v>1992</v>
      </c>
      <c r="AS672" t="s">
        <v>1996</v>
      </c>
      <c r="AT672" t="s">
        <v>1995</v>
      </c>
      <c r="AU672" t="s">
        <v>1996</v>
      </c>
      <c r="AV672" t="s">
        <v>1995</v>
      </c>
      <c r="AW672" t="s">
        <v>1995</v>
      </c>
      <c r="AX672" t="s">
        <v>1194</v>
      </c>
      <c r="AY672" t="s">
        <v>1996</v>
      </c>
      <c r="AZ672">
        <v>944</v>
      </c>
      <c r="BA672">
        <v>3</v>
      </c>
      <c r="BB672" t="s">
        <v>2014</v>
      </c>
      <c r="BC672" s="3">
        <v>0</v>
      </c>
      <c r="BD672" s="3">
        <v>110.42</v>
      </c>
      <c r="BE672" s="3">
        <v>0</v>
      </c>
      <c r="BF672" s="3">
        <v>110.42</v>
      </c>
      <c r="BG672" s="3">
        <v>175</v>
      </c>
      <c r="BH672" s="3">
        <v>0</v>
      </c>
      <c r="BI672" s="3">
        <v>0</v>
      </c>
      <c r="BJ672" s="3">
        <v>1748.31</v>
      </c>
      <c r="BK672" s="3">
        <v>-15</v>
      </c>
      <c r="BL672" s="3">
        <v>1733.31</v>
      </c>
      <c r="BM672" s="2">
        <f t="shared" ca="1" si="21"/>
        <v>4</v>
      </c>
      <c r="BN672" s="3">
        <v>500000</v>
      </c>
      <c r="BO672" s="3">
        <v>25000</v>
      </c>
      <c r="BP672" s="3">
        <v>50000</v>
      </c>
      <c r="BQ672" s="3">
        <v>50000</v>
      </c>
      <c r="BR672" s="3" t="s">
        <v>2916</v>
      </c>
      <c r="BS672" t="s">
        <v>2916</v>
      </c>
      <c r="BT672">
        <v>0</v>
      </c>
      <c r="BU672">
        <v>0</v>
      </c>
      <c r="BV672">
        <v>0</v>
      </c>
      <c r="BW672">
        <v>1</v>
      </c>
      <c r="BX672">
        <v>1</v>
      </c>
      <c r="BY672">
        <v>1</v>
      </c>
      <c r="BZ672" t="s">
        <v>2949</v>
      </c>
      <c r="CA672" t="s">
        <v>1194</v>
      </c>
      <c r="CB672" t="s">
        <v>2945</v>
      </c>
    </row>
    <row r="673" spans="1:80" x14ac:dyDescent="0.25">
      <c r="A673">
        <v>672</v>
      </c>
      <c r="B673" t="s">
        <v>2686</v>
      </c>
      <c r="C673" s="1">
        <v>44635</v>
      </c>
      <c r="D673">
        <v>12</v>
      </c>
      <c r="E673" t="s">
        <v>4</v>
      </c>
      <c r="F673" t="s">
        <v>1311</v>
      </c>
      <c r="G673">
        <v>1</v>
      </c>
      <c r="H673" s="3">
        <v>7913324</v>
      </c>
      <c r="I673" s="3">
        <v>460804</v>
      </c>
      <c r="J673" s="3">
        <v>3224365</v>
      </c>
      <c r="K673" s="3">
        <v>1582664.8</v>
      </c>
      <c r="L673" t="s">
        <v>1191</v>
      </c>
      <c r="M673">
        <v>1324212</v>
      </c>
      <c r="N673" t="s">
        <v>1461</v>
      </c>
      <c r="P673" t="s">
        <v>1695</v>
      </c>
      <c r="Q673" t="s">
        <v>1239</v>
      </c>
      <c r="R673">
        <v>80218</v>
      </c>
      <c r="S673" t="s">
        <v>1695</v>
      </c>
      <c r="T673" t="s">
        <v>965</v>
      </c>
      <c r="U673">
        <v>0</v>
      </c>
      <c r="V673">
        <v>94</v>
      </c>
      <c r="W673" t="s">
        <v>1194</v>
      </c>
      <c r="X673" t="s">
        <v>973</v>
      </c>
      <c r="Y673">
        <v>25000</v>
      </c>
      <c r="Z673" s="2">
        <v>0.99999696699999996</v>
      </c>
      <c r="AA673" s="2">
        <v>1</v>
      </c>
      <c r="AB673" t="s">
        <v>1277</v>
      </c>
      <c r="AC673">
        <v>723</v>
      </c>
      <c r="AD673" t="s">
        <v>1280</v>
      </c>
      <c r="AE673">
        <v>1</v>
      </c>
      <c r="AF673" t="s">
        <v>1290</v>
      </c>
      <c r="AG673">
        <v>0</v>
      </c>
      <c r="AH673">
        <v>0</v>
      </c>
      <c r="AI673">
        <v>0</v>
      </c>
      <c r="AJ673">
        <v>1907</v>
      </c>
      <c r="AK673">
        <v>2014</v>
      </c>
      <c r="AL673">
        <v>2014</v>
      </c>
      <c r="AM673" s="4" t="s">
        <v>1238</v>
      </c>
      <c r="AN673">
        <v>0</v>
      </c>
      <c r="AO673" t="s">
        <v>1316</v>
      </c>
      <c r="AP673">
        <f t="shared" si="20"/>
        <v>0</v>
      </c>
      <c r="AQ673">
        <v>1</v>
      </c>
      <c r="AR673" t="s">
        <v>1992</v>
      </c>
      <c r="AS673" t="s">
        <v>1996</v>
      </c>
      <c r="AT673" t="s">
        <v>1996</v>
      </c>
      <c r="AU673" t="s">
        <v>1996</v>
      </c>
      <c r="AV673" t="s">
        <v>1996</v>
      </c>
      <c r="AW673" t="s">
        <v>1995</v>
      </c>
      <c r="AX673" t="s">
        <v>1194</v>
      </c>
      <c r="AY673" t="s">
        <v>1996</v>
      </c>
      <c r="AZ673">
        <v>9399</v>
      </c>
      <c r="BA673">
        <v>3</v>
      </c>
      <c r="BB673" t="s">
        <v>2014</v>
      </c>
      <c r="BC673" s="3">
        <v>0</v>
      </c>
      <c r="BD673" s="3">
        <v>0</v>
      </c>
      <c r="BE673" s="3">
        <v>0</v>
      </c>
      <c r="BF673" s="3">
        <v>1126.8800000000001</v>
      </c>
      <c r="BG673" s="3">
        <v>210</v>
      </c>
      <c r="BH673" s="3">
        <v>0</v>
      </c>
      <c r="BI673" s="3">
        <v>0</v>
      </c>
      <c r="BJ673" s="3">
        <v>24295.62</v>
      </c>
      <c r="BK673" s="3">
        <v>150</v>
      </c>
      <c r="BL673" s="3">
        <v>24445.62</v>
      </c>
      <c r="BM673" s="2">
        <f t="shared" ca="1" si="21"/>
        <v>4</v>
      </c>
      <c r="BN673" s="3" t="s">
        <v>2916</v>
      </c>
      <c r="BO673" s="3">
        <v>25000</v>
      </c>
      <c r="BP673" s="3" t="s">
        <v>2922</v>
      </c>
      <c r="BQ673" s="3">
        <v>50000</v>
      </c>
      <c r="BR673" s="3">
        <v>500000</v>
      </c>
      <c r="BS673">
        <v>50000</v>
      </c>
      <c r="BT673">
        <v>0</v>
      </c>
      <c r="BU673">
        <v>0</v>
      </c>
      <c r="BV673">
        <v>1</v>
      </c>
      <c r="BW673">
        <v>0</v>
      </c>
      <c r="BX673">
        <v>0</v>
      </c>
      <c r="BY673">
        <v>0</v>
      </c>
      <c r="BZ673" t="s">
        <v>2964</v>
      </c>
      <c r="CA673" t="s">
        <v>1194</v>
      </c>
      <c r="CB673" t="s">
        <v>2949</v>
      </c>
    </row>
    <row r="674" spans="1:80" x14ac:dyDescent="0.25">
      <c r="A674">
        <v>673</v>
      </c>
      <c r="B674" t="s">
        <v>2687</v>
      </c>
      <c r="C674" s="1">
        <v>44749</v>
      </c>
      <c r="D674">
        <v>12</v>
      </c>
      <c r="E674" t="s">
        <v>4</v>
      </c>
      <c r="F674" t="s">
        <v>1311</v>
      </c>
      <c r="G674">
        <v>0</v>
      </c>
      <c r="H674" s="3">
        <v>3068350</v>
      </c>
      <c r="I674" s="3">
        <v>613670</v>
      </c>
      <c r="J674" s="3">
        <v>1534175</v>
      </c>
      <c r="K674" s="3">
        <v>613670</v>
      </c>
      <c r="L674" t="s">
        <v>1191</v>
      </c>
      <c r="M674">
        <v>1712686</v>
      </c>
      <c r="N674" t="s">
        <v>1462</v>
      </c>
      <c r="P674" t="s">
        <v>1842</v>
      </c>
      <c r="Q674" t="s">
        <v>1239</v>
      </c>
      <c r="R674">
        <v>81623</v>
      </c>
      <c r="S674" t="s">
        <v>1843</v>
      </c>
      <c r="T674" t="s">
        <v>965</v>
      </c>
      <c r="U674">
        <v>0</v>
      </c>
      <c r="V674">
        <v>96</v>
      </c>
      <c r="W674" t="s">
        <v>1194</v>
      </c>
      <c r="X674" t="s">
        <v>973</v>
      </c>
      <c r="Y674">
        <v>10000</v>
      </c>
      <c r="Z674" s="2">
        <v>0.48886209200000003</v>
      </c>
      <c r="AA674" s="2">
        <v>1</v>
      </c>
      <c r="AB674" t="s">
        <v>1277</v>
      </c>
      <c r="AC674">
        <v>786</v>
      </c>
      <c r="AD674" t="s">
        <v>1279</v>
      </c>
      <c r="AE674">
        <v>3</v>
      </c>
      <c r="AF674" t="s">
        <v>1290</v>
      </c>
      <c r="AG674">
        <v>0</v>
      </c>
      <c r="AH674">
        <v>1</v>
      </c>
      <c r="AI674">
        <v>1</v>
      </c>
      <c r="AJ674">
        <v>2000</v>
      </c>
      <c r="AK674" t="s">
        <v>1194</v>
      </c>
      <c r="AL674" t="s">
        <v>1194</v>
      </c>
      <c r="AM674" s="4" t="s">
        <v>1238</v>
      </c>
      <c r="AN674">
        <v>1</v>
      </c>
      <c r="AO674" t="s">
        <v>1315</v>
      </c>
      <c r="AP674">
        <f t="shared" si="20"/>
        <v>1</v>
      </c>
      <c r="AQ674">
        <v>1</v>
      </c>
      <c r="AR674" t="s">
        <v>1992</v>
      </c>
      <c r="AS674" t="s">
        <v>1996</v>
      </c>
      <c r="AT674" t="s">
        <v>1995</v>
      </c>
      <c r="AU674" t="s">
        <v>1995</v>
      </c>
      <c r="AV674" t="s">
        <v>1995</v>
      </c>
      <c r="AW674" t="s">
        <v>1995</v>
      </c>
      <c r="AX674" t="s">
        <v>1194</v>
      </c>
      <c r="AY674" t="s">
        <v>1996</v>
      </c>
      <c r="AZ674">
        <v>5752</v>
      </c>
      <c r="BA674">
        <v>3</v>
      </c>
      <c r="BB674" t="s">
        <v>2017</v>
      </c>
      <c r="BC674" s="3">
        <v>0</v>
      </c>
      <c r="BD674" s="3">
        <v>0</v>
      </c>
      <c r="BE674" s="3">
        <v>0</v>
      </c>
      <c r="BF674" s="3">
        <v>1127.54</v>
      </c>
      <c r="BG674" s="3">
        <v>175</v>
      </c>
      <c r="BH674" s="3">
        <v>0</v>
      </c>
      <c r="BI674" s="3">
        <v>0</v>
      </c>
      <c r="BJ674" s="3">
        <v>9658.23</v>
      </c>
      <c r="BK674" s="3">
        <v>-10</v>
      </c>
      <c r="BL674" s="3">
        <v>9648.23</v>
      </c>
      <c r="BM674" s="2">
        <f t="shared" ca="1" si="21"/>
        <v>5</v>
      </c>
      <c r="BN674" s="3">
        <v>50000</v>
      </c>
      <c r="BO674" s="3">
        <v>250000</v>
      </c>
      <c r="BP674" s="3">
        <v>200000</v>
      </c>
      <c r="BQ674" s="3">
        <v>50000</v>
      </c>
      <c r="BR674" s="3" t="s">
        <v>2916</v>
      </c>
      <c r="BS674">
        <v>250000</v>
      </c>
      <c r="BT674">
        <v>0</v>
      </c>
      <c r="BU674">
        <v>0</v>
      </c>
      <c r="BV674">
        <v>1</v>
      </c>
      <c r="BW674">
        <v>0</v>
      </c>
      <c r="BX674">
        <v>0</v>
      </c>
      <c r="BY674">
        <v>0</v>
      </c>
      <c r="BZ674" t="s">
        <v>2958</v>
      </c>
      <c r="CA674" t="s">
        <v>1194</v>
      </c>
      <c r="CB674" t="s">
        <v>2949</v>
      </c>
    </row>
    <row r="675" spans="1:80" x14ac:dyDescent="0.25">
      <c r="A675">
        <v>674</v>
      </c>
      <c r="B675" t="s">
        <v>2688</v>
      </c>
      <c r="C675" s="1">
        <v>44806</v>
      </c>
      <c r="D675">
        <v>12</v>
      </c>
      <c r="E675" t="s">
        <v>4</v>
      </c>
      <c r="F675" t="s">
        <v>1311</v>
      </c>
      <c r="G675">
        <v>1</v>
      </c>
      <c r="H675" s="3">
        <v>2484440</v>
      </c>
      <c r="I675" s="3">
        <v>261600</v>
      </c>
      <c r="J675" s="3">
        <v>109000</v>
      </c>
      <c r="K675" s="3">
        <v>0</v>
      </c>
      <c r="L675" t="s">
        <v>1191</v>
      </c>
      <c r="M675">
        <v>1679020</v>
      </c>
      <c r="N675" t="s">
        <v>1463</v>
      </c>
      <c r="P675" t="s">
        <v>1733</v>
      </c>
      <c r="Q675" t="s">
        <v>1246</v>
      </c>
      <c r="R675">
        <v>60647</v>
      </c>
      <c r="S675" t="s">
        <v>1734</v>
      </c>
      <c r="T675" t="s">
        <v>965</v>
      </c>
      <c r="U675">
        <v>0</v>
      </c>
      <c r="V675">
        <v>9</v>
      </c>
      <c r="W675" t="s">
        <v>1194</v>
      </c>
      <c r="X675" t="s">
        <v>973</v>
      </c>
      <c r="Y675">
        <v>10000</v>
      </c>
      <c r="Z675" s="2" t="s">
        <v>1194</v>
      </c>
      <c r="AA675" s="2">
        <v>0</v>
      </c>
      <c r="AB675" t="s">
        <v>1238</v>
      </c>
      <c r="AC675">
        <v>743</v>
      </c>
      <c r="AD675" t="s">
        <v>1284</v>
      </c>
      <c r="AE675">
        <v>1</v>
      </c>
      <c r="AF675" t="s">
        <v>1290</v>
      </c>
      <c r="AG675">
        <v>0</v>
      </c>
      <c r="AH675">
        <v>0</v>
      </c>
      <c r="AI675">
        <v>0</v>
      </c>
      <c r="AJ675">
        <v>1896</v>
      </c>
      <c r="AK675" t="s">
        <v>1194</v>
      </c>
      <c r="AL675">
        <v>2017</v>
      </c>
      <c r="AM675" s="4" t="s">
        <v>1238</v>
      </c>
      <c r="AN675">
        <v>1</v>
      </c>
      <c r="AO675" t="s">
        <v>1316</v>
      </c>
      <c r="AP675">
        <f t="shared" si="20"/>
        <v>0</v>
      </c>
      <c r="AQ675">
        <v>1</v>
      </c>
      <c r="AR675" t="s">
        <v>1992</v>
      </c>
      <c r="AS675" t="s">
        <v>1995</v>
      </c>
      <c r="AT675" t="s">
        <v>1995</v>
      </c>
      <c r="AU675" t="s">
        <v>1995</v>
      </c>
      <c r="AV675" t="s">
        <v>1995</v>
      </c>
      <c r="AW675" t="s">
        <v>1995</v>
      </c>
      <c r="AX675" t="s">
        <v>1194</v>
      </c>
      <c r="AY675" t="s">
        <v>1996</v>
      </c>
      <c r="AZ675">
        <v>3000</v>
      </c>
      <c r="BA675" t="s">
        <v>1194</v>
      </c>
      <c r="BB675" t="s">
        <v>1194</v>
      </c>
      <c r="BC675" s="3">
        <v>0</v>
      </c>
      <c r="BD675" s="3">
        <v>0</v>
      </c>
      <c r="BE675" s="3">
        <v>0</v>
      </c>
      <c r="BF675" s="3">
        <v>0</v>
      </c>
      <c r="BG675" s="3">
        <v>175</v>
      </c>
      <c r="BH675" s="3">
        <v>0</v>
      </c>
      <c r="BI675" s="3">
        <v>0</v>
      </c>
      <c r="BJ675" s="3">
        <v>5941.21</v>
      </c>
      <c r="BK675" s="3">
        <v>-15</v>
      </c>
      <c r="BL675" s="3">
        <v>5926.21</v>
      </c>
      <c r="BM675" s="2">
        <f t="shared" ca="1" si="21"/>
        <v>1</v>
      </c>
      <c r="BN675" s="3">
        <v>100000</v>
      </c>
      <c r="BO675" s="3">
        <v>100000</v>
      </c>
      <c r="BP675" s="3">
        <v>200000</v>
      </c>
      <c r="BQ675" s="3">
        <v>500000</v>
      </c>
      <c r="BR675" s="3">
        <v>500000</v>
      </c>
      <c r="BS675">
        <v>250000</v>
      </c>
      <c r="BT675">
        <v>0</v>
      </c>
      <c r="BU675">
        <v>0</v>
      </c>
      <c r="BV675">
        <v>0</v>
      </c>
      <c r="BW675">
        <v>1</v>
      </c>
      <c r="BX675">
        <v>1</v>
      </c>
      <c r="BY675">
        <v>0</v>
      </c>
      <c r="BZ675" t="s">
        <v>2958</v>
      </c>
      <c r="CA675" t="s">
        <v>1194</v>
      </c>
      <c r="CB675" t="s">
        <v>2945</v>
      </c>
    </row>
    <row r="676" spans="1:80" x14ac:dyDescent="0.25">
      <c r="A676">
        <v>675</v>
      </c>
      <c r="B676" t="s">
        <v>2689</v>
      </c>
      <c r="C676" s="1">
        <v>44757</v>
      </c>
      <c r="D676">
        <v>12</v>
      </c>
      <c r="E676" t="s">
        <v>4</v>
      </c>
      <c r="F676" t="s">
        <v>1311</v>
      </c>
      <c r="G676">
        <v>1</v>
      </c>
      <c r="H676" s="3">
        <v>0</v>
      </c>
      <c r="I676" s="3">
        <v>0</v>
      </c>
      <c r="J676" s="3">
        <v>1350000</v>
      </c>
      <c r="K676" s="3">
        <v>0</v>
      </c>
      <c r="L676" t="s">
        <v>1192</v>
      </c>
      <c r="M676">
        <v>1953528</v>
      </c>
      <c r="N676" t="s">
        <v>1464</v>
      </c>
      <c r="P676" t="s">
        <v>1844</v>
      </c>
      <c r="Q676" t="s">
        <v>1271</v>
      </c>
      <c r="R676">
        <v>53092</v>
      </c>
      <c r="S676" t="s">
        <v>1845</v>
      </c>
      <c r="T676" t="s">
        <v>965</v>
      </c>
      <c r="U676">
        <v>0</v>
      </c>
      <c r="V676">
        <v>1</v>
      </c>
      <c r="W676" t="s">
        <v>1194</v>
      </c>
      <c r="X676" t="s">
        <v>973</v>
      </c>
      <c r="Y676">
        <v>10000</v>
      </c>
      <c r="Z676" s="2" t="s">
        <v>1194</v>
      </c>
      <c r="AA676" s="2">
        <v>1</v>
      </c>
      <c r="AB676">
        <v>0.02</v>
      </c>
      <c r="AC676">
        <v>773</v>
      </c>
      <c r="AD676" t="s">
        <v>1279</v>
      </c>
      <c r="AE676">
        <v>4</v>
      </c>
      <c r="AF676" t="s">
        <v>1290</v>
      </c>
      <c r="AG676">
        <v>0</v>
      </c>
      <c r="AH676">
        <v>0</v>
      </c>
      <c r="AI676">
        <v>0</v>
      </c>
      <c r="AJ676">
        <v>1993</v>
      </c>
      <c r="AK676" t="s">
        <v>1194</v>
      </c>
      <c r="AL676" t="s">
        <v>1194</v>
      </c>
      <c r="AM676" s="4" t="s">
        <v>1238</v>
      </c>
      <c r="AN676">
        <v>0</v>
      </c>
      <c r="AO676" t="s">
        <v>1316</v>
      </c>
      <c r="AP676">
        <f t="shared" si="20"/>
        <v>0</v>
      </c>
      <c r="AQ676">
        <v>1</v>
      </c>
      <c r="AR676" t="s">
        <v>1992</v>
      </c>
      <c r="AS676" t="s">
        <v>1995</v>
      </c>
      <c r="AT676" t="s">
        <v>1996</v>
      </c>
      <c r="AU676" t="s">
        <v>1996</v>
      </c>
      <c r="AV676" t="s">
        <v>1996</v>
      </c>
      <c r="AW676" t="s">
        <v>1995</v>
      </c>
      <c r="AX676" t="s">
        <v>1194</v>
      </c>
      <c r="AY676" t="s">
        <v>1996</v>
      </c>
      <c r="AZ676">
        <v>2632</v>
      </c>
      <c r="BA676" t="s">
        <v>1194</v>
      </c>
      <c r="BB676" t="s">
        <v>1194</v>
      </c>
      <c r="BC676" s="3">
        <v>0</v>
      </c>
      <c r="BD676" s="3">
        <v>0</v>
      </c>
      <c r="BE676" s="3">
        <v>0</v>
      </c>
      <c r="BF676" s="3">
        <v>0</v>
      </c>
      <c r="BG676" s="3">
        <v>175</v>
      </c>
      <c r="BH676" s="3">
        <v>0</v>
      </c>
      <c r="BI676" s="3">
        <v>0</v>
      </c>
      <c r="BJ676" s="3">
        <v>5331.89</v>
      </c>
      <c r="BK676" s="3">
        <v>120</v>
      </c>
      <c r="BL676" s="3">
        <v>5451.89</v>
      </c>
      <c r="BM676" s="2">
        <f t="shared" ca="1" si="21"/>
        <v>3</v>
      </c>
      <c r="BN676" s="3" t="s">
        <v>2916</v>
      </c>
      <c r="BO676" s="3">
        <v>2000000</v>
      </c>
      <c r="BP676" s="3">
        <v>200000</v>
      </c>
      <c r="BQ676" s="3">
        <v>1000000</v>
      </c>
      <c r="BR676" s="3">
        <v>100000</v>
      </c>
      <c r="BS676" t="s">
        <v>2916</v>
      </c>
      <c r="BT676">
        <v>0</v>
      </c>
      <c r="BU676">
        <v>0</v>
      </c>
      <c r="BV676">
        <v>0</v>
      </c>
      <c r="BW676">
        <v>1</v>
      </c>
      <c r="BX676">
        <v>1</v>
      </c>
      <c r="BY676">
        <v>0</v>
      </c>
      <c r="BZ676" t="s">
        <v>1194</v>
      </c>
      <c r="CA676" t="s">
        <v>1194</v>
      </c>
      <c r="CB676" t="s">
        <v>1194</v>
      </c>
    </row>
    <row r="677" spans="1:80" x14ac:dyDescent="0.25">
      <c r="A677">
        <v>676</v>
      </c>
      <c r="B677" t="s">
        <v>2690</v>
      </c>
      <c r="C677" s="1">
        <v>44846</v>
      </c>
      <c r="D677">
        <v>12</v>
      </c>
      <c r="E677" t="s">
        <v>4</v>
      </c>
      <c r="F677" t="s">
        <v>1311</v>
      </c>
      <c r="G677">
        <v>0</v>
      </c>
      <c r="H677" s="3">
        <v>0</v>
      </c>
      <c r="I677" s="3">
        <v>0</v>
      </c>
      <c r="J677" s="3">
        <v>735750</v>
      </c>
      <c r="K677" s="3">
        <v>147150</v>
      </c>
      <c r="L677" t="s">
        <v>1192</v>
      </c>
      <c r="M677">
        <v>1784943</v>
      </c>
      <c r="N677" t="s">
        <v>1465</v>
      </c>
      <c r="O677" t="s">
        <v>1466</v>
      </c>
      <c r="P677" t="s">
        <v>1846</v>
      </c>
      <c r="Q677" t="s">
        <v>1270</v>
      </c>
      <c r="R677">
        <v>98110</v>
      </c>
      <c r="S677" t="s">
        <v>1847</v>
      </c>
      <c r="T677" t="s">
        <v>965</v>
      </c>
      <c r="U677">
        <v>0</v>
      </c>
      <c r="V677">
        <v>148</v>
      </c>
      <c r="W677" t="s">
        <v>1194</v>
      </c>
      <c r="X677" t="s">
        <v>973</v>
      </c>
      <c r="Y677">
        <v>10000</v>
      </c>
      <c r="Z677" s="2" t="s">
        <v>1194</v>
      </c>
      <c r="AA677" s="2" t="s">
        <v>1238</v>
      </c>
      <c r="AB677" t="s">
        <v>1238</v>
      </c>
      <c r="AC677" t="s">
        <v>1194</v>
      </c>
      <c r="AD677" t="s">
        <v>1279</v>
      </c>
      <c r="AE677">
        <v>4</v>
      </c>
      <c r="AF677" t="s">
        <v>1290</v>
      </c>
      <c r="AG677">
        <v>0</v>
      </c>
      <c r="AH677">
        <v>0</v>
      </c>
      <c r="AI677">
        <v>0</v>
      </c>
      <c r="AJ677">
        <v>2004</v>
      </c>
      <c r="AK677">
        <v>2022</v>
      </c>
      <c r="AL677" t="s">
        <v>1194</v>
      </c>
      <c r="AM677" s="4" t="s">
        <v>1238</v>
      </c>
      <c r="AN677">
        <v>0</v>
      </c>
      <c r="AO677" t="s">
        <v>1316</v>
      </c>
      <c r="AP677">
        <f t="shared" si="20"/>
        <v>0</v>
      </c>
      <c r="AQ677">
        <v>0</v>
      </c>
      <c r="AR677" t="s">
        <v>1993</v>
      </c>
      <c r="AS677" t="s">
        <v>1995</v>
      </c>
      <c r="AT677" t="s">
        <v>1996</v>
      </c>
      <c r="AU677" t="s">
        <v>1995</v>
      </c>
      <c r="AV677" t="s">
        <v>1995</v>
      </c>
      <c r="AW677" t="s">
        <v>1996</v>
      </c>
      <c r="AX677" t="s">
        <v>1194</v>
      </c>
      <c r="AY677" t="s">
        <v>1996</v>
      </c>
      <c r="AZ677">
        <v>1659</v>
      </c>
      <c r="BA677" t="s">
        <v>1194</v>
      </c>
      <c r="BB677" t="s">
        <v>1194</v>
      </c>
      <c r="BC677" s="3">
        <v>0</v>
      </c>
      <c r="BD677" s="3">
        <v>0</v>
      </c>
      <c r="BE677" s="3">
        <v>0</v>
      </c>
      <c r="BF677" s="3">
        <v>0</v>
      </c>
      <c r="BG677" s="3">
        <v>140</v>
      </c>
      <c r="BH677" s="3">
        <v>0</v>
      </c>
      <c r="BI677" s="3">
        <v>0</v>
      </c>
      <c r="BJ677" s="3">
        <v>2331.81</v>
      </c>
      <c r="BK677" s="3">
        <v>-5</v>
      </c>
      <c r="BL677" s="3">
        <v>2326.81</v>
      </c>
      <c r="BM677" s="2">
        <f t="shared" ca="1" si="21"/>
        <v>4</v>
      </c>
      <c r="BN677" s="3">
        <v>100000</v>
      </c>
      <c r="BO677" s="3">
        <v>50000</v>
      </c>
      <c r="BP677" s="3">
        <v>50000</v>
      </c>
      <c r="BQ677" s="3">
        <v>100000</v>
      </c>
      <c r="BR677" s="3" t="s">
        <v>2916</v>
      </c>
      <c r="BS677">
        <v>250000</v>
      </c>
      <c r="BT677">
        <v>0</v>
      </c>
      <c r="BU677">
        <v>0</v>
      </c>
      <c r="BV677">
        <v>0</v>
      </c>
      <c r="BW677">
        <v>1</v>
      </c>
      <c r="BX677">
        <v>1</v>
      </c>
      <c r="BY677">
        <v>0</v>
      </c>
      <c r="BZ677" t="s">
        <v>1194</v>
      </c>
      <c r="CA677" t="s">
        <v>1194</v>
      </c>
      <c r="CB677" t="s">
        <v>1194</v>
      </c>
    </row>
    <row r="678" spans="1:80" x14ac:dyDescent="0.25">
      <c r="A678">
        <v>677</v>
      </c>
      <c r="B678" t="s">
        <v>2691</v>
      </c>
      <c r="C678" s="1">
        <v>44640</v>
      </c>
      <c r="D678">
        <v>12</v>
      </c>
      <c r="E678" t="s">
        <v>4</v>
      </c>
      <c r="F678" t="s">
        <v>1311</v>
      </c>
      <c r="G678">
        <v>1</v>
      </c>
      <c r="H678" s="3">
        <v>0</v>
      </c>
      <c r="I678" s="3">
        <v>0</v>
      </c>
      <c r="J678" s="3">
        <v>2767251</v>
      </c>
      <c r="K678" s="3">
        <v>553450.19999999995</v>
      </c>
      <c r="L678" t="s">
        <v>1192</v>
      </c>
      <c r="M678">
        <v>1201383</v>
      </c>
      <c r="N678" t="s">
        <v>1467</v>
      </c>
      <c r="O678" t="s">
        <v>1468</v>
      </c>
      <c r="P678" t="s">
        <v>1848</v>
      </c>
      <c r="Q678" t="s">
        <v>1243</v>
      </c>
      <c r="R678">
        <v>96743</v>
      </c>
      <c r="S678" t="s">
        <v>1804</v>
      </c>
      <c r="T678" t="s">
        <v>1988</v>
      </c>
      <c r="U678">
        <v>0</v>
      </c>
      <c r="V678">
        <v>1</v>
      </c>
      <c r="W678" t="s">
        <v>1194</v>
      </c>
      <c r="X678" t="s">
        <v>973</v>
      </c>
      <c r="Y678">
        <v>10000</v>
      </c>
      <c r="Z678" s="2">
        <v>1.9999992769999999</v>
      </c>
      <c r="AA678" s="2" t="s">
        <v>1238</v>
      </c>
      <c r="AB678" t="s">
        <v>1238</v>
      </c>
      <c r="AC678">
        <v>887</v>
      </c>
      <c r="AD678" t="s">
        <v>1279</v>
      </c>
      <c r="AE678">
        <v>5</v>
      </c>
      <c r="AF678" t="s">
        <v>1290</v>
      </c>
      <c r="AG678">
        <v>1</v>
      </c>
      <c r="AH678">
        <v>0</v>
      </c>
      <c r="AI678">
        <v>1</v>
      </c>
      <c r="AJ678">
        <v>2006</v>
      </c>
      <c r="AK678" t="s">
        <v>1194</v>
      </c>
      <c r="AL678" t="s">
        <v>1194</v>
      </c>
      <c r="AM678" s="4" t="s">
        <v>1238</v>
      </c>
      <c r="AN678">
        <v>1</v>
      </c>
      <c r="AO678" t="s">
        <v>1315</v>
      </c>
      <c r="AP678">
        <f t="shared" si="20"/>
        <v>1</v>
      </c>
      <c r="AQ678">
        <v>1</v>
      </c>
      <c r="AR678" t="s">
        <v>1992</v>
      </c>
      <c r="AS678" t="s">
        <v>1995</v>
      </c>
      <c r="AT678" t="s">
        <v>1996</v>
      </c>
      <c r="AU678" t="s">
        <v>1995</v>
      </c>
      <c r="AV678" t="s">
        <v>1995</v>
      </c>
      <c r="AW678" t="s">
        <v>1995</v>
      </c>
      <c r="AX678" t="s">
        <v>2003</v>
      </c>
      <c r="AY678" t="s">
        <v>1996</v>
      </c>
      <c r="AZ678">
        <v>3577</v>
      </c>
      <c r="BA678" t="s">
        <v>1194</v>
      </c>
      <c r="BB678" t="s">
        <v>1194</v>
      </c>
      <c r="BC678" s="3">
        <v>0</v>
      </c>
      <c r="BD678" s="3">
        <v>4972.24</v>
      </c>
      <c r="BE678" s="3">
        <v>0</v>
      </c>
      <c r="BF678" s="3">
        <v>0</v>
      </c>
      <c r="BG678" s="3">
        <v>175</v>
      </c>
      <c r="BH678" s="3">
        <v>0</v>
      </c>
      <c r="BI678" s="3">
        <v>0</v>
      </c>
      <c r="BJ678" s="3">
        <v>12398.04</v>
      </c>
      <c r="BK678" s="3">
        <v>6063.09</v>
      </c>
      <c r="BL678" s="3">
        <v>18461.13</v>
      </c>
      <c r="BM678" s="2">
        <f t="shared" ca="1" si="21"/>
        <v>0</v>
      </c>
      <c r="BN678" s="3">
        <v>250000</v>
      </c>
      <c r="BO678" s="3">
        <v>25000</v>
      </c>
      <c r="BP678" s="3">
        <v>50000</v>
      </c>
      <c r="BQ678" s="3">
        <v>500000</v>
      </c>
      <c r="BR678" s="3">
        <v>250000</v>
      </c>
      <c r="BS678">
        <v>500000</v>
      </c>
      <c r="BT678">
        <v>0</v>
      </c>
      <c r="BU678">
        <v>1</v>
      </c>
      <c r="BV678">
        <v>1</v>
      </c>
      <c r="BW678">
        <v>0</v>
      </c>
      <c r="BX678">
        <v>0</v>
      </c>
      <c r="BY678">
        <v>0</v>
      </c>
      <c r="BZ678" t="s">
        <v>2965</v>
      </c>
      <c r="CA678" t="s">
        <v>1194</v>
      </c>
      <c r="CB678" t="s">
        <v>2941</v>
      </c>
    </row>
    <row r="679" spans="1:80" x14ac:dyDescent="0.25">
      <c r="A679">
        <v>678</v>
      </c>
      <c r="B679" t="s">
        <v>2692</v>
      </c>
      <c r="C679" s="1">
        <v>44716</v>
      </c>
      <c r="D679">
        <v>12</v>
      </c>
      <c r="E679" t="s">
        <v>5</v>
      </c>
      <c r="F679" t="s">
        <v>1310</v>
      </c>
      <c r="G679">
        <v>0</v>
      </c>
      <c r="H679" s="3">
        <v>2021950</v>
      </c>
      <c r="I679" s="3">
        <v>51748</v>
      </c>
      <c r="J679" s="3">
        <v>574975</v>
      </c>
      <c r="K679" s="3">
        <v>404390</v>
      </c>
      <c r="L679" t="s">
        <v>1191</v>
      </c>
      <c r="M679">
        <v>770486</v>
      </c>
      <c r="N679" t="s">
        <v>1469</v>
      </c>
      <c r="P679" t="s">
        <v>1772</v>
      </c>
      <c r="Q679" t="s">
        <v>1252</v>
      </c>
      <c r="R679">
        <v>49635</v>
      </c>
      <c r="S679" t="s">
        <v>1773</v>
      </c>
      <c r="T679" t="s">
        <v>965</v>
      </c>
      <c r="U679">
        <v>0</v>
      </c>
      <c r="V679">
        <v>1</v>
      </c>
      <c r="W679" t="s">
        <v>1194</v>
      </c>
      <c r="X679" t="s">
        <v>973</v>
      </c>
      <c r="Y679">
        <v>10000</v>
      </c>
      <c r="Z679" s="2" t="s">
        <v>1194</v>
      </c>
      <c r="AA679" s="2">
        <v>1</v>
      </c>
      <c r="AB679" t="s">
        <v>1277</v>
      </c>
      <c r="AC679">
        <v>746</v>
      </c>
      <c r="AD679" t="s">
        <v>1279</v>
      </c>
      <c r="AE679">
        <v>10</v>
      </c>
      <c r="AF679" t="s">
        <v>1290</v>
      </c>
      <c r="AG679">
        <v>0</v>
      </c>
      <c r="AH679">
        <v>0</v>
      </c>
      <c r="AI679">
        <v>0</v>
      </c>
      <c r="AJ679">
        <v>2016</v>
      </c>
      <c r="AK679" t="s">
        <v>1194</v>
      </c>
      <c r="AL679" t="s">
        <v>1194</v>
      </c>
      <c r="AM679" s="4" t="s">
        <v>1304</v>
      </c>
      <c r="AN679">
        <v>1</v>
      </c>
      <c r="AO679" t="s">
        <v>1316</v>
      </c>
      <c r="AP679">
        <f t="shared" si="20"/>
        <v>0</v>
      </c>
      <c r="AQ679">
        <v>0</v>
      </c>
      <c r="AR679" t="s">
        <v>1993</v>
      </c>
      <c r="AS679" t="s">
        <v>1996</v>
      </c>
      <c r="AT679" t="s">
        <v>1996</v>
      </c>
      <c r="AU679" t="s">
        <v>1995</v>
      </c>
      <c r="AV679" t="s">
        <v>1996</v>
      </c>
      <c r="AW679" t="s">
        <v>1995</v>
      </c>
      <c r="AX679" t="s">
        <v>1194</v>
      </c>
      <c r="AY679" t="s">
        <v>1996</v>
      </c>
      <c r="AZ679">
        <v>4403</v>
      </c>
      <c r="BA679" t="s">
        <v>1194</v>
      </c>
      <c r="BB679" t="s">
        <v>1194</v>
      </c>
      <c r="BC679" s="3">
        <v>0</v>
      </c>
      <c r="BD679" s="3">
        <v>0</v>
      </c>
      <c r="BE679" s="3">
        <v>0</v>
      </c>
      <c r="BF679" s="3">
        <v>0</v>
      </c>
      <c r="BG679" s="3">
        <v>150</v>
      </c>
      <c r="BH679" s="3">
        <v>0</v>
      </c>
      <c r="BI679" s="3">
        <v>0</v>
      </c>
      <c r="BJ679" s="3">
        <v>5733.03</v>
      </c>
      <c r="BK679" s="3">
        <v>585</v>
      </c>
      <c r="BL679" s="3">
        <v>6318.03</v>
      </c>
      <c r="BM679" s="2">
        <f t="shared" ca="1" si="21"/>
        <v>5</v>
      </c>
      <c r="BN679" s="3" t="s">
        <v>2916</v>
      </c>
      <c r="BO679" s="3">
        <v>25000</v>
      </c>
      <c r="BP679" s="3">
        <v>50000</v>
      </c>
      <c r="BQ679" s="3">
        <v>250000</v>
      </c>
      <c r="BR679" s="3">
        <v>100000</v>
      </c>
      <c r="BS679">
        <v>250000</v>
      </c>
      <c r="BT679">
        <v>0</v>
      </c>
      <c r="BU679">
        <v>0</v>
      </c>
      <c r="BV679">
        <v>1</v>
      </c>
      <c r="BW679">
        <v>0</v>
      </c>
      <c r="BX679">
        <v>0</v>
      </c>
      <c r="BY679">
        <v>0</v>
      </c>
      <c r="BZ679" t="s">
        <v>2958</v>
      </c>
      <c r="CA679" t="s">
        <v>1194</v>
      </c>
      <c r="CB679" t="s">
        <v>2945</v>
      </c>
    </row>
    <row r="680" spans="1:80" x14ac:dyDescent="0.25">
      <c r="A680">
        <v>679</v>
      </c>
      <c r="B680" t="s">
        <v>2693</v>
      </c>
      <c r="C680" s="1">
        <v>44653</v>
      </c>
      <c r="D680">
        <v>12</v>
      </c>
      <c r="E680" t="s">
        <v>5</v>
      </c>
      <c r="F680" t="s">
        <v>1310</v>
      </c>
      <c r="G680">
        <v>1</v>
      </c>
      <c r="H680" s="3">
        <v>1810210</v>
      </c>
      <c r="I680" s="3">
        <v>109000</v>
      </c>
      <c r="J680" s="3">
        <v>684084</v>
      </c>
      <c r="K680" s="3">
        <v>362042</v>
      </c>
      <c r="L680" t="s">
        <v>1191</v>
      </c>
      <c r="M680">
        <v>774141</v>
      </c>
      <c r="N680" t="s">
        <v>1470</v>
      </c>
      <c r="P680" t="s">
        <v>1849</v>
      </c>
      <c r="Q680" t="s">
        <v>1240</v>
      </c>
      <c r="R680">
        <v>6820</v>
      </c>
      <c r="S680" t="s">
        <v>1706</v>
      </c>
      <c r="T680" t="s">
        <v>972</v>
      </c>
      <c r="U680">
        <v>0</v>
      </c>
      <c r="V680">
        <v>53</v>
      </c>
      <c r="W680" t="s">
        <v>1194</v>
      </c>
      <c r="X680" t="s">
        <v>973</v>
      </c>
      <c r="Y680">
        <v>5000</v>
      </c>
      <c r="Z680" s="2" t="s">
        <v>1194</v>
      </c>
      <c r="AA680" s="2" t="s">
        <v>1238</v>
      </c>
      <c r="AB680" t="s">
        <v>1238</v>
      </c>
      <c r="AC680">
        <v>883</v>
      </c>
      <c r="AD680" t="s">
        <v>1279</v>
      </c>
      <c r="AE680">
        <v>5</v>
      </c>
      <c r="AF680" t="s">
        <v>1290</v>
      </c>
      <c r="AG680">
        <v>0</v>
      </c>
      <c r="AH680">
        <v>0</v>
      </c>
      <c r="AI680">
        <v>0</v>
      </c>
      <c r="AJ680">
        <v>1941</v>
      </c>
      <c r="AK680">
        <v>2005</v>
      </c>
      <c r="AL680">
        <v>2005</v>
      </c>
      <c r="AM680" s="4" t="s">
        <v>1305</v>
      </c>
      <c r="AN680">
        <v>1</v>
      </c>
      <c r="AO680" t="s">
        <v>1315</v>
      </c>
      <c r="AP680">
        <f t="shared" si="20"/>
        <v>0</v>
      </c>
      <c r="AQ680">
        <v>0</v>
      </c>
      <c r="AR680" t="s">
        <v>1993</v>
      </c>
      <c r="AS680" t="s">
        <v>1995</v>
      </c>
      <c r="AT680" t="s">
        <v>1995</v>
      </c>
      <c r="AU680" t="s">
        <v>1995</v>
      </c>
      <c r="AV680" t="s">
        <v>1996</v>
      </c>
      <c r="AW680" t="s">
        <v>1996</v>
      </c>
      <c r="AX680" t="s">
        <v>2003</v>
      </c>
      <c r="AY680" t="s">
        <v>1996</v>
      </c>
      <c r="AZ680">
        <v>4112</v>
      </c>
      <c r="BA680" t="s">
        <v>1194</v>
      </c>
      <c r="BB680" t="s">
        <v>1194</v>
      </c>
      <c r="BC680" s="3">
        <v>0</v>
      </c>
      <c r="BD680" s="3">
        <v>340.66</v>
      </c>
      <c r="BE680" s="3">
        <v>0</v>
      </c>
      <c r="BF680" s="3">
        <v>0</v>
      </c>
      <c r="BG680" s="3">
        <v>130</v>
      </c>
      <c r="BH680" s="3">
        <v>0</v>
      </c>
      <c r="BI680" s="3">
        <v>0</v>
      </c>
      <c r="BJ680" s="3">
        <v>5162</v>
      </c>
      <c r="BK680" s="3">
        <v>2500</v>
      </c>
      <c r="BL680" s="3">
        <v>7662</v>
      </c>
      <c r="BM680" s="2">
        <f t="shared" ca="1" si="21"/>
        <v>1</v>
      </c>
      <c r="BN680" s="3">
        <v>100000</v>
      </c>
      <c r="BO680" s="3">
        <v>250000</v>
      </c>
      <c r="BP680" s="3">
        <v>50000</v>
      </c>
      <c r="BQ680" s="3">
        <v>100000</v>
      </c>
      <c r="BR680" s="3">
        <v>100000</v>
      </c>
      <c r="BS680">
        <v>50000</v>
      </c>
      <c r="BT680">
        <v>0</v>
      </c>
      <c r="BU680">
        <v>0</v>
      </c>
      <c r="BV680">
        <v>1</v>
      </c>
      <c r="BW680">
        <v>0</v>
      </c>
      <c r="BX680">
        <v>0</v>
      </c>
      <c r="BY680">
        <v>0</v>
      </c>
      <c r="BZ680" t="s">
        <v>2949</v>
      </c>
      <c r="CA680" t="s">
        <v>1194</v>
      </c>
      <c r="CB680" t="s">
        <v>2949</v>
      </c>
    </row>
    <row r="681" spans="1:80" x14ac:dyDescent="0.25">
      <c r="A681">
        <v>680</v>
      </c>
      <c r="B681" t="s">
        <v>2694</v>
      </c>
      <c r="C681" s="1">
        <v>44695</v>
      </c>
      <c r="D681">
        <v>12</v>
      </c>
      <c r="E681" t="s">
        <v>5</v>
      </c>
      <c r="F681" t="s">
        <v>1310</v>
      </c>
      <c r="G681">
        <v>0</v>
      </c>
      <c r="H681" s="3">
        <v>2550000</v>
      </c>
      <c r="I681" s="3">
        <v>187442</v>
      </c>
      <c r="J681" s="3">
        <v>937209</v>
      </c>
      <c r="K681" s="3">
        <v>510000</v>
      </c>
      <c r="L681" t="s">
        <v>1191</v>
      </c>
      <c r="M681">
        <v>1461993</v>
      </c>
      <c r="N681" t="s">
        <v>1471</v>
      </c>
      <c r="P681" t="s">
        <v>1786</v>
      </c>
      <c r="Q681" t="s">
        <v>1240</v>
      </c>
      <c r="R681">
        <v>6117</v>
      </c>
      <c r="S681" t="s">
        <v>1700</v>
      </c>
      <c r="T681" t="s">
        <v>965</v>
      </c>
      <c r="U681">
        <v>0</v>
      </c>
      <c r="V681">
        <v>41</v>
      </c>
      <c r="W681" t="s">
        <v>1194</v>
      </c>
      <c r="X681" t="s">
        <v>973</v>
      </c>
      <c r="Y681">
        <v>10000</v>
      </c>
      <c r="Z681" s="2" t="s">
        <v>1194</v>
      </c>
      <c r="AA681" s="2" t="s">
        <v>1238</v>
      </c>
      <c r="AB681" t="s">
        <v>1238</v>
      </c>
      <c r="AC681">
        <v>808</v>
      </c>
      <c r="AD681" t="s">
        <v>1279</v>
      </c>
      <c r="AE681">
        <v>2</v>
      </c>
      <c r="AF681" t="s">
        <v>1290</v>
      </c>
      <c r="AG681">
        <v>0</v>
      </c>
      <c r="AH681">
        <v>0</v>
      </c>
      <c r="AI681">
        <v>0</v>
      </c>
      <c r="AJ681">
        <v>1960</v>
      </c>
      <c r="AK681">
        <v>2005</v>
      </c>
      <c r="AL681" t="s">
        <v>1194</v>
      </c>
      <c r="AM681" s="4" t="s">
        <v>1305</v>
      </c>
      <c r="AN681">
        <v>0</v>
      </c>
      <c r="AO681" t="s">
        <v>1317</v>
      </c>
      <c r="AP681">
        <f t="shared" si="20"/>
        <v>0</v>
      </c>
      <c r="AQ681">
        <v>1</v>
      </c>
      <c r="AR681" t="s">
        <v>1992</v>
      </c>
      <c r="AS681" t="s">
        <v>1996</v>
      </c>
      <c r="AT681" t="s">
        <v>1995</v>
      </c>
      <c r="AU681" t="s">
        <v>1996</v>
      </c>
      <c r="AV681" t="s">
        <v>1995</v>
      </c>
      <c r="AW681" t="s">
        <v>1995</v>
      </c>
      <c r="AX681" t="s">
        <v>2003</v>
      </c>
      <c r="AY681" t="s">
        <v>1996</v>
      </c>
      <c r="AZ681">
        <v>4349</v>
      </c>
      <c r="BA681" t="s">
        <v>1194</v>
      </c>
      <c r="BB681" t="s">
        <v>1194</v>
      </c>
      <c r="BC681" s="3">
        <v>0</v>
      </c>
      <c r="BD681" s="3">
        <v>0</v>
      </c>
      <c r="BE681" s="3">
        <v>0</v>
      </c>
      <c r="BF681" s="3">
        <v>0</v>
      </c>
      <c r="BG681" s="3">
        <v>160</v>
      </c>
      <c r="BH681" s="3">
        <v>0</v>
      </c>
      <c r="BI681" s="3">
        <v>0</v>
      </c>
      <c r="BJ681" s="3">
        <v>4561</v>
      </c>
      <c r="BK681" s="3">
        <v>120</v>
      </c>
      <c r="BL681" s="3">
        <v>4681</v>
      </c>
      <c r="BM681" s="2">
        <f t="shared" ca="1" si="21"/>
        <v>0</v>
      </c>
      <c r="BN681" s="3">
        <v>100000</v>
      </c>
      <c r="BO681" s="3">
        <v>25000</v>
      </c>
      <c r="BP681" s="3">
        <v>50000</v>
      </c>
      <c r="BQ681" s="3">
        <v>100000</v>
      </c>
      <c r="BR681" s="3">
        <v>500000</v>
      </c>
      <c r="BS681">
        <v>2000000</v>
      </c>
      <c r="BT681">
        <v>0</v>
      </c>
      <c r="BU681">
        <v>0</v>
      </c>
      <c r="BV681">
        <v>1</v>
      </c>
      <c r="BW681">
        <v>0</v>
      </c>
      <c r="BX681">
        <v>0</v>
      </c>
      <c r="BY681">
        <v>0</v>
      </c>
      <c r="BZ681" t="s">
        <v>2949</v>
      </c>
      <c r="CA681" t="s">
        <v>1194</v>
      </c>
      <c r="CB681" t="s">
        <v>2949</v>
      </c>
    </row>
    <row r="682" spans="1:80" x14ac:dyDescent="0.25">
      <c r="A682">
        <v>681</v>
      </c>
      <c r="B682" t="s">
        <v>2695</v>
      </c>
      <c r="C682" s="1">
        <v>44652</v>
      </c>
      <c r="D682">
        <v>12</v>
      </c>
      <c r="E682" t="s">
        <v>4</v>
      </c>
      <c r="F682" t="s">
        <v>1311</v>
      </c>
      <c r="G682">
        <v>0</v>
      </c>
      <c r="H682" s="3">
        <v>2463219</v>
      </c>
      <c r="I682" s="3">
        <v>1090000</v>
      </c>
      <c r="J682" s="3">
        <v>1224728</v>
      </c>
      <c r="K682" s="3">
        <v>0</v>
      </c>
      <c r="L682" t="s">
        <v>1191</v>
      </c>
      <c r="M682">
        <v>781067</v>
      </c>
      <c r="N682" t="s">
        <v>1472</v>
      </c>
      <c r="P682" t="s">
        <v>1850</v>
      </c>
      <c r="Q682" t="s">
        <v>1251</v>
      </c>
      <c r="R682">
        <v>4614</v>
      </c>
      <c r="S682" t="s">
        <v>1851</v>
      </c>
      <c r="T682" t="s">
        <v>1238</v>
      </c>
      <c r="U682">
        <v>0</v>
      </c>
      <c r="V682">
        <v>1</v>
      </c>
      <c r="W682" t="s">
        <v>1194</v>
      </c>
      <c r="X682" t="s">
        <v>973</v>
      </c>
      <c r="Y682">
        <v>10000</v>
      </c>
      <c r="Z682" s="2" t="s">
        <v>1194</v>
      </c>
      <c r="AA682" s="2">
        <v>1</v>
      </c>
      <c r="AB682" t="s">
        <v>1277</v>
      </c>
      <c r="AC682">
        <v>850</v>
      </c>
      <c r="AD682" t="s">
        <v>1279</v>
      </c>
      <c r="AE682">
        <v>7</v>
      </c>
      <c r="AF682" t="s">
        <v>1290</v>
      </c>
      <c r="AG682">
        <v>0</v>
      </c>
      <c r="AH682">
        <v>0</v>
      </c>
      <c r="AI682">
        <v>0</v>
      </c>
      <c r="AJ682">
        <v>2000</v>
      </c>
      <c r="AK682" t="s">
        <v>1194</v>
      </c>
      <c r="AL682" t="s">
        <v>1194</v>
      </c>
      <c r="AM682" s="4" t="s">
        <v>1238</v>
      </c>
      <c r="AN682">
        <v>1</v>
      </c>
      <c r="AO682" t="s">
        <v>1317</v>
      </c>
      <c r="AP682">
        <f t="shared" si="20"/>
        <v>0</v>
      </c>
      <c r="AQ682">
        <v>0</v>
      </c>
      <c r="AR682" t="s">
        <v>1993</v>
      </c>
      <c r="AS682" t="s">
        <v>1996</v>
      </c>
      <c r="AT682" t="s">
        <v>1995</v>
      </c>
      <c r="AU682" t="s">
        <v>1995</v>
      </c>
      <c r="AV682" t="s">
        <v>1996</v>
      </c>
      <c r="AW682" t="s">
        <v>1996</v>
      </c>
      <c r="AX682" t="s">
        <v>1194</v>
      </c>
      <c r="AY682" t="s">
        <v>1996</v>
      </c>
      <c r="AZ682">
        <v>5688</v>
      </c>
      <c r="BA682" t="s">
        <v>1194</v>
      </c>
      <c r="BB682" t="s">
        <v>1194</v>
      </c>
      <c r="BC682" s="3">
        <v>0</v>
      </c>
      <c r="BD682" s="3">
        <v>0</v>
      </c>
      <c r="BE682" s="3">
        <v>0</v>
      </c>
      <c r="BF682" s="3">
        <v>0</v>
      </c>
      <c r="BG682" s="3">
        <v>140</v>
      </c>
      <c r="BH682" s="3">
        <v>0</v>
      </c>
      <c r="BI682" s="3">
        <v>0</v>
      </c>
      <c r="BJ682" s="3">
        <v>6001.68</v>
      </c>
      <c r="BK682" s="3">
        <v>120</v>
      </c>
      <c r="BL682" s="3">
        <v>6121.68</v>
      </c>
      <c r="BM682" s="2">
        <f t="shared" ca="1" si="21"/>
        <v>4</v>
      </c>
      <c r="BN682" s="3">
        <v>1000000</v>
      </c>
      <c r="BO682" s="3">
        <v>2000000</v>
      </c>
      <c r="BP682" s="3">
        <v>200000</v>
      </c>
      <c r="BQ682" s="3">
        <v>1000000</v>
      </c>
      <c r="BR682" s="3">
        <v>50000</v>
      </c>
      <c r="BS682">
        <v>500000</v>
      </c>
      <c r="BT682">
        <v>0</v>
      </c>
      <c r="BU682">
        <v>0</v>
      </c>
      <c r="BV682">
        <v>1</v>
      </c>
      <c r="BW682">
        <v>0</v>
      </c>
      <c r="BX682">
        <v>0</v>
      </c>
      <c r="BY682">
        <v>0</v>
      </c>
      <c r="BZ682" t="s">
        <v>2949</v>
      </c>
      <c r="CA682" t="s">
        <v>1194</v>
      </c>
      <c r="CB682" t="s">
        <v>2949</v>
      </c>
    </row>
    <row r="683" spans="1:80" x14ac:dyDescent="0.25">
      <c r="A683">
        <v>682</v>
      </c>
      <c r="B683" t="s">
        <v>2696</v>
      </c>
      <c r="C683" s="1">
        <v>44642</v>
      </c>
      <c r="D683">
        <v>12</v>
      </c>
      <c r="E683" t="s">
        <v>4</v>
      </c>
      <c r="F683" t="s">
        <v>1311</v>
      </c>
      <c r="G683">
        <v>0</v>
      </c>
      <c r="H683" s="3">
        <v>4683789</v>
      </c>
      <c r="I683" s="3">
        <v>535289</v>
      </c>
      <c r="J683" s="3">
        <v>2676451</v>
      </c>
      <c r="K683" s="3">
        <v>936757.8</v>
      </c>
      <c r="L683" t="s">
        <v>1191</v>
      </c>
      <c r="M683">
        <v>1702840</v>
      </c>
      <c r="N683" t="s">
        <v>1473</v>
      </c>
      <c r="P683" t="s">
        <v>1728</v>
      </c>
      <c r="Q683" t="s">
        <v>1239</v>
      </c>
      <c r="R683">
        <v>81611</v>
      </c>
      <c r="S683" t="s">
        <v>1729</v>
      </c>
      <c r="T683" t="s">
        <v>965</v>
      </c>
      <c r="U683">
        <v>0</v>
      </c>
      <c r="V683">
        <v>59</v>
      </c>
      <c r="W683" t="s">
        <v>1194</v>
      </c>
      <c r="X683" t="s">
        <v>973</v>
      </c>
      <c r="Y683">
        <v>25000</v>
      </c>
      <c r="Z683" s="2" t="s">
        <v>1194</v>
      </c>
      <c r="AA683" s="2">
        <v>1</v>
      </c>
      <c r="AB683">
        <v>0.01</v>
      </c>
      <c r="AC683">
        <v>746</v>
      </c>
      <c r="AD683" t="s">
        <v>1279</v>
      </c>
      <c r="AE683">
        <v>4</v>
      </c>
      <c r="AF683" t="s">
        <v>1290</v>
      </c>
      <c r="AG683">
        <v>0</v>
      </c>
      <c r="AH683">
        <v>0</v>
      </c>
      <c r="AI683">
        <v>0</v>
      </c>
      <c r="AJ683">
        <v>1994</v>
      </c>
      <c r="AK683">
        <v>2013</v>
      </c>
      <c r="AL683">
        <v>2013</v>
      </c>
      <c r="AM683" s="4" t="s">
        <v>1238</v>
      </c>
      <c r="AN683">
        <v>1</v>
      </c>
      <c r="AO683" t="s">
        <v>1315</v>
      </c>
      <c r="AP683">
        <f t="shared" si="20"/>
        <v>0</v>
      </c>
      <c r="AQ683">
        <v>0</v>
      </c>
      <c r="AR683" t="s">
        <v>1993</v>
      </c>
      <c r="AS683" t="s">
        <v>1995</v>
      </c>
      <c r="AT683" t="s">
        <v>1996</v>
      </c>
      <c r="AU683" t="s">
        <v>1996</v>
      </c>
      <c r="AV683" t="s">
        <v>1996</v>
      </c>
      <c r="AW683" t="s">
        <v>1996</v>
      </c>
      <c r="AX683" t="s">
        <v>1194</v>
      </c>
      <c r="AY683" t="s">
        <v>1996</v>
      </c>
      <c r="AZ683">
        <v>3800</v>
      </c>
      <c r="BA683">
        <v>5</v>
      </c>
      <c r="BB683" t="s">
        <v>2017</v>
      </c>
      <c r="BC683" s="3">
        <v>0</v>
      </c>
      <c r="BD683" s="3">
        <v>0</v>
      </c>
      <c r="BE683" s="3">
        <v>0</v>
      </c>
      <c r="BF683" s="3">
        <v>1567.24</v>
      </c>
      <c r="BG683" s="3">
        <v>175</v>
      </c>
      <c r="BH683" s="3">
        <v>0</v>
      </c>
      <c r="BI683" s="3">
        <v>0</v>
      </c>
      <c r="BJ683" s="3">
        <v>11662.04</v>
      </c>
      <c r="BK683" s="3">
        <v>0</v>
      </c>
      <c r="BL683" s="3">
        <v>11662.04</v>
      </c>
      <c r="BM683" s="2">
        <f t="shared" ca="1" si="21"/>
        <v>1</v>
      </c>
      <c r="BN683" s="3">
        <v>100000</v>
      </c>
      <c r="BO683" s="3">
        <v>100000</v>
      </c>
      <c r="BP683" s="3">
        <v>50000</v>
      </c>
      <c r="BQ683" s="3">
        <v>100000</v>
      </c>
      <c r="BR683" s="3" t="s">
        <v>2916</v>
      </c>
      <c r="BS683">
        <v>1000000</v>
      </c>
      <c r="BT683">
        <v>0</v>
      </c>
      <c r="BU683">
        <v>0</v>
      </c>
      <c r="BV683">
        <v>0</v>
      </c>
      <c r="BW683">
        <v>1</v>
      </c>
      <c r="BX683">
        <v>1</v>
      </c>
      <c r="BY683">
        <v>0</v>
      </c>
      <c r="BZ683" t="s">
        <v>2963</v>
      </c>
      <c r="CA683" t="s">
        <v>1194</v>
      </c>
      <c r="CB683" t="s">
        <v>2949</v>
      </c>
    </row>
    <row r="684" spans="1:80" x14ac:dyDescent="0.25">
      <c r="A684">
        <v>683</v>
      </c>
      <c r="B684" t="s">
        <v>2697</v>
      </c>
      <c r="C684" s="1">
        <v>44716</v>
      </c>
      <c r="D684">
        <v>12</v>
      </c>
      <c r="E684" t="s">
        <v>4</v>
      </c>
      <c r="F684" t="s">
        <v>1311</v>
      </c>
      <c r="G684">
        <v>1</v>
      </c>
      <c r="H684" s="3">
        <v>2180000</v>
      </c>
      <c r="I684" s="3">
        <v>218000</v>
      </c>
      <c r="J684" s="3">
        <v>654000</v>
      </c>
      <c r="K684" s="3">
        <v>0</v>
      </c>
      <c r="L684" t="s">
        <v>1191</v>
      </c>
      <c r="M684">
        <v>275372</v>
      </c>
      <c r="N684" t="s">
        <v>1474</v>
      </c>
      <c r="P684" t="s">
        <v>1757</v>
      </c>
      <c r="Q684" t="s">
        <v>1261</v>
      </c>
      <c r="R684">
        <v>73116</v>
      </c>
      <c r="S684" t="s">
        <v>1758</v>
      </c>
      <c r="T684" t="s">
        <v>965</v>
      </c>
      <c r="U684">
        <v>0</v>
      </c>
      <c r="V684">
        <v>1</v>
      </c>
      <c r="W684" t="s">
        <v>1194</v>
      </c>
      <c r="X684" t="s">
        <v>973</v>
      </c>
      <c r="Y684">
        <v>10000</v>
      </c>
      <c r="Z684" s="2">
        <v>1</v>
      </c>
      <c r="AA684" s="2">
        <v>1</v>
      </c>
      <c r="AB684">
        <v>2500</v>
      </c>
      <c r="AC684">
        <v>778</v>
      </c>
      <c r="AD684" t="s">
        <v>1284</v>
      </c>
      <c r="AE684">
        <v>2</v>
      </c>
      <c r="AF684" t="s">
        <v>1290</v>
      </c>
      <c r="AG684">
        <v>0</v>
      </c>
      <c r="AH684">
        <v>0</v>
      </c>
      <c r="AI684">
        <v>0</v>
      </c>
      <c r="AJ684">
        <v>2005</v>
      </c>
      <c r="AK684" t="s">
        <v>1194</v>
      </c>
      <c r="AL684" t="s">
        <v>1194</v>
      </c>
      <c r="AM684" s="4" t="s">
        <v>1238</v>
      </c>
      <c r="AN684">
        <v>1</v>
      </c>
      <c r="AO684" t="s">
        <v>1315</v>
      </c>
      <c r="AP684">
        <f t="shared" si="20"/>
        <v>0</v>
      </c>
      <c r="AQ684">
        <v>1</v>
      </c>
      <c r="AR684" t="s">
        <v>1992</v>
      </c>
      <c r="AS684" t="s">
        <v>1995</v>
      </c>
      <c r="AT684" t="s">
        <v>1995</v>
      </c>
      <c r="AU684" t="s">
        <v>1996</v>
      </c>
      <c r="AV684" t="s">
        <v>1996</v>
      </c>
      <c r="AW684" t="s">
        <v>1996</v>
      </c>
      <c r="AX684" t="s">
        <v>1194</v>
      </c>
      <c r="AY684" t="s">
        <v>1996</v>
      </c>
      <c r="AZ684">
        <v>5418</v>
      </c>
      <c r="BA684" t="s">
        <v>1194</v>
      </c>
      <c r="BB684" t="s">
        <v>1194</v>
      </c>
      <c r="BC684" s="3">
        <v>0</v>
      </c>
      <c r="BD684" s="3">
        <v>0</v>
      </c>
      <c r="BE684" s="3">
        <v>0</v>
      </c>
      <c r="BF684" s="3">
        <v>0</v>
      </c>
      <c r="BG684" s="3">
        <v>210</v>
      </c>
      <c r="BH684" s="3">
        <v>0</v>
      </c>
      <c r="BI684" s="3">
        <v>0</v>
      </c>
      <c r="BJ684" s="3">
        <v>22658.22</v>
      </c>
      <c r="BK684" s="3">
        <v>846</v>
      </c>
      <c r="BL684" s="3">
        <v>23504.22</v>
      </c>
      <c r="BM684" s="2">
        <f t="shared" ca="1" si="21"/>
        <v>0</v>
      </c>
      <c r="BN684" s="3" t="s">
        <v>2916</v>
      </c>
      <c r="BO684" s="3">
        <v>20000</v>
      </c>
      <c r="BP684" s="3">
        <v>100000</v>
      </c>
      <c r="BQ684" s="3">
        <v>250000</v>
      </c>
      <c r="BR684" s="3">
        <v>1000000</v>
      </c>
      <c r="BS684">
        <v>100000</v>
      </c>
      <c r="BT684">
        <v>0</v>
      </c>
      <c r="BU684">
        <v>1</v>
      </c>
      <c r="BV684">
        <v>1</v>
      </c>
      <c r="BW684">
        <v>0</v>
      </c>
      <c r="BX684">
        <v>0</v>
      </c>
      <c r="BY684">
        <v>0</v>
      </c>
      <c r="BZ684" t="s">
        <v>2958</v>
      </c>
      <c r="CA684" t="s">
        <v>1194</v>
      </c>
      <c r="CB684" t="s">
        <v>2945</v>
      </c>
    </row>
    <row r="685" spans="1:80" x14ac:dyDescent="0.25">
      <c r="A685">
        <v>684</v>
      </c>
      <c r="B685" t="s">
        <v>2698</v>
      </c>
      <c r="C685" s="1">
        <v>44757</v>
      </c>
      <c r="D685">
        <v>48</v>
      </c>
      <c r="E685" t="s">
        <v>5</v>
      </c>
      <c r="F685" t="s">
        <v>1310</v>
      </c>
      <c r="G685">
        <v>0</v>
      </c>
      <c r="H685" s="3">
        <v>1461586</v>
      </c>
      <c r="I685" s="3">
        <v>260548</v>
      </c>
      <c r="J685" s="3">
        <v>438476</v>
      </c>
      <c r="K685" s="3">
        <v>292317.2</v>
      </c>
      <c r="L685" t="s">
        <v>1191</v>
      </c>
      <c r="M685">
        <v>836429</v>
      </c>
      <c r="N685" t="s">
        <v>1475</v>
      </c>
      <c r="P685" t="s">
        <v>1852</v>
      </c>
      <c r="Q685" t="s">
        <v>1271</v>
      </c>
      <c r="R685">
        <v>54456</v>
      </c>
      <c r="S685" t="s">
        <v>1767</v>
      </c>
      <c r="T685" t="s">
        <v>965</v>
      </c>
      <c r="U685">
        <v>0</v>
      </c>
      <c r="V685">
        <v>2</v>
      </c>
      <c r="W685" t="s">
        <v>1194</v>
      </c>
      <c r="X685" t="s">
        <v>973</v>
      </c>
      <c r="Y685">
        <v>10000</v>
      </c>
      <c r="Z685" s="2" t="s">
        <v>1194</v>
      </c>
      <c r="AA685" s="2">
        <v>1</v>
      </c>
      <c r="AB685" t="s">
        <v>1277</v>
      </c>
      <c r="AC685">
        <v>700</v>
      </c>
      <c r="AD685" t="s">
        <v>1279</v>
      </c>
      <c r="AE685" t="s">
        <v>1288</v>
      </c>
      <c r="AF685" t="s">
        <v>1290</v>
      </c>
      <c r="AG685">
        <v>0</v>
      </c>
      <c r="AH685">
        <v>0</v>
      </c>
      <c r="AI685">
        <v>0</v>
      </c>
      <c r="AJ685">
        <v>2020</v>
      </c>
      <c r="AK685" t="s">
        <v>1194</v>
      </c>
      <c r="AL685" t="s">
        <v>1194</v>
      </c>
      <c r="AM685" s="4" t="s">
        <v>1304</v>
      </c>
      <c r="AN685">
        <v>0</v>
      </c>
      <c r="AO685" t="s">
        <v>1316</v>
      </c>
      <c r="AP685">
        <f t="shared" si="20"/>
        <v>0</v>
      </c>
      <c r="AQ685">
        <v>1</v>
      </c>
      <c r="AR685" t="s">
        <v>1992</v>
      </c>
      <c r="AS685" t="s">
        <v>1996</v>
      </c>
      <c r="AT685" t="s">
        <v>1996</v>
      </c>
      <c r="AU685" t="s">
        <v>1995</v>
      </c>
      <c r="AV685" t="s">
        <v>1996</v>
      </c>
      <c r="AW685" t="s">
        <v>1995</v>
      </c>
      <c r="AX685" t="s">
        <v>1194</v>
      </c>
      <c r="AY685" t="s">
        <v>1996</v>
      </c>
      <c r="AZ685">
        <v>2435</v>
      </c>
      <c r="BA685" t="s">
        <v>1194</v>
      </c>
      <c r="BB685" t="s">
        <v>1194</v>
      </c>
      <c r="BC685" s="3">
        <v>0</v>
      </c>
      <c r="BD685" s="3">
        <v>0</v>
      </c>
      <c r="BE685" s="3">
        <v>0</v>
      </c>
      <c r="BF685" s="3">
        <v>0</v>
      </c>
      <c r="BG685" s="3">
        <v>175</v>
      </c>
      <c r="BH685" s="3">
        <v>0</v>
      </c>
      <c r="BI685" s="3">
        <v>0</v>
      </c>
      <c r="BJ685" s="3">
        <v>5646.73</v>
      </c>
      <c r="BK685" s="3">
        <v>0</v>
      </c>
      <c r="BL685" s="3">
        <v>5646.73</v>
      </c>
      <c r="BM685" s="2">
        <f t="shared" ca="1" si="21"/>
        <v>1</v>
      </c>
      <c r="BN685" s="3">
        <v>2000000</v>
      </c>
      <c r="BO685" s="3">
        <v>25000</v>
      </c>
      <c r="BP685" s="3">
        <v>200000</v>
      </c>
      <c r="BQ685" s="3">
        <v>100000</v>
      </c>
      <c r="BR685" s="3">
        <v>250000</v>
      </c>
      <c r="BS685">
        <v>50000</v>
      </c>
      <c r="BT685">
        <v>0</v>
      </c>
      <c r="BU685">
        <v>0</v>
      </c>
      <c r="BV685">
        <v>0</v>
      </c>
      <c r="BW685">
        <v>1</v>
      </c>
      <c r="BX685">
        <v>1</v>
      </c>
      <c r="BY685">
        <v>0</v>
      </c>
      <c r="BZ685" t="s">
        <v>2958</v>
      </c>
      <c r="CA685" t="s">
        <v>1194</v>
      </c>
      <c r="CB685" t="s">
        <v>2945</v>
      </c>
    </row>
    <row r="686" spans="1:80" x14ac:dyDescent="0.25">
      <c r="A686">
        <v>685</v>
      </c>
      <c r="B686" t="s">
        <v>2699</v>
      </c>
      <c r="C686" s="1">
        <v>44651</v>
      </c>
      <c r="D686">
        <v>12</v>
      </c>
      <c r="E686" t="s">
        <v>4</v>
      </c>
      <c r="F686" t="s">
        <v>1311</v>
      </c>
      <c r="G686">
        <v>1</v>
      </c>
      <c r="H686" s="3">
        <v>0</v>
      </c>
      <c r="I686" s="3">
        <v>0</v>
      </c>
      <c r="J686" s="3">
        <v>1651319</v>
      </c>
      <c r="K686" s="3">
        <v>0</v>
      </c>
      <c r="L686" t="s">
        <v>1192</v>
      </c>
      <c r="M686">
        <v>946522</v>
      </c>
      <c r="N686" t="s">
        <v>1476</v>
      </c>
      <c r="O686" t="s">
        <v>1477</v>
      </c>
      <c r="P686" t="s">
        <v>1716</v>
      </c>
      <c r="Q686" t="s">
        <v>1241</v>
      </c>
      <c r="R686">
        <v>20001</v>
      </c>
      <c r="S686" t="s">
        <v>1815</v>
      </c>
      <c r="T686" t="s">
        <v>1194</v>
      </c>
      <c r="U686">
        <v>0</v>
      </c>
      <c r="V686">
        <v>1</v>
      </c>
      <c r="W686" t="s">
        <v>1194</v>
      </c>
      <c r="X686" t="s">
        <v>973</v>
      </c>
      <c r="Y686">
        <v>10000</v>
      </c>
      <c r="Z686" s="2" t="s">
        <v>1194</v>
      </c>
      <c r="AA686" s="2">
        <v>1</v>
      </c>
      <c r="AB686">
        <v>0.01</v>
      </c>
      <c r="AC686">
        <v>729</v>
      </c>
      <c r="AD686" t="s">
        <v>1280</v>
      </c>
      <c r="AE686">
        <v>2</v>
      </c>
      <c r="AF686" t="s">
        <v>1290</v>
      </c>
      <c r="AG686">
        <v>0</v>
      </c>
      <c r="AH686">
        <v>1</v>
      </c>
      <c r="AI686">
        <v>1</v>
      </c>
      <c r="AJ686">
        <v>1920</v>
      </c>
      <c r="AK686">
        <v>2010</v>
      </c>
      <c r="AL686" t="s">
        <v>1194</v>
      </c>
      <c r="AM686" s="4" t="s">
        <v>1238</v>
      </c>
      <c r="AN686">
        <v>1</v>
      </c>
      <c r="AO686" t="s">
        <v>1316</v>
      </c>
      <c r="AP686">
        <f t="shared" si="20"/>
        <v>1</v>
      </c>
      <c r="AQ686">
        <v>1</v>
      </c>
      <c r="AR686" t="s">
        <v>1992</v>
      </c>
      <c r="AS686" t="s">
        <v>1995</v>
      </c>
      <c r="AT686" t="s">
        <v>1996</v>
      </c>
      <c r="AU686" t="s">
        <v>1995</v>
      </c>
      <c r="AV686" t="s">
        <v>1995</v>
      </c>
      <c r="AW686" t="s">
        <v>1995</v>
      </c>
      <c r="AX686" t="s">
        <v>1194</v>
      </c>
      <c r="AY686" t="s">
        <v>1996</v>
      </c>
      <c r="AZ686">
        <v>3500</v>
      </c>
      <c r="BA686" t="s">
        <v>1194</v>
      </c>
      <c r="BB686" t="s">
        <v>1194</v>
      </c>
      <c r="BC686" s="3">
        <v>0</v>
      </c>
      <c r="BD686" s="3">
        <v>0</v>
      </c>
      <c r="BE686" s="3">
        <v>0</v>
      </c>
      <c r="BF686" s="3">
        <v>0</v>
      </c>
      <c r="BG686" s="3">
        <v>175</v>
      </c>
      <c r="BH686" s="3">
        <v>0</v>
      </c>
      <c r="BI686" s="3">
        <v>0</v>
      </c>
      <c r="BJ686" s="3">
        <v>3497.41</v>
      </c>
      <c r="BK686" s="3">
        <v>245</v>
      </c>
      <c r="BL686" s="3">
        <v>3742.41</v>
      </c>
      <c r="BM686" s="2">
        <f t="shared" ca="1" si="21"/>
        <v>3</v>
      </c>
      <c r="BN686" s="3" t="s">
        <v>2916</v>
      </c>
      <c r="BO686" s="3">
        <v>250000</v>
      </c>
      <c r="BP686" s="3">
        <v>50000</v>
      </c>
      <c r="BQ686" s="3">
        <v>250000</v>
      </c>
      <c r="BR686" s="3">
        <v>250000</v>
      </c>
      <c r="BS686">
        <v>250000</v>
      </c>
      <c r="BT686">
        <v>0</v>
      </c>
      <c r="BU686">
        <v>0</v>
      </c>
      <c r="BV686">
        <v>1</v>
      </c>
      <c r="BW686">
        <v>0</v>
      </c>
      <c r="BX686">
        <v>0</v>
      </c>
      <c r="BY686">
        <v>0</v>
      </c>
      <c r="BZ686" t="s">
        <v>1194</v>
      </c>
      <c r="CA686" t="s">
        <v>1194</v>
      </c>
      <c r="CB686" t="s">
        <v>1194</v>
      </c>
    </row>
    <row r="687" spans="1:80" x14ac:dyDescent="0.25">
      <c r="A687">
        <v>686</v>
      </c>
      <c r="B687" t="s">
        <v>2700</v>
      </c>
      <c r="C687" s="1">
        <v>44666</v>
      </c>
      <c r="D687">
        <v>12</v>
      </c>
      <c r="E687" t="s">
        <v>4</v>
      </c>
      <c r="F687" t="s">
        <v>1311</v>
      </c>
      <c r="G687">
        <v>0</v>
      </c>
      <c r="H687" s="3">
        <v>3082782</v>
      </c>
      <c r="I687" s="3">
        <v>351084</v>
      </c>
      <c r="J687" s="3">
        <v>708917</v>
      </c>
      <c r="K687" s="3">
        <v>0</v>
      </c>
      <c r="L687" t="s">
        <v>1191</v>
      </c>
      <c r="M687">
        <v>787146</v>
      </c>
      <c r="N687" t="s">
        <v>1478</v>
      </c>
      <c r="P687" t="s">
        <v>1765</v>
      </c>
      <c r="Q687" t="s">
        <v>1240</v>
      </c>
      <c r="R687">
        <v>6880</v>
      </c>
      <c r="S687" t="s">
        <v>1706</v>
      </c>
      <c r="T687" t="s">
        <v>972</v>
      </c>
      <c r="U687">
        <v>0</v>
      </c>
      <c r="V687">
        <v>53</v>
      </c>
      <c r="W687" t="s">
        <v>1194</v>
      </c>
      <c r="X687" t="s">
        <v>973</v>
      </c>
      <c r="Y687">
        <v>10000</v>
      </c>
      <c r="Z687" s="2" t="s">
        <v>1194</v>
      </c>
      <c r="AA687" s="2" t="s">
        <v>1238</v>
      </c>
      <c r="AB687" t="s">
        <v>1238</v>
      </c>
      <c r="AC687">
        <v>763</v>
      </c>
      <c r="AD687" t="s">
        <v>1283</v>
      </c>
      <c r="AE687">
        <v>3</v>
      </c>
      <c r="AF687" t="s">
        <v>1290</v>
      </c>
      <c r="AG687">
        <v>1</v>
      </c>
      <c r="AH687">
        <v>0</v>
      </c>
      <c r="AI687">
        <v>1</v>
      </c>
      <c r="AJ687">
        <v>1933</v>
      </c>
      <c r="AK687" t="s">
        <v>1194</v>
      </c>
      <c r="AL687" t="s">
        <v>1194</v>
      </c>
      <c r="AM687" s="4" t="s">
        <v>1238</v>
      </c>
      <c r="AN687">
        <v>0</v>
      </c>
      <c r="AO687" t="s">
        <v>1317</v>
      </c>
      <c r="AP687">
        <f t="shared" si="20"/>
        <v>1</v>
      </c>
      <c r="AQ687">
        <v>0</v>
      </c>
      <c r="AR687" t="s">
        <v>1993</v>
      </c>
      <c r="AS687" t="s">
        <v>1996</v>
      </c>
      <c r="AT687" t="s">
        <v>1996</v>
      </c>
      <c r="AU687" t="s">
        <v>1995</v>
      </c>
      <c r="AV687" t="s">
        <v>1995</v>
      </c>
      <c r="AW687" t="s">
        <v>1995</v>
      </c>
      <c r="AX687" t="s">
        <v>2003</v>
      </c>
      <c r="AY687" t="s">
        <v>1996</v>
      </c>
      <c r="AZ687">
        <v>2814</v>
      </c>
      <c r="BA687" t="s">
        <v>1194</v>
      </c>
      <c r="BB687" t="s">
        <v>1194</v>
      </c>
      <c r="BC687" s="3">
        <v>0</v>
      </c>
      <c r="BD687" s="3">
        <v>587.29999999999995</v>
      </c>
      <c r="BE687" s="3">
        <v>0</v>
      </c>
      <c r="BF687" s="3">
        <v>0</v>
      </c>
      <c r="BG687" s="3">
        <v>160</v>
      </c>
      <c r="BH687" s="3">
        <v>0</v>
      </c>
      <c r="BI687" s="3">
        <v>0</v>
      </c>
      <c r="BJ687" s="3">
        <v>12878</v>
      </c>
      <c r="BK687" s="3">
        <v>331</v>
      </c>
      <c r="BL687" s="3">
        <v>13209</v>
      </c>
      <c r="BM687" s="2">
        <f t="shared" ca="1" si="21"/>
        <v>2</v>
      </c>
      <c r="BN687" s="3" t="s">
        <v>2916</v>
      </c>
      <c r="BO687" s="3">
        <v>25000</v>
      </c>
      <c r="BP687" s="3">
        <v>200000</v>
      </c>
      <c r="BQ687" s="3">
        <v>250000</v>
      </c>
      <c r="BR687" s="3">
        <v>250000</v>
      </c>
      <c r="BS687">
        <v>100000</v>
      </c>
      <c r="BT687">
        <v>0</v>
      </c>
      <c r="BU687">
        <v>0</v>
      </c>
      <c r="BV687">
        <v>1</v>
      </c>
      <c r="BW687">
        <v>0</v>
      </c>
      <c r="BX687">
        <v>0</v>
      </c>
      <c r="BY687">
        <v>0</v>
      </c>
      <c r="BZ687" t="s">
        <v>2949</v>
      </c>
      <c r="CA687" t="s">
        <v>1194</v>
      </c>
      <c r="CB687" t="s">
        <v>2941</v>
      </c>
    </row>
    <row r="688" spans="1:80" x14ac:dyDescent="0.25">
      <c r="A688">
        <v>687</v>
      </c>
      <c r="B688" t="s">
        <v>2701</v>
      </c>
      <c r="C688" s="1">
        <v>44805</v>
      </c>
      <c r="D688">
        <v>12</v>
      </c>
      <c r="E688" t="s">
        <v>4</v>
      </c>
      <c r="F688" t="s">
        <v>1311</v>
      </c>
      <c r="G688">
        <v>0</v>
      </c>
      <c r="H688" s="3">
        <v>1632107</v>
      </c>
      <c r="I688" s="3">
        <v>64911</v>
      </c>
      <c r="J688" s="3">
        <v>1212202</v>
      </c>
      <c r="K688" s="3">
        <v>326421.40000000002</v>
      </c>
      <c r="L688" t="s">
        <v>1191</v>
      </c>
      <c r="M688">
        <v>951448</v>
      </c>
      <c r="N688" t="s">
        <v>1479</v>
      </c>
      <c r="P688" t="s">
        <v>1853</v>
      </c>
      <c r="Q688" t="s">
        <v>1239</v>
      </c>
      <c r="R688">
        <v>80424</v>
      </c>
      <c r="S688" t="s">
        <v>1854</v>
      </c>
      <c r="T688" t="s">
        <v>965</v>
      </c>
      <c r="U688">
        <v>0</v>
      </c>
      <c r="V688">
        <v>57</v>
      </c>
      <c r="W688" t="s">
        <v>1194</v>
      </c>
      <c r="X688" t="s">
        <v>973</v>
      </c>
      <c r="Y688">
        <v>10000</v>
      </c>
      <c r="Z688" s="2" t="s">
        <v>1194</v>
      </c>
      <c r="AA688" s="2">
        <v>1</v>
      </c>
      <c r="AB688">
        <v>0.01</v>
      </c>
      <c r="AC688">
        <v>739</v>
      </c>
      <c r="AD688" t="s">
        <v>1279</v>
      </c>
      <c r="AE688">
        <v>2</v>
      </c>
      <c r="AF688" t="s">
        <v>1290</v>
      </c>
      <c r="AG688">
        <v>0</v>
      </c>
      <c r="AH688">
        <v>0</v>
      </c>
      <c r="AI688">
        <v>0</v>
      </c>
      <c r="AJ688">
        <v>1996</v>
      </c>
      <c r="AK688" t="s">
        <v>1194</v>
      </c>
      <c r="AL688" t="s">
        <v>1194</v>
      </c>
      <c r="AM688" s="4" t="s">
        <v>1238</v>
      </c>
      <c r="AN688">
        <v>0</v>
      </c>
      <c r="AO688" t="s">
        <v>1317</v>
      </c>
      <c r="AP688">
        <f t="shared" si="20"/>
        <v>0</v>
      </c>
      <c r="AQ688">
        <v>0</v>
      </c>
      <c r="AR688" t="s">
        <v>1993</v>
      </c>
      <c r="AS688" t="s">
        <v>1996</v>
      </c>
      <c r="AT688" t="s">
        <v>1996</v>
      </c>
      <c r="AU688" t="s">
        <v>1996</v>
      </c>
      <c r="AV688" t="s">
        <v>1996</v>
      </c>
      <c r="AW688" t="s">
        <v>1996</v>
      </c>
      <c r="AX688" t="s">
        <v>1194</v>
      </c>
      <c r="AY688" t="s">
        <v>1996</v>
      </c>
      <c r="AZ688">
        <v>4545</v>
      </c>
      <c r="BA688">
        <v>3</v>
      </c>
      <c r="BB688" t="s">
        <v>2018</v>
      </c>
      <c r="BC688" s="3">
        <v>0</v>
      </c>
      <c r="BD688" s="3">
        <v>0</v>
      </c>
      <c r="BE688" s="3">
        <v>0</v>
      </c>
      <c r="BF688" s="3">
        <v>1736.43</v>
      </c>
      <c r="BG688" s="3">
        <v>0</v>
      </c>
      <c r="BH688" s="3">
        <v>0</v>
      </c>
      <c r="BI688" s="3">
        <v>0</v>
      </c>
      <c r="BJ688" s="3">
        <v>10728.47</v>
      </c>
      <c r="BK688" s="3">
        <v>110</v>
      </c>
      <c r="BL688" s="3">
        <v>10838.47</v>
      </c>
      <c r="BM688" s="2">
        <f t="shared" ca="1" si="21"/>
        <v>1</v>
      </c>
      <c r="BN688" s="3">
        <v>500000</v>
      </c>
      <c r="BO688" s="3">
        <v>25000</v>
      </c>
      <c r="BP688" s="3">
        <v>100000</v>
      </c>
      <c r="BQ688" s="3">
        <v>25000</v>
      </c>
      <c r="BR688" s="3">
        <v>500000</v>
      </c>
      <c r="BS688">
        <v>1000000</v>
      </c>
      <c r="BT688">
        <v>0</v>
      </c>
      <c r="BU688">
        <v>0</v>
      </c>
      <c r="BV688">
        <v>0</v>
      </c>
      <c r="BW688">
        <v>1</v>
      </c>
      <c r="BX688">
        <v>0</v>
      </c>
      <c r="BY688">
        <v>0</v>
      </c>
      <c r="BZ688" t="s">
        <v>2958</v>
      </c>
      <c r="CA688" t="s">
        <v>1194</v>
      </c>
      <c r="CB688" t="s">
        <v>2949</v>
      </c>
    </row>
    <row r="689" spans="1:80" x14ac:dyDescent="0.25">
      <c r="A689">
        <v>688</v>
      </c>
      <c r="B689" t="s">
        <v>2702</v>
      </c>
      <c r="C689" s="1">
        <v>44698</v>
      </c>
      <c r="D689">
        <v>12</v>
      </c>
      <c r="E689" t="s">
        <v>4</v>
      </c>
      <c r="F689" t="s">
        <v>1311</v>
      </c>
      <c r="G689">
        <v>0</v>
      </c>
      <c r="H689" s="3">
        <v>5121433</v>
      </c>
      <c r="I689" s="3">
        <v>688781</v>
      </c>
      <c r="J689" s="3">
        <v>2618733</v>
      </c>
      <c r="K689" s="3">
        <v>0</v>
      </c>
      <c r="L689" t="s">
        <v>1191</v>
      </c>
      <c r="M689">
        <v>796699</v>
      </c>
      <c r="N689" t="s">
        <v>1480</v>
      </c>
      <c r="P689" t="s">
        <v>1855</v>
      </c>
      <c r="Q689" t="s">
        <v>1252</v>
      </c>
      <c r="R689">
        <v>49117</v>
      </c>
      <c r="S689" t="s">
        <v>1821</v>
      </c>
      <c r="T689" t="s">
        <v>965</v>
      </c>
      <c r="U689">
        <v>0</v>
      </c>
      <c r="V689">
        <v>8</v>
      </c>
      <c r="W689" t="s">
        <v>1194</v>
      </c>
      <c r="X689" t="s">
        <v>973</v>
      </c>
      <c r="Y689">
        <v>10000</v>
      </c>
      <c r="Z689" s="2" t="s">
        <v>1194</v>
      </c>
      <c r="AA689" s="2">
        <v>1</v>
      </c>
      <c r="AB689">
        <v>5.0000000000000001E-3</v>
      </c>
      <c r="AC689">
        <v>852</v>
      </c>
      <c r="AD689" t="s">
        <v>1284</v>
      </c>
      <c r="AE689">
        <v>7</v>
      </c>
      <c r="AF689" t="s">
        <v>1290</v>
      </c>
      <c r="AG689">
        <v>0</v>
      </c>
      <c r="AH689">
        <v>0</v>
      </c>
      <c r="AI689">
        <v>0</v>
      </c>
      <c r="AJ689">
        <v>1983</v>
      </c>
      <c r="AK689">
        <v>2022</v>
      </c>
      <c r="AL689" t="s">
        <v>1194</v>
      </c>
      <c r="AM689" s="4" t="s">
        <v>1238</v>
      </c>
      <c r="AN689">
        <v>1</v>
      </c>
      <c r="AO689" t="s">
        <v>1315</v>
      </c>
      <c r="AP689">
        <f t="shared" si="20"/>
        <v>0</v>
      </c>
      <c r="AQ689">
        <v>0</v>
      </c>
      <c r="AR689" t="s">
        <v>1993</v>
      </c>
      <c r="AS689" t="s">
        <v>1995</v>
      </c>
      <c r="AT689" t="s">
        <v>1995</v>
      </c>
      <c r="AU689" t="s">
        <v>1995</v>
      </c>
      <c r="AV689" t="s">
        <v>1995</v>
      </c>
      <c r="AW689" t="s">
        <v>1995</v>
      </c>
      <c r="AX689" t="s">
        <v>1194</v>
      </c>
      <c r="AY689" t="s">
        <v>1996</v>
      </c>
      <c r="AZ689">
        <v>5894</v>
      </c>
      <c r="BA689" t="s">
        <v>1194</v>
      </c>
      <c r="BB689" t="s">
        <v>1194</v>
      </c>
      <c r="BC689" s="3">
        <v>0</v>
      </c>
      <c r="BD689" s="3">
        <v>0</v>
      </c>
      <c r="BE689" s="3">
        <v>0</v>
      </c>
      <c r="BF689" s="3">
        <v>0</v>
      </c>
      <c r="BG689" s="3">
        <v>150</v>
      </c>
      <c r="BH689" s="3">
        <v>0</v>
      </c>
      <c r="BI689" s="3">
        <v>0</v>
      </c>
      <c r="BJ689" s="3">
        <v>9819.01</v>
      </c>
      <c r="BK689" s="3">
        <v>-15</v>
      </c>
      <c r="BL689" s="3">
        <v>9804.01</v>
      </c>
      <c r="BM689" s="2">
        <f t="shared" ca="1" si="21"/>
        <v>2</v>
      </c>
      <c r="BN689" s="3">
        <v>1000000</v>
      </c>
      <c r="BO689" s="3">
        <v>500000</v>
      </c>
      <c r="BP689" s="3">
        <v>50000</v>
      </c>
      <c r="BQ689" s="3">
        <v>50000</v>
      </c>
      <c r="BR689" s="3">
        <v>250000</v>
      </c>
      <c r="BS689">
        <v>500000</v>
      </c>
      <c r="BT689">
        <v>0</v>
      </c>
      <c r="BU689">
        <v>0</v>
      </c>
      <c r="BV689">
        <v>0</v>
      </c>
      <c r="BW689">
        <v>1</v>
      </c>
      <c r="BX689">
        <v>1</v>
      </c>
      <c r="BY689">
        <v>0</v>
      </c>
      <c r="BZ689" t="s">
        <v>2960</v>
      </c>
      <c r="CA689" t="s">
        <v>1194</v>
      </c>
      <c r="CB689" t="s">
        <v>2941</v>
      </c>
    </row>
    <row r="690" spans="1:80" x14ac:dyDescent="0.25">
      <c r="A690">
        <v>689</v>
      </c>
      <c r="B690" t="s">
        <v>2703</v>
      </c>
      <c r="C690" s="1">
        <v>44648</v>
      </c>
      <c r="D690">
        <v>12</v>
      </c>
      <c r="E690" t="s">
        <v>4</v>
      </c>
      <c r="F690" t="s">
        <v>1311</v>
      </c>
      <c r="G690">
        <v>0</v>
      </c>
      <c r="H690" s="3">
        <v>23500000</v>
      </c>
      <c r="I690" s="3">
        <v>4700000</v>
      </c>
      <c r="J690" s="3">
        <v>11750000</v>
      </c>
      <c r="K690" s="3">
        <v>0</v>
      </c>
      <c r="L690" t="s">
        <v>1191</v>
      </c>
      <c r="M690">
        <v>494360</v>
      </c>
      <c r="N690" t="s">
        <v>1481</v>
      </c>
      <c r="P690" t="s">
        <v>1813</v>
      </c>
      <c r="Q690" t="s">
        <v>1240</v>
      </c>
      <c r="R690">
        <v>6831</v>
      </c>
      <c r="S690" t="s">
        <v>1706</v>
      </c>
      <c r="T690" t="s">
        <v>965</v>
      </c>
      <c r="U690">
        <v>0</v>
      </c>
      <c r="V690">
        <v>54</v>
      </c>
      <c r="W690" t="s">
        <v>1194</v>
      </c>
      <c r="X690" t="s">
        <v>973</v>
      </c>
      <c r="Y690">
        <v>25000</v>
      </c>
      <c r="Z690" s="2" t="s">
        <v>1194</v>
      </c>
      <c r="AA690" s="2" t="s">
        <v>1238</v>
      </c>
      <c r="AB690" t="s">
        <v>1238</v>
      </c>
      <c r="AC690">
        <v>774</v>
      </c>
      <c r="AD690" t="s">
        <v>1279</v>
      </c>
      <c r="AE690">
        <v>8</v>
      </c>
      <c r="AF690" t="s">
        <v>1290</v>
      </c>
      <c r="AG690">
        <v>0</v>
      </c>
      <c r="AH690">
        <v>0</v>
      </c>
      <c r="AI690">
        <v>0</v>
      </c>
      <c r="AJ690">
        <v>2005</v>
      </c>
      <c r="AK690">
        <v>2017</v>
      </c>
      <c r="AL690" t="s">
        <v>1194</v>
      </c>
      <c r="AM690" s="4" t="s">
        <v>1238</v>
      </c>
      <c r="AN690">
        <v>0</v>
      </c>
      <c r="AO690" t="s">
        <v>1316</v>
      </c>
      <c r="AP690">
        <f t="shared" si="20"/>
        <v>0</v>
      </c>
      <c r="AQ690">
        <v>1</v>
      </c>
      <c r="AR690" t="s">
        <v>1992</v>
      </c>
      <c r="AS690" t="s">
        <v>1996</v>
      </c>
      <c r="AT690" t="s">
        <v>1995</v>
      </c>
      <c r="AU690" t="s">
        <v>1996</v>
      </c>
      <c r="AV690" t="s">
        <v>1995</v>
      </c>
      <c r="AW690" t="s">
        <v>1995</v>
      </c>
      <c r="AX690" t="s">
        <v>2003</v>
      </c>
      <c r="AY690" t="s">
        <v>1996</v>
      </c>
      <c r="AZ690">
        <v>14798</v>
      </c>
      <c r="BA690" t="s">
        <v>1194</v>
      </c>
      <c r="BB690" t="s">
        <v>1194</v>
      </c>
      <c r="BC690" s="3">
        <v>0</v>
      </c>
      <c r="BD690" s="3">
        <v>0</v>
      </c>
      <c r="BE690" s="3">
        <v>0</v>
      </c>
      <c r="BF690" s="3">
        <v>0</v>
      </c>
      <c r="BG690" s="3">
        <v>160</v>
      </c>
      <c r="BH690" s="3">
        <v>0</v>
      </c>
      <c r="BI690" s="3">
        <v>0</v>
      </c>
      <c r="BJ690" s="3">
        <v>39259</v>
      </c>
      <c r="BK690" s="3">
        <v>1811</v>
      </c>
      <c r="BL690" s="3">
        <v>41070</v>
      </c>
      <c r="BM690" s="2">
        <f t="shared" ca="1" si="21"/>
        <v>0</v>
      </c>
      <c r="BN690" s="3">
        <v>50000</v>
      </c>
      <c r="BO690" s="3">
        <v>25000</v>
      </c>
      <c r="BP690" s="3">
        <v>50000</v>
      </c>
      <c r="BQ690" s="3">
        <v>2000000</v>
      </c>
      <c r="BR690" s="3" t="s">
        <v>2916</v>
      </c>
      <c r="BS690">
        <v>1000000</v>
      </c>
      <c r="BT690">
        <v>0</v>
      </c>
      <c r="BU690">
        <v>0</v>
      </c>
      <c r="BV690">
        <v>1</v>
      </c>
      <c r="BW690">
        <v>0</v>
      </c>
      <c r="BX690">
        <v>0</v>
      </c>
      <c r="BY690">
        <v>0</v>
      </c>
      <c r="BZ690" t="s">
        <v>2959</v>
      </c>
      <c r="CA690" t="s">
        <v>1194</v>
      </c>
      <c r="CB690" t="s">
        <v>2949</v>
      </c>
    </row>
    <row r="691" spans="1:80" x14ac:dyDescent="0.25">
      <c r="A691">
        <v>690</v>
      </c>
      <c r="B691" t="s">
        <v>2704</v>
      </c>
      <c r="C691" s="1">
        <v>44985</v>
      </c>
      <c r="D691">
        <v>30</v>
      </c>
      <c r="E691" t="s">
        <v>5</v>
      </c>
      <c r="F691" t="s">
        <v>1310</v>
      </c>
      <c r="G691">
        <v>0</v>
      </c>
      <c r="H691" s="3">
        <v>1038063</v>
      </c>
      <c r="I691" s="3">
        <v>22954</v>
      </c>
      <c r="J691" s="3">
        <v>149482</v>
      </c>
      <c r="K691" s="3">
        <v>207612.6</v>
      </c>
      <c r="L691" t="s">
        <v>1191</v>
      </c>
      <c r="M691">
        <v>1094861</v>
      </c>
      <c r="N691" t="s">
        <v>1482</v>
      </c>
      <c r="P691" t="s">
        <v>1856</v>
      </c>
      <c r="Q691" t="s">
        <v>1264</v>
      </c>
      <c r="R691">
        <v>2871</v>
      </c>
      <c r="S691" t="s">
        <v>1693</v>
      </c>
      <c r="T691" t="s">
        <v>979</v>
      </c>
      <c r="U691">
        <v>0</v>
      </c>
      <c r="V691">
        <v>10</v>
      </c>
      <c r="W691" t="s">
        <v>1194</v>
      </c>
      <c r="X691" t="s">
        <v>973</v>
      </c>
      <c r="Y691">
        <v>25000</v>
      </c>
      <c r="Z691" s="2">
        <v>1.9999749529999999</v>
      </c>
      <c r="AA691" s="2" t="s">
        <v>1238</v>
      </c>
      <c r="AB691" t="s">
        <v>1238</v>
      </c>
      <c r="AC691">
        <v>764</v>
      </c>
      <c r="AD691" t="s">
        <v>1279</v>
      </c>
      <c r="AE691">
        <v>4</v>
      </c>
      <c r="AF691" t="s">
        <v>1290</v>
      </c>
      <c r="AG691">
        <v>0</v>
      </c>
      <c r="AH691">
        <v>0</v>
      </c>
      <c r="AI691">
        <v>0</v>
      </c>
      <c r="AJ691">
        <v>2005</v>
      </c>
      <c r="AK691" t="s">
        <v>1194</v>
      </c>
      <c r="AL691" t="s">
        <v>1194</v>
      </c>
      <c r="AM691" s="4" t="s">
        <v>1305</v>
      </c>
      <c r="AN691">
        <v>1</v>
      </c>
      <c r="AO691" t="s">
        <v>1315</v>
      </c>
      <c r="AP691">
        <f t="shared" si="20"/>
        <v>0</v>
      </c>
      <c r="AQ691">
        <v>1</v>
      </c>
      <c r="AR691" t="s">
        <v>1992</v>
      </c>
      <c r="AS691" t="s">
        <v>1995</v>
      </c>
      <c r="AT691" t="s">
        <v>1995</v>
      </c>
      <c r="AU691" t="s">
        <v>1995</v>
      </c>
      <c r="AV691" t="s">
        <v>1995</v>
      </c>
      <c r="AW691" t="s">
        <v>1996</v>
      </c>
      <c r="AX691" t="s">
        <v>2003</v>
      </c>
      <c r="AY691" t="s">
        <v>1996</v>
      </c>
      <c r="AZ691">
        <v>2780</v>
      </c>
      <c r="BA691" t="s">
        <v>1194</v>
      </c>
      <c r="BB691" t="s">
        <v>1194</v>
      </c>
      <c r="BC691" s="3">
        <v>0</v>
      </c>
      <c r="BD691" s="3">
        <v>1562.23</v>
      </c>
      <c r="BE691" s="3">
        <v>0</v>
      </c>
      <c r="BF691" s="3">
        <v>0</v>
      </c>
      <c r="BG691" s="3">
        <v>130</v>
      </c>
      <c r="BH691" s="3">
        <v>0</v>
      </c>
      <c r="BI691" s="3">
        <v>0</v>
      </c>
      <c r="BJ691" s="3">
        <v>4105.7299999999996</v>
      </c>
      <c r="BK691" s="3">
        <v>610</v>
      </c>
      <c r="BL691" s="3">
        <v>4715.7299999999996</v>
      </c>
      <c r="BM691" s="2">
        <f t="shared" ca="1" si="21"/>
        <v>2</v>
      </c>
      <c r="BN691" s="3">
        <v>250000</v>
      </c>
      <c r="BO691" s="3">
        <v>25000</v>
      </c>
      <c r="BP691" s="3" t="s">
        <v>2922</v>
      </c>
      <c r="BQ691" s="3">
        <v>500000</v>
      </c>
      <c r="BR691" s="3">
        <v>100000</v>
      </c>
      <c r="BS691">
        <v>250000</v>
      </c>
      <c r="BT691">
        <v>0</v>
      </c>
      <c r="BU691">
        <v>0</v>
      </c>
      <c r="BV691">
        <v>0</v>
      </c>
      <c r="BW691">
        <v>1</v>
      </c>
      <c r="BX691">
        <v>1</v>
      </c>
      <c r="BY691">
        <v>1</v>
      </c>
      <c r="BZ691" t="s">
        <v>2949</v>
      </c>
      <c r="CA691" t="s">
        <v>1194</v>
      </c>
      <c r="CB691" t="s">
        <v>2949</v>
      </c>
    </row>
    <row r="692" spans="1:80" x14ac:dyDescent="0.25">
      <c r="A692">
        <v>691</v>
      </c>
      <c r="B692" t="s">
        <v>2705</v>
      </c>
      <c r="C692" s="1">
        <v>44666</v>
      </c>
      <c r="D692">
        <v>12</v>
      </c>
      <c r="E692" t="s">
        <v>4</v>
      </c>
      <c r="F692" t="s">
        <v>1311</v>
      </c>
      <c r="G692">
        <v>0</v>
      </c>
      <c r="H692" s="3">
        <v>1402000</v>
      </c>
      <c r="I692" s="3">
        <v>0</v>
      </c>
      <c r="J692" s="3">
        <v>0</v>
      </c>
      <c r="K692" s="3">
        <v>0</v>
      </c>
      <c r="L692" t="s">
        <v>1191</v>
      </c>
      <c r="M692">
        <v>1896474</v>
      </c>
      <c r="N692" t="s">
        <v>1483</v>
      </c>
      <c r="O692" t="s">
        <v>1484</v>
      </c>
      <c r="P692" t="s">
        <v>1857</v>
      </c>
      <c r="Q692" t="s">
        <v>1320</v>
      </c>
      <c r="R692">
        <v>3254</v>
      </c>
      <c r="S692" t="s">
        <v>1858</v>
      </c>
      <c r="T692" t="s">
        <v>965</v>
      </c>
      <c r="U692">
        <v>0</v>
      </c>
      <c r="V692">
        <v>1</v>
      </c>
      <c r="W692" t="s">
        <v>1194</v>
      </c>
      <c r="X692" t="s">
        <v>973</v>
      </c>
      <c r="Y692">
        <v>10000</v>
      </c>
      <c r="Z692" s="2" t="s">
        <v>1194</v>
      </c>
      <c r="AA692" s="2">
        <v>1</v>
      </c>
      <c r="AB692">
        <v>2500</v>
      </c>
      <c r="AC692">
        <v>768</v>
      </c>
      <c r="AD692" t="s">
        <v>1279</v>
      </c>
      <c r="AE692">
        <v>9</v>
      </c>
      <c r="AF692" t="s">
        <v>1290</v>
      </c>
      <c r="AG692">
        <v>0</v>
      </c>
      <c r="AH692">
        <v>0</v>
      </c>
      <c r="AI692">
        <v>0</v>
      </c>
      <c r="AJ692">
        <v>1800</v>
      </c>
      <c r="AK692" t="s">
        <v>1194</v>
      </c>
      <c r="AL692" t="s">
        <v>1194</v>
      </c>
      <c r="AM692" s="4" t="s">
        <v>1238</v>
      </c>
      <c r="AN692">
        <v>0</v>
      </c>
      <c r="AO692" t="s">
        <v>1316</v>
      </c>
      <c r="AP692">
        <f t="shared" si="20"/>
        <v>0</v>
      </c>
      <c r="AQ692">
        <v>1</v>
      </c>
      <c r="AR692" t="s">
        <v>1992</v>
      </c>
      <c r="AS692" t="s">
        <v>1996</v>
      </c>
      <c r="AT692" t="s">
        <v>1995</v>
      </c>
      <c r="AU692" t="s">
        <v>1996</v>
      </c>
      <c r="AV692" t="s">
        <v>1995</v>
      </c>
      <c r="AW692" t="s">
        <v>1996</v>
      </c>
      <c r="AX692" t="s">
        <v>1194</v>
      </c>
      <c r="AY692" t="s">
        <v>1996</v>
      </c>
      <c r="AZ692">
        <v>4500</v>
      </c>
      <c r="BA692" t="s">
        <v>1194</v>
      </c>
      <c r="BB692" t="s">
        <v>1194</v>
      </c>
      <c r="BC692" s="3">
        <v>0</v>
      </c>
      <c r="BD692" s="3">
        <v>0</v>
      </c>
      <c r="BE692" s="3">
        <v>0</v>
      </c>
      <c r="BF692" s="3">
        <v>0</v>
      </c>
      <c r="BG692" s="3">
        <v>110</v>
      </c>
      <c r="BH692" s="3">
        <v>0</v>
      </c>
      <c r="BI692" s="3">
        <v>0</v>
      </c>
      <c r="BJ692" s="3">
        <v>4587.88</v>
      </c>
      <c r="BK692" s="3">
        <v>-15</v>
      </c>
      <c r="BL692" s="3">
        <v>4572.88</v>
      </c>
      <c r="BM692" s="2">
        <f t="shared" ca="1" si="21"/>
        <v>2</v>
      </c>
      <c r="BN692" s="3">
        <v>100000</v>
      </c>
      <c r="BO692" s="3">
        <v>500000</v>
      </c>
      <c r="BP692" s="3">
        <v>100000</v>
      </c>
      <c r="BQ692" s="3">
        <v>50000</v>
      </c>
      <c r="BR692" s="3">
        <v>500000</v>
      </c>
      <c r="BS692">
        <v>250000</v>
      </c>
      <c r="BT692">
        <v>0</v>
      </c>
      <c r="BU692">
        <v>0</v>
      </c>
      <c r="BV692">
        <v>0</v>
      </c>
      <c r="BW692">
        <v>1</v>
      </c>
      <c r="BX692">
        <v>0</v>
      </c>
      <c r="BY692">
        <v>0</v>
      </c>
      <c r="BZ692" t="s">
        <v>2949</v>
      </c>
      <c r="CA692" t="s">
        <v>1194</v>
      </c>
      <c r="CB692" t="s">
        <v>2949</v>
      </c>
    </row>
    <row r="693" spans="1:80" x14ac:dyDescent="0.25">
      <c r="A693">
        <v>692</v>
      </c>
      <c r="B693" t="s">
        <v>2706</v>
      </c>
      <c r="C693" s="1">
        <v>44621</v>
      </c>
      <c r="D693">
        <v>9</v>
      </c>
      <c r="E693" t="s">
        <v>4</v>
      </c>
      <c r="F693" t="s">
        <v>1310</v>
      </c>
      <c r="G693">
        <v>1</v>
      </c>
      <c r="H693" s="3">
        <v>743295</v>
      </c>
      <c r="I693" s="3">
        <v>123883</v>
      </c>
      <c r="J693" s="3">
        <v>371648</v>
      </c>
      <c r="K693" s="3">
        <v>148659</v>
      </c>
      <c r="L693" t="s">
        <v>1191</v>
      </c>
      <c r="M693">
        <v>802751</v>
      </c>
      <c r="N693" t="s">
        <v>1485</v>
      </c>
      <c r="P693" t="s">
        <v>1859</v>
      </c>
      <c r="Q693" t="s">
        <v>1250</v>
      </c>
      <c r="R693">
        <v>21561</v>
      </c>
      <c r="S693" t="s">
        <v>1860</v>
      </c>
      <c r="T693" t="s">
        <v>1238</v>
      </c>
      <c r="U693">
        <v>0</v>
      </c>
      <c r="V693">
        <v>10</v>
      </c>
      <c r="W693" t="s">
        <v>1194</v>
      </c>
      <c r="X693" t="s">
        <v>973</v>
      </c>
      <c r="Y693">
        <v>10000</v>
      </c>
      <c r="Z693" s="2" t="s">
        <v>1194</v>
      </c>
      <c r="AA693" s="2" t="s">
        <v>1238</v>
      </c>
      <c r="AB693" t="s">
        <v>1238</v>
      </c>
      <c r="AC693" t="s">
        <v>1194</v>
      </c>
      <c r="AD693" t="s">
        <v>1279</v>
      </c>
      <c r="AE693">
        <v>10</v>
      </c>
      <c r="AF693" t="s">
        <v>1290</v>
      </c>
      <c r="AG693">
        <v>0</v>
      </c>
      <c r="AH693">
        <v>0</v>
      </c>
      <c r="AI693">
        <v>0</v>
      </c>
      <c r="AJ693">
        <v>2005</v>
      </c>
      <c r="AK693" t="s">
        <v>1194</v>
      </c>
      <c r="AL693" t="s">
        <v>1194</v>
      </c>
      <c r="AM693" s="4" t="s">
        <v>1305</v>
      </c>
      <c r="AN693">
        <v>1</v>
      </c>
      <c r="AO693" t="s">
        <v>1316</v>
      </c>
      <c r="AP693">
        <f t="shared" si="20"/>
        <v>0</v>
      </c>
      <c r="AQ693">
        <v>0</v>
      </c>
      <c r="AR693" t="s">
        <v>1993</v>
      </c>
      <c r="AS693" t="s">
        <v>1995</v>
      </c>
      <c r="AT693" t="s">
        <v>1996</v>
      </c>
      <c r="AU693" t="s">
        <v>1996</v>
      </c>
      <c r="AV693" t="s">
        <v>1995</v>
      </c>
      <c r="AW693" t="s">
        <v>1996</v>
      </c>
      <c r="AX693" t="s">
        <v>2003</v>
      </c>
      <c r="AY693" t="s">
        <v>1996</v>
      </c>
      <c r="AZ693">
        <v>1598</v>
      </c>
      <c r="BA693" t="s">
        <v>1194</v>
      </c>
      <c r="BB693" t="s">
        <v>1194</v>
      </c>
      <c r="BC693" s="3">
        <v>0</v>
      </c>
      <c r="BD693" s="3">
        <v>0</v>
      </c>
      <c r="BE693" s="3">
        <v>0</v>
      </c>
      <c r="BF693" s="3">
        <v>0</v>
      </c>
      <c r="BG693" s="3">
        <v>150</v>
      </c>
      <c r="BH693" s="3">
        <v>0</v>
      </c>
      <c r="BI693" s="3">
        <v>0</v>
      </c>
      <c r="BJ693" s="3">
        <v>5022.47</v>
      </c>
      <c r="BK693" s="3">
        <v>145</v>
      </c>
      <c r="BL693" s="3">
        <v>5167.47</v>
      </c>
      <c r="BM693" s="2">
        <f t="shared" ca="1" si="21"/>
        <v>2</v>
      </c>
      <c r="BN693" s="3">
        <v>100000</v>
      </c>
      <c r="BO693" s="3">
        <v>2000000</v>
      </c>
      <c r="BP693" s="3">
        <v>100000</v>
      </c>
      <c r="BQ693" s="3">
        <v>1000000</v>
      </c>
      <c r="BR693" s="3">
        <v>250000</v>
      </c>
      <c r="BS693">
        <v>100000</v>
      </c>
      <c r="BT693">
        <v>0</v>
      </c>
      <c r="BU693">
        <v>0</v>
      </c>
      <c r="BV693">
        <v>0</v>
      </c>
      <c r="BW693">
        <v>1</v>
      </c>
      <c r="BX693">
        <v>1</v>
      </c>
      <c r="BY693">
        <v>0</v>
      </c>
      <c r="BZ693" t="s">
        <v>2949</v>
      </c>
      <c r="CA693" t="s">
        <v>1194</v>
      </c>
      <c r="CB693" t="s">
        <v>2949</v>
      </c>
    </row>
    <row r="694" spans="1:80" x14ac:dyDescent="0.25">
      <c r="A694">
        <v>693</v>
      </c>
      <c r="B694" t="s">
        <v>2707</v>
      </c>
      <c r="C694" s="1">
        <v>44672</v>
      </c>
      <c r="D694">
        <v>12</v>
      </c>
      <c r="E694" t="s">
        <v>5</v>
      </c>
      <c r="F694" t="s">
        <v>1310</v>
      </c>
      <c r="G694">
        <v>1</v>
      </c>
      <c r="H694" s="3">
        <v>2660860</v>
      </c>
      <c r="I694" s="3">
        <v>532172</v>
      </c>
      <c r="J694" s="3">
        <v>1330430</v>
      </c>
      <c r="K694" s="3">
        <v>0</v>
      </c>
      <c r="L694" t="s">
        <v>1191</v>
      </c>
      <c r="M694">
        <v>656404</v>
      </c>
      <c r="N694" t="s">
        <v>1486</v>
      </c>
      <c r="P694" t="s">
        <v>1861</v>
      </c>
      <c r="Q694" t="s">
        <v>1266</v>
      </c>
      <c r="R694">
        <v>37919</v>
      </c>
      <c r="S694" t="s">
        <v>1862</v>
      </c>
      <c r="T694" t="s">
        <v>965</v>
      </c>
      <c r="U694">
        <v>0</v>
      </c>
      <c r="V694">
        <v>5</v>
      </c>
      <c r="W694" t="s">
        <v>1194</v>
      </c>
      <c r="X694" t="s">
        <v>973</v>
      </c>
      <c r="Y694">
        <v>10000</v>
      </c>
      <c r="Z694" s="2" t="s">
        <v>1194</v>
      </c>
      <c r="AA694" s="2" t="s">
        <v>1238</v>
      </c>
      <c r="AB694" t="s">
        <v>1238</v>
      </c>
      <c r="AC694">
        <v>763</v>
      </c>
      <c r="AD694" t="s">
        <v>1279</v>
      </c>
      <c r="AE694">
        <v>2</v>
      </c>
      <c r="AF694" t="s">
        <v>1290</v>
      </c>
      <c r="AG694">
        <v>0</v>
      </c>
      <c r="AH694">
        <v>0</v>
      </c>
      <c r="AI694">
        <v>0</v>
      </c>
      <c r="AJ694">
        <v>1940</v>
      </c>
      <c r="AK694" t="s">
        <v>1194</v>
      </c>
      <c r="AL694">
        <v>2007</v>
      </c>
      <c r="AM694" s="4" t="s">
        <v>1308</v>
      </c>
      <c r="AN694">
        <v>0</v>
      </c>
      <c r="AO694" t="s">
        <v>1315</v>
      </c>
      <c r="AP694">
        <f t="shared" si="20"/>
        <v>0</v>
      </c>
      <c r="AQ694">
        <v>1</v>
      </c>
      <c r="AR694" t="s">
        <v>1992</v>
      </c>
      <c r="AS694" t="s">
        <v>1996</v>
      </c>
      <c r="AT694" t="s">
        <v>1996</v>
      </c>
      <c r="AU694" t="s">
        <v>1996</v>
      </c>
      <c r="AV694" t="s">
        <v>1995</v>
      </c>
      <c r="AW694" t="s">
        <v>1996</v>
      </c>
      <c r="AX694" t="s">
        <v>1194</v>
      </c>
      <c r="AY694" t="s">
        <v>1996</v>
      </c>
      <c r="AZ694">
        <v>4437</v>
      </c>
      <c r="BA694" t="s">
        <v>1194</v>
      </c>
      <c r="BB694" t="s">
        <v>1194</v>
      </c>
      <c r="BC694" s="3">
        <v>0</v>
      </c>
      <c r="BD694" s="3">
        <v>1783.95</v>
      </c>
      <c r="BE694" s="3">
        <v>0</v>
      </c>
      <c r="BF694" s="3">
        <v>0</v>
      </c>
      <c r="BG694" s="3">
        <v>210</v>
      </c>
      <c r="BH694" s="3">
        <v>0</v>
      </c>
      <c r="BI694" s="3">
        <v>0</v>
      </c>
      <c r="BJ694" s="3">
        <v>6700.62</v>
      </c>
      <c r="BK694" s="3">
        <v>-15</v>
      </c>
      <c r="BL694" s="3">
        <v>6685.62</v>
      </c>
      <c r="BM694" s="2">
        <f t="shared" ca="1" si="21"/>
        <v>1</v>
      </c>
      <c r="BN694" s="3">
        <v>250000</v>
      </c>
      <c r="BO694" s="3">
        <v>500000</v>
      </c>
      <c r="BP694" s="3">
        <v>50000</v>
      </c>
      <c r="BQ694" s="3">
        <v>100000</v>
      </c>
      <c r="BR694" s="3">
        <v>250000</v>
      </c>
      <c r="BS694">
        <v>100000</v>
      </c>
      <c r="BT694">
        <v>0</v>
      </c>
      <c r="BU694">
        <v>0</v>
      </c>
      <c r="BV694">
        <v>1</v>
      </c>
      <c r="BW694">
        <v>0</v>
      </c>
      <c r="BX694">
        <v>0</v>
      </c>
      <c r="BY694">
        <v>0</v>
      </c>
      <c r="BZ694" t="s">
        <v>2949</v>
      </c>
      <c r="CA694" t="s">
        <v>1194</v>
      </c>
      <c r="CB694" t="s">
        <v>2949</v>
      </c>
    </row>
    <row r="695" spans="1:80" x14ac:dyDescent="0.25">
      <c r="A695">
        <v>694</v>
      </c>
      <c r="B695" t="s">
        <v>2708</v>
      </c>
      <c r="C695" s="1">
        <v>44678</v>
      </c>
      <c r="D695">
        <v>15</v>
      </c>
      <c r="E695" t="s">
        <v>4</v>
      </c>
      <c r="F695" t="s">
        <v>1311</v>
      </c>
      <c r="G695">
        <v>1</v>
      </c>
      <c r="H695" s="3">
        <v>5052763</v>
      </c>
      <c r="I695" s="3">
        <v>696440</v>
      </c>
      <c r="J695" s="3">
        <v>742676</v>
      </c>
      <c r="K695" s="3">
        <v>0</v>
      </c>
      <c r="L695" t="s">
        <v>1191</v>
      </c>
      <c r="M695">
        <v>810445</v>
      </c>
      <c r="N695" t="s">
        <v>1487</v>
      </c>
      <c r="P695" t="s">
        <v>1863</v>
      </c>
      <c r="Q695" t="s">
        <v>1271</v>
      </c>
      <c r="R695">
        <v>53217</v>
      </c>
      <c r="S695" t="s">
        <v>1864</v>
      </c>
      <c r="T695" t="s">
        <v>965</v>
      </c>
      <c r="U695">
        <v>0</v>
      </c>
      <c r="V695">
        <v>1</v>
      </c>
      <c r="W695" t="s">
        <v>1194</v>
      </c>
      <c r="X695" t="s">
        <v>973</v>
      </c>
      <c r="Y695">
        <v>10000</v>
      </c>
      <c r="Z695" s="2" t="s">
        <v>1194</v>
      </c>
      <c r="AA695" s="2">
        <v>1</v>
      </c>
      <c r="AB695">
        <v>0.03</v>
      </c>
      <c r="AC695">
        <v>686</v>
      </c>
      <c r="AD695" t="s">
        <v>1283</v>
      </c>
      <c r="AE695">
        <v>4</v>
      </c>
      <c r="AF695" t="s">
        <v>1290</v>
      </c>
      <c r="AG695">
        <v>1</v>
      </c>
      <c r="AH695">
        <v>0</v>
      </c>
      <c r="AI695">
        <v>1</v>
      </c>
      <c r="AJ695">
        <v>1927</v>
      </c>
      <c r="AK695">
        <v>2010</v>
      </c>
      <c r="AL695" t="s">
        <v>1194</v>
      </c>
      <c r="AM695" s="4" t="s">
        <v>1238</v>
      </c>
      <c r="AN695">
        <v>0</v>
      </c>
      <c r="AO695" t="s">
        <v>1315</v>
      </c>
      <c r="AP695">
        <f t="shared" si="20"/>
        <v>1</v>
      </c>
      <c r="AQ695">
        <v>1</v>
      </c>
      <c r="AR695" t="s">
        <v>1992</v>
      </c>
      <c r="AS695" t="s">
        <v>1995</v>
      </c>
      <c r="AT695" t="s">
        <v>1995</v>
      </c>
      <c r="AU695" t="s">
        <v>1996</v>
      </c>
      <c r="AV695" t="s">
        <v>1996</v>
      </c>
      <c r="AW695" t="s">
        <v>1996</v>
      </c>
      <c r="AX695" t="s">
        <v>1194</v>
      </c>
      <c r="AY695" t="s">
        <v>1996</v>
      </c>
      <c r="AZ695">
        <v>6991</v>
      </c>
      <c r="BA695" t="s">
        <v>1194</v>
      </c>
      <c r="BB695" t="s">
        <v>1194</v>
      </c>
      <c r="BC695" s="3">
        <v>0</v>
      </c>
      <c r="BD695" s="3">
        <v>0</v>
      </c>
      <c r="BE695" s="3">
        <v>0</v>
      </c>
      <c r="BF695" s="3">
        <v>0</v>
      </c>
      <c r="BG695" s="3">
        <v>175</v>
      </c>
      <c r="BH695" s="3">
        <v>0</v>
      </c>
      <c r="BI695" s="3">
        <v>0</v>
      </c>
      <c r="BJ695" s="3">
        <v>9861.01</v>
      </c>
      <c r="BK695" s="3">
        <v>430</v>
      </c>
      <c r="BL695" s="3">
        <v>10291.01</v>
      </c>
      <c r="BM695" s="2">
        <f t="shared" ca="1" si="21"/>
        <v>4</v>
      </c>
      <c r="BN695" s="3">
        <v>250000</v>
      </c>
      <c r="BO695" s="3">
        <v>50000</v>
      </c>
      <c r="BP695" s="3" t="s">
        <v>2922</v>
      </c>
      <c r="BQ695" s="3">
        <v>500000</v>
      </c>
      <c r="BR695" s="3">
        <v>500000</v>
      </c>
      <c r="BS695">
        <v>500000</v>
      </c>
      <c r="BT695">
        <v>0</v>
      </c>
      <c r="BU695">
        <v>0</v>
      </c>
      <c r="BV695">
        <v>1</v>
      </c>
      <c r="BW695">
        <v>0</v>
      </c>
      <c r="BX695">
        <v>0</v>
      </c>
      <c r="BY695">
        <v>0</v>
      </c>
      <c r="BZ695" t="s">
        <v>2966</v>
      </c>
      <c r="CA695" t="s">
        <v>1194</v>
      </c>
      <c r="CB695" t="s">
        <v>2941</v>
      </c>
    </row>
    <row r="696" spans="1:80" x14ac:dyDescent="0.25">
      <c r="A696">
        <v>695</v>
      </c>
      <c r="B696" t="s">
        <v>2709</v>
      </c>
      <c r="C696" s="1">
        <v>44755</v>
      </c>
      <c r="D696">
        <v>27</v>
      </c>
      <c r="E696" t="s">
        <v>4</v>
      </c>
      <c r="F696" t="s">
        <v>1311</v>
      </c>
      <c r="G696">
        <v>1</v>
      </c>
      <c r="H696" s="3">
        <v>1327620</v>
      </c>
      <c r="I696" s="3">
        <v>68497</v>
      </c>
      <c r="J696" s="3">
        <v>0</v>
      </c>
      <c r="K696" s="3">
        <v>0</v>
      </c>
      <c r="L696" t="s">
        <v>1191</v>
      </c>
      <c r="M696">
        <v>844901</v>
      </c>
      <c r="N696" t="s">
        <v>1488</v>
      </c>
      <c r="P696" t="s">
        <v>1801</v>
      </c>
      <c r="Q696" t="s">
        <v>1264</v>
      </c>
      <c r="R696">
        <v>2891</v>
      </c>
      <c r="S696" t="s">
        <v>1716</v>
      </c>
      <c r="T696" t="s">
        <v>1987</v>
      </c>
      <c r="U696">
        <v>0</v>
      </c>
      <c r="V696">
        <v>6</v>
      </c>
      <c r="W696" t="s">
        <v>1194</v>
      </c>
      <c r="X696" t="s">
        <v>973</v>
      </c>
      <c r="Y696">
        <v>25000</v>
      </c>
      <c r="Z696" s="2">
        <v>5</v>
      </c>
      <c r="AA696" s="2" t="s">
        <v>1238</v>
      </c>
      <c r="AB696" t="s">
        <v>1238</v>
      </c>
      <c r="AC696">
        <v>873</v>
      </c>
      <c r="AD696" t="s">
        <v>1279</v>
      </c>
      <c r="AE696">
        <v>3</v>
      </c>
      <c r="AF696" t="s">
        <v>1290</v>
      </c>
      <c r="AG696">
        <v>0</v>
      </c>
      <c r="AH696">
        <v>0</v>
      </c>
      <c r="AI696">
        <v>0</v>
      </c>
      <c r="AJ696">
        <v>1910</v>
      </c>
      <c r="AK696" t="s">
        <v>1194</v>
      </c>
      <c r="AL696" t="s">
        <v>1194</v>
      </c>
      <c r="AM696" s="4" t="s">
        <v>1238</v>
      </c>
      <c r="AN696">
        <v>1</v>
      </c>
      <c r="AO696" t="s">
        <v>1316</v>
      </c>
      <c r="AP696">
        <f t="shared" si="20"/>
        <v>0</v>
      </c>
      <c r="AQ696">
        <v>0</v>
      </c>
      <c r="AR696" t="s">
        <v>1993</v>
      </c>
      <c r="AS696" t="s">
        <v>1995</v>
      </c>
      <c r="AT696" t="s">
        <v>1996</v>
      </c>
      <c r="AU696" t="s">
        <v>1995</v>
      </c>
      <c r="AV696" t="s">
        <v>1996</v>
      </c>
      <c r="AW696" t="s">
        <v>1995</v>
      </c>
      <c r="AX696" t="s">
        <v>2003</v>
      </c>
      <c r="AY696" t="s">
        <v>1996</v>
      </c>
      <c r="AZ696">
        <v>2100</v>
      </c>
      <c r="BA696" t="s">
        <v>1194</v>
      </c>
      <c r="BB696" t="s">
        <v>1194</v>
      </c>
      <c r="BC696" s="3">
        <v>0</v>
      </c>
      <c r="BD696" s="3">
        <v>1365.99</v>
      </c>
      <c r="BE696" s="3">
        <v>0</v>
      </c>
      <c r="BF696" s="3">
        <v>0</v>
      </c>
      <c r="BG696" s="3">
        <v>130</v>
      </c>
      <c r="BH696" s="3">
        <v>0</v>
      </c>
      <c r="BI696" s="3">
        <v>0</v>
      </c>
      <c r="BJ696" s="3">
        <v>5191.96</v>
      </c>
      <c r="BK696" s="3">
        <v>-15</v>
      </c>
      <c r="BL696" s="3">
        <v>5176.96</v>
      </c>
      <c r="BM696" s="2">
        <f t="shared" ca="1" si="21"/>
        <v>3</v>
      </c>
      <c r="BN696" s="3">
        <v>500000</v>
      </c>
      <c r="BO696" s="3">
        <v>1000000</v>
      </c>
      <c r="BP696" s="3">
        <v>50000</v>
      </c>
      <c r="BQ696" s="3">
        <v>1000000</v>
      </c>
      <c r="BR696" s="3">
        <v>100000</v>
      </c>
      <c r="BS696">
        <v>50000</v>
      </c>
      <c r="BT696">
        <v>0</v>
      </c>
      <c r="BU696">
        <v>0</v>
      </c>
      <c r="BV696">
        <v>0</v>
      </c>
      <c r="BW696">
        <v>1</v>
      </c>
      <c r="BX696">
        <v>0</v>
      </c>
      <c r="BY696">
        <v>0</v>
      </c>
      <c r="BZ696" t="s">
        <v>2949</v>
      </c>
      <c r="CA696" t="s">
        <v>1194</v>
      </c>
      <c r="CB696" t="s">
        <v>2949</v>
      </c>
    </row>
    <row r="697" spans="1:80" x14ac:dyDescent="0.25">
      <c r="A697">
        <v>696</v>
      </c>
      <c r="B697" t="s">
        <v>2710</v>
      </c>
      <c r="C697" s="1">
        <v>44725</v>
      </c>
      <c r="D697">
        <v>45</v>
      </c>
      <c r="E697" t="s">
        <v>4</v>
      </c>
      <c r="F697" t="s">
        <v>1311</v>
      </c>
      <c r="G697">
        <v>0</v>
      </c>
      <c r="H697" s="3">
        <v>2395557</v>
      </c>
      <c r="I697" s="3">
        <v>97978</v>
      </c>
      <c r="J697" s="3">
        <v>612362</v>
      </c>
      <c r="K697" s="3">
        <v>0</v>
      </c>
      <c r="L697" t="s">
        <v>1191</v>
      </c>
      <c r="M697">
        <v>820374</v>
      </c>
      <c r="N697" t="s">
        <v>1489</v>
      </c>
      <c r="P697" t="s">
        <v>1795</v>
      </c>
      <c r="Q697" t="s">
        <v>1270</v>
      </c>
      <c r="R697">
        <v>98040</v>
      </c>
      <c r="S697" t="s">
        <v>1796</v>
      </c>
      <c r="T697" t="s">
        <v>965</v>
      </c>
      <c r="U697">
        <v>0</v>
      </c>
      <c r="V697">
        <v>52</v>
      </c>
      <c r="W697" t="s">
        <v>1194</v>
      </c>
      <c r="X697" t="s">
        <v>973</v>
      </c>
      <c r="Y697">
        <v>10000</v>
      </c>
      <c r="Z697" s="2" t="s">
        <v>1194</v>
      </c>
      <c r="AA697" s="2" t="s">
        <v>1238</v>
      </c>
      <c r="AB697" t="s">
        <v>1238</v>
      </c>
      <c r="AC697" t="s">
        <v>1194</v>
      </c>
      <c r="AD697" t="s">
        <v>1279</v>
      </c>
      <c r="AE697">
        <v>4</v>
      </c>
      <c r="AF697" t="s">
        <v>1290</v>
      </c>
      <c r="AG697">
        <v>0</v>
      </c>
      <c r="AH697">
        <v>0</v>
      </c>
      <c r="AI697">
        <v>0</v>
      </c>
      <c r="AJ697">
        <v>1990</v>
      </c>
      <c r="AK697">
        <v>2015</v>
      </c>
      <c r="AL697">
        <v>2005</v>
      </c>
      <c r="AM697" s="4" t="s">
        <v>1238</v>
      </c>
      <c r="AN697">
        <v>0</v>
      </c>
      <c r="AO697" t="s">
        <v>1317</v>
      </c>
      <c r="AP697">
        <f t="shared" si="20"/>
        <v>0</v>
      </c>
      <c r="AQ697">
        <v>0</v>
      </c>
      <c r="AR697" t="s">
        <v>1993</v>
      </c>
      <c r="AS697" t="s">
        <v>1995</v>
      </c>
      <c r="AT697" t="s">
        <v>1995</v>
      </c>
      <c r="AU697" t="s">
        <v>1995</v>
      </c>
      <c r="AV697" t="s">
        <v>1995</v>
      </c>
      <c r="AW697" t="s">
        <v>1995</v>
      </c>
      <c r="AX697" t="s">
        <v>1194</v>
      </c>
      <c r="AY697" t="s">
        <v>1996</v>
      </c>
      <c r="AZ697">
        <v>6200</v>
      </c>
      <c r="BA697" t="s">
        <v>1194</v>
      </c>
      <c r="BB697" t="s">
        <v>2014</v>
      </c>
      <c r="BC697" s="3">
        <v>0</v>
      </c>
      <c r="BD697" s="3">
        <v>0</v>
      </c>
      <c r="BE697" s="3">
        <v>0</v>
      </c>
      <c r="BF697" s="3">
        <v>0</v>
      </c>
      <c r="BG697" s="3">
        <v>110</v>
      </c>
      <c r="BH697" s="3">
        <v>0</v>
      </c>
      <c r="BI697" s="3">
        <v>0</v>
      </c>
      <c r="BJ697" s="3">
        <v>5872.28</v>
      </c>
      <c r="BK697" s="3">
        <v>263</v>
      </c>
      <c r="BL697" s="3">
        <v>6135.28</v>
      </c>
      <c r="BM697" s="2">
        <f t="shared" ca="1" si="21"/>
        <v>1</v>
      </c>
      <c r="BN697" s="3">
        <v>50000</v>
      </c>
      <c r="BO697" s="3">
        <v>250000</v>
      </c>
      <c r="BP697" s="3" t="s">
        <v>2922</v>
      </c>
      <c r="BQ697" s="3">
        <v>250000</v>
      </c>
      <c r="BR697" s="3">
        <v>2000000</v>
      </c>
      <c r="BS697">
        <v>50000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0</v>
      </c>
      <c r="BZ697" t="s">
        <v>2960</v>
      </c>
      <c r="CA697" t="s">
        <v>1194</v>
      </c>
      <c r="CB697" t="s">
        <v>2941</v>
      </c>
    </row>
    <row r="698" spans="1:80" x14ac:dyDescent="0.25">
      <c r="A698">
        <v>697</v>
      </c>
      <c r="B698" t="s">
        <v>2711</v>
      </c>
      <c r="C698" s="1">
        <v>44814</v>
      </c>
      <c r="D698">
        <v>12</v>
      </c>
      <c r="E698" t="s">
        <v>5</v>
      </c>
      <c r="F698" t="s">
        <v>1310</v>
      </c>
      <c r="G698">
        <v>1</v>
      </c>
      <c r="H698" s="3">
        <v>4301140</v>
      </c>
      <c r="I698" s="3">
        <v>608476</v>
      </c>
      <c r="J698" s="3">
        <v>1553821</v>
      </c>
      <c r="K698" s="3">
        <v>860228</v>
      </c>
      <c r="L698" t="s">
        <v>1191</v>
      </c>
      <c r="M698">
        <v>835787</v>
      </c>
      <c r="N698" t="s">
        <v>1490</v>
      </c>
      <c r="P698" t="s">
        <v>1865</v>
      </c>
      <c r="Q698" t="s">
        <v>1254</v>
      </c>
      <c r="R698">
        <v>63005</v>
      </c>
      <c r="S698" t="s">
        <v>1698</v>
      </c>
      <c r="T698" t="s">
        <v>965</v>
      </c>
      <c r="U698">
        <v>0</v>
      </c>
      <c r="V698">
        <v>3</v>
      </c>
      <c r="W698" t="s">
        <v>1194</v>
      </c>
      <c r="X698" t="s">
        <v>973</v>
      </c>
      <c r="Y698">
        <v>10000</v>
      </c>
      <c r="Z698" s="2" t="s">
        <v>1194</v>
      </c>
      <c r="AA698" s="2">
        <v>1</v>
      </c>
      <c r="AB698">
        <v>5.0000000000000001E-3</v>
      </c>
      <c r="AC698">
        <v>763</v>
      </c>
      <c r="AD698" t="s">
        <v>1279</v>
      </c>
      <c r="AE698">
        <v>4</v>
      </c>
      <c r="AF698" t="s">
        <v>1290</v>
      </c>
      <c r="AG698">
        <v>0</v>
      </c>
      <c r="AH698">
        <v>0</v>
      </c>
      <c r="AI698">
        <v>0</v>
      </c>
      <c r="AJ698">
        <v>2007</v>
      </c>
      <c r="AK698" t="s">
        <v>1194</v>
      </c>
      <c r="AL698" t="s">
        <v>1194</v>
      </c>
      <c r="AM698" s="4" t="s">
        <v>1305</v>
      </c>
      <c r="AN698">
        <v>0</v>
      </c>
      <c r="AO698" t="s">
        <v>1317</v>
      </c>
      <c r="AP698">
        <f t="shared" si="20"/>
        <v>0</v>
      </c>
      <c r="AQ698">
        <v>0</v>
      </c>
      <c r="AR698" t="s">
        <v>1993</v>
      </c>
      <c r="AS698" t="s">
        <v>1995</v>
      </c>
      <c r="AT698" t="s">
        <v>1996</v>
      </c>
      <c r="AU698" t="s">
        <v>1995</v>
      </c>
      <c r="AV698" t="s">
        <v>1995</v>
      </c>
      <c r="AW698" t="s">
        <v>1995</v>
      </c>
      <c r="AX698" t="s">
        <v>1194</v>
      </c>
      <c r="AY698" t="s">
        <v>1996</v>
      </c>
      <c r="AZ698">
        <v>6602</v>
      </c>
      <c r="BA698" t="s">
        <v>1194</v>
      </c>
      <c r="BB698" t="s">
        <v>1194</v>
      </c>
      <c r="BC698" s="3">
        <v>0</v>
      </c>
      <c r="BD698" s="3">
        <v>0</v>
      </c>
      <c r="BE698" s="3">
        <v>0</v>
      </c>
      <c r="BF698" s="3">
        <v>0</v>
      </c>
      <c r="BG698" s="3">
        <v>175</v>
      </c>
      <c r="BH698" s="3">
        <v>0</v>
      </c>
      <c r="BI698" s="3">
        <v>0</v>
      </c>
      <c r="BJ698" s="3">
        <v>11327.99</v>
      </c>
      <c r="BK698" s="3">
        <v>689</v>
      </c>
      <c r="BL698" s="3">
        <v>12016.99</v>
      </c>
      <c r="BM698" s="2">
        <f t="shared" ca="1" si="21"/>
        <v>1</v>
      </c>
      <c r="BN698" s="3">
        <v>250000</v>
      </c>
      <c r="BO698" s="3">
        <v>25000</v>
      </c>
      <c r="BP698" s="3">
        <v>100000</v>
      </c>
      <c r="BQ698" s="3">
        <v>250000</v>
      </c>
      <c r="BR698" s="3">
        <v>250000</v>
      </c>
      <c r="BS698">
        <v>1000000</v>
      </c>
      <c r="BT698">
        <v>0</v>
      </c>
      <c r="BU698">
        <v>0</v>
      </c>
      <c r="BV698">
        <v>1</v>
      </c>
      <c r="BW698">
        <v>0</v>
      </c>
      <c r="BX698">
        <v>0</v>
      </c>
      <c r="BY698">
        <v>0</v>
      </c>
      <c r="BZ698" t="s">
        <v>2958</v>
      </c>
      <c r="CA698" t="s">
        <v>1194</v>
      </c>
      <c r="CB698" t="s">
        <v>2941</v>
      </c>
    </row>
    <row r="699" spans="1:80" x14ac:dyDescent="0.25">
      <c r="A699">
        <v>698</v>
      </c>
      <c r="B699" t="s">
        <v>2712</v>
      </c>
      <c r="C699" s="1">
        <v>44868</v>
      </c>
      <c r="D699">
        <v>39</v>
      </c>
      <c r="E699" t="s">
        <v>5</v>
      </c>
      <c r="F699" t="s">
        <v>1310</v>
      </c>
      <c r="G699">
        <v>0</v>
      </c>
      <c r="H699" s="3">
        <v>3815000</v>
      </c>
      <c r="I699" s="3">
        <v>272500</v>
      </c>
      <c r="J699" s="3">
        <v>1907500</v>
      </c>
      <c r="K699" s="3">
        <v>763000</v>
      </c>
      <c r="L699" t="s">
        <v>1191</v>
      </c>
      <c r="M699">
        <v>1793799</v>
      </c>
      <c r="N699" t="s">
        <v>1491</v>
      </c>
      <c r="P699" t="s">
        <v>1866</v>
      </c>
      <c r="Q699" t="s">
        <v>1239</v>
      </c>
      <c r="R699">
        <v>80128</v>
      </c>
      <c r="S699" t="s">
        <v>1736</v>
      </c>
      <c r="T699" t="s">
        <v>965</v>
      </c>
      <c r="U699">
        <v>0</v>
      </c>
      <c r="V699">
        <v>90</v>
      </c>
      <c r="W699" t="s">
        <v>1194</v>
      </c>
      <c r="X699" t="s">
        <v>973</v>
      </c>
      <c r="Y699">
        <v>25000</v>
      </c>
      <c r="Z699" s="2" t="s">
        <v>1194</v>
      </c>
      <c r="AA699" s="2">
        <v>1</v>
      </c>
      <c r="AB699">
        <v>5.0000000000000001E-3</v>
      </c>
      <c r="AC699">
        <v>697</v>
      </c>
      <c r="AD699" t="s">
        <v>1284</v>
      </c>
      <c r="AE699">
        <v>1</v>
      </c>
      <c r="AF699" t="s">
        <v>1290</v>
      </c>
      <c r="AG699">
        <v>0</v>
      </c>
      <c r="AH699">
        <v>0</v>
      </c>
      <c r="AI699">
        <v>0</v>
      </c>
      <c r="AJ699">
        <v>1999</v>
      </c>
      <c r="AK699">
        <v>2015</v>
      </c>
      <c r="AL699" t="s">
        <v>1194</v>
      </c>
      <c r="AM699" s="4" t="s">
        <v>1304</v>
      </c>
      <c r="AN699">
        <v>1</v>
      </c>
      <c r="AO699" t="s">
        <v>1315</v>
      </c>
      <c r="AP699">
        <f t="shared" si="20"/>
        <v>0</v>
      </c>
      <c r="AQ699">
        <v>1</v>
      </c>
      <c r="AR699" t="s">
        <v>1992</v>
      </c>
      <c r="AS699" t="s">
        <v>1995</v>
      </c>
      <c r="AT699" t="s">
        <v>1995</v>
      </c>
      <c r="AU699" t="s">
        <v>1995</v>
      </c>
      <c r="AV699" t="s">
        <v>1996</v>
      </c>
      <c r="AW699" t="s">
        <v>1995</v>
      </c>
      <c r="AX699" t="s">
        <v>1194</v>
      </c>
      <c r="AY699" t="s">
        <v>1996</v>
      </c>
      <c r="AZ699">
        <v>9203</v>
      </c>
      <c r="BA699" t="s">
        <v>1194</v>
      </c>
      <c r="BB699" t="s">
        <v>2014</v>
      </c>
      <c r="BC699" s="3">
        <v>0</v>
      </c>
      <c r="BD699" s="3">
        <v>0</v>
      </c>
      <c r="BE699" s="3">
        <v>0</v>
      </c>
      <c r="BF699" s="3">
        <v>985.37</v>
      </c>
      <c r="BG699" s="3">
        <v>150</v>
      </c>
      <c r="BH699" s="3">
        <v>0</v>
      </c>
      <c r="BI699" s="3">
        <v>0</v>
      </c>
      <c r="BJ699" s="3">
        <v>13123.84</v>
      </c>
      <c r="BK699" s="3">
        <v>2503.12</v>
      </c>
      <c r="BL699" s="3">
        <v>15191.51</v>
      </c>
      <c r="BM699" s="2">
        <f t="shared" ca="1" si="21"/>
        <v>0</v>
      </c>
      <c r="BN699" s="3">
        <v>50000</v>
      </c>
      <c r="BO699" s="3">
        <v>100000</v>
      </c>
      <c r="BP699" s="3">
        <v>100000</v>
      </c>
      <c r="BQ699" s="3">
        <v>500000</v>
      </c>
      <c r="BR699" s="3">
        <v>50000</v>
      </c>
      <c r="BS699">
        <v>50000</v>
      </c>
      <c r="BT699">
        <v>0</v>
      </c>
      <c r="BU699">
        <v>0</v>
      </c>
      <c r="BV699">
        <v>1</v>
      </c>
      <c r="BW699">
        <v>0</v>
      </c>
      <c r="BX699">
        <v>0</v>
      </c>
      <c r="BY699">
        <v>0</v>
      </c>
      <c r="BZ699" t="s">
        <v>2958</v>
      </c>
      <c r="CA699" t="s">
        <v>1194</v>
      </c>
      <c r="CB699" t="s">
        <v>2941</v>
      </c>
    </row>
    <row r="700" spans="1:80" x14ac:dyDescent="0.25">
      <c r="A700">
        <v>699</v>
      </c>
      <c r="B700" t="s">
        <v>2713</v>
      </c>
      <c r="C700" s="1">
        <v>44741</v>
      </c>
      <c r="D700">
        <v>12</v>
      </c>
      <c r="E700" t="s">
        <v>4</v>
      </c>
      <c r="F700" t="s">
        <v>1311</v>
      </c>
      <c r="G700">
        <v>0</v>
      </c>
      <c r="H700" s="3">
        <v>1826351</v>
      </c>
      <c r="I700" s="3">
        <v>365270</v>
      </c>
      <c r="J700" s="3">
        <v>913176</v>
      </c>
      <c r="K700" s="3">
        <v>365270.2</v>
      </c>
      <c r="L700" t="s">
        <v>1191</v>
      </c>
      <c r="M700">
        <v>1657647</v>
      </c>
      <c r="N700" t="s">
        <v>1492</v>
      </c>
      <c r="P700" t="s">
        <v>1867</v>
      </c>
      <c r="Q700" t="s">
        <v>1261</v>
      </c>
      <c r="R700">
        <v>73012</v>
      </c>
      <c r="S700" t="s">
        <v>1758</v>
      </c>
      <c r="T700" t="s">
        <v>965</v>
      </c>
      <c r="U700">
        <v>0</v>
      </c>
      <c r="V700">
        <v>1</v>
      </c>
      <c r="W700" t="s">
        <v>1194</v>
      </c>
      <c r="X700" t="s">
        <v>973</v>
      </c>
      <c r="Y700">
        <v>5000</v>
      </c>
      <c r="Z700" s="2">
        <v>1.0000268290000001</v>
      </c>
      <c r="AA700" s="2">
        <v>1</v>
      </c>
      <c r="AB700">
        <v>0.01</v>
      </c>
      <c r="AC700">
        <v>737</v>
      </c>
      <c r="AD700" t="s">
        <v>1279</v>
      </c>
      <c r="AE700">
        <v>3</v>
      </c>
      <c r="AF700" t="s">
        <v>1290</v>
      </c>
      <c r="AG700">
        <v>0</v>
      </c>
      <c r="AH700">
        <v>0</v>
      </c>
      <c r="AI700">
        <v>0</v>
      </c>
      <c r="AJ700">
        <v>2006</v>
      </c>
      <c r="AK700" t="s">
        <v>1194</v>
      </c>
      <c r="AL700">
        <v>2021</v>
      </c>
      <c r="AM700" s="4" t="s">
        <v>1238</v>
      </c>
      <c r="AN700">
        <v>0</v>
      </c>
      <c r="AO700" t="s">
        <v>1317</v>
      </c>
      <c r="AP700">
        <f t="shared" si="20"/>
        <v>0</v>
      </c>
      <c r="AQ700">
        <v>0</v>
      </c>
      <c r="AR700" t="s">
        <v>1993</v>
      </c>
      <c r="AS700" t="s">
        <v>1996</v>
      </c>
      <c r="AT700" t="s">
        <v>1995</v>
      </c>
      <c r="AU700" t="s">
        <v>1995</v>
      </c>
      <c r="AV700" t="s">
        <v>1996</v>
      </c>
      <c r="AW700" t="s">
        <v>1995</v>
      </c>
      <c r="AX700" t="s">
        <v>1194</v>
      </c>
      <c r="AY700" t="s">
        <v>1996</v>
      </c>
      <c r="AZ700">
        <v>5294</v>
      </c>
      <c r="BA700" t="s">
        <v>1194</v>
      </c>
      <c r="BB700" t="s">
        <v>1194</v>
      </c>
      <c r="BC700" s="3">
        <v>0</v>
      </c>
      <c r="BD700" s="3">
        <v>0</v>
      </c>
      <c r="BE700" s="3">
        <v>0</v>
      </c>
      <c r="BF700" s="3">
        <v>0</v>
      </c>
      <c r="BG700" s="3">
        <v>175</v>
      </c>
      <c r="BH700" s="3">
        <v>0</v>
      </c>
      <c r="BI700" s="3">
        <v>0</v>
      </c>
      <c r="BJ700" s="3">
        <v>13321.64</v>
      </c>
      <c r="BK700" s="3">
        <v>475.27</v>
      </c>
      <c r="BL700" s="3">
        <v>13645.5</v>
      </c>
      <c r="BM700" s="2">
        <f t="shared" ca="1" si="21"/>
        <v>3</v>
      </c>
      <c r="BN700" s="3">
        <v>50000</v>
      </c>
      <c r="BO700" s="3">
        <v>100000</v>
      </c>
      <c r="BP700" s="3">
        <v>50000</v>
      </c>
      <c r="BQ700" s="3">
        <v>250000</v>
      </c>
      <c r="BR700" s="3">
        <v>250000</v>
      </c>
      <c r="BS700">
        <v>50000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 t="s">
        <v>2958</v>
      </c>
      <c r="CA700" t="s">
        <v>1194</v>
      </c>
      <c r="CB700" t="s">
        <v>2941</v>
      </c>
    </row>
    <row r="701" spans="1:80" x14ac:dyDescent="0.25">
      <c r="A701">
        <v>700</v>
      </c>
      <c r="B701" t="s">
        <v>2714</v>
      </c>
      <c r="C701" s="1">
        <v>44630</v>
      </c>
      <c r="D701">
        <v>9</v>
      </c>
      <c r="E701" t="s">
        <v>4</v>
      </c>
      <c r="F701" t="s">
        <v>1310</v>
      </c>
      <c r="G701">
        <v>0</v>
      </c>
      <c r="H701" s="3">
        <v>24792500</v>
      </c>
      <c r="I701" s="3">
        <v>4958500</v>
      </c>
      <c r="J701" s="3">
        <v>263750</v>
      </c>
      <c r="K701" s="3">
        <v>0</v>
      </c>
      <c r="L701" t="s">
        <v>1191</v>
      </c>
      <c r="M701">
        <v>1617228</v>
      </c>
      <c r="N701" t="s">
        <v>1493</v>
      </c>
      <c r="P701" t="s">
        <v>105</v>
      </c>
      <c r="Q701" t="s">
        <v>1266</v>
      </c>
      <c r="R701">
        <v>37069</v>
      </c>
      <c r="S701" t="s">
        <v>1789</v>
      </c>
      <c r="T701" t="s">
        <v>965</v>
      </c>
      <c r="U701">
        <v>0</v>
      </c>
      <c r="V701">
        <v>6</v>
      </c>
      <c r="W701" t="s">
        <v>1194</v>
      </c>
      <c r="X701" t="s">
        <v>973</v>
      </c>
      <c r="Y701">
        <v>25000</v>
      </c>
      <c r="Z701" s="2" t="s">
        <v>1194</v>
      </c>
      <c r="AA701" s="2" t="s">
        <v>1238</v>
      </c>
      <c r="AB701" t="s">
        <v>1238</v>
      </c>
      <c r="AC701">
        <v>678</v>
      </c>
      <c r="AD701" t="s">
        <v>1284</v>
      </c>
      <c r="AE701">
        <v>5</v>
      </c>
      <c r="AF701" t="s">
        <v>1290</v>
      </c>
      <c r="AG701">
        <v>0</v>
      </c>
      <c r="AH701">
        <v>0</v>
      </c>
      <c r="AI701">
        <v>0</v>
      </c>
      <c r="AJ701">
        <v>2011</v>
      </c>
      <c r="AK701" t="s">
        <v>1194</v>
      </c>
      <c r="AL701" t="s">
        <v>1194</v>
      </c>
      <c r="AM701" s="4" t="s">
        <v>1305</v>
      </c>
      <c r="AN701">
        <v>1</v>
      </c>
      <c r="AO701" t="s">
        <v>1315</v>
      </c>
      <c r="AP701">
        <f t="shared" si="20"/>
        <v>0</v>
      </c>
      <c r="AQ701">
        <v>1</v>
      </c>
      <c r="AR701" t="s">
        <v>1992</v>
      </c>
      <c r="AS701" t="s">
        <v>1996</v>
      </c>
      <c r="AT701" t="s">
        <v>1996</v>
      </c>
      <c r="AU701" t="s">
        <v>1995</v>
      </c>
      <c r="AV701" t="s">
        <v>1995</v>
      </c>
      <c r="AW701" t="s">
        <v>1995</v>
      </c>
      <c r="AX701" t="s">
        <v>1194</v>
      </c>
      <c r="AY701" t="s">
        <v>1996</v>
      </c>
      <c r="AZ701">
        <v>22126</v>
      </c>
      <c r="BA701" t="s">
        <v>1194</v>
      </c>
      <c r="BB701" t="s">
        <v>1194</v>
      </c>
      <c r="BC701" s="3">
        <v>0</v>
      </c>
      <c r="BD701" s="3">
        <v>19234.71</v>
      </c>
      <c r="BE701" s="3">
        <v>0</v>
      </c>
      <c r="BF701" s="3">
        <v>0</v>
      </c>
      <c r="BG701" s="3">
        <v>175</v>
      </c>
      <c r="BH701" s="3">
        <v>0</v>
      </c>
      <c r="BI701" s="3">
        <v>0</v>
      </c>
      <c r="BJ701" s="3">
        <v>68415.98</v>
      </c>
      <c r="BK701" s="3">
        <v>6292.21</v>
      </c>
      <c r="BL701" s="3">
        <v>74708.19</v>
      </c>
      <c r="BM701" s="2">
        <f t="shared" ca="1" si="21"/>
        <v>1</v>
      </c>
      <c r="BN701" s="3">
        <v>100000</v>
      </c>
      <c r="BO701" s="3">
        <v>1000000</v>
      </c>
      <c r="BP701" s="3">
        <v>50000</v>
      </c>
      <c r="BQ701" s="3">
        <v>1000000</v>
      </c>
      <c r="BR701" s="3">
        <v>50000</v>
      </c>
      <c r="BS701">
        <v>100000</v>
      </c>
      <c r="BT701">
        <v>0</v>
      </c>
      <c r="BU701">
        <v>1</v>
      </c>
      <c r="BV701">
        <v>0</v>
      </c>
      <c r="BW701">
        <v>1</v>
      </c>
      <c r="BX701">
        <v>0</v>
      </c>
      <c r="BY701">
        <v>0</v>
      </c>
      <c r="BZ701" t="s">
        <v>2959</v>
      </c>
      <c r="CA701" t="s">
        <v>1194</v>
      </c>
      <c r="CB701" t="s">
        <v>2941</v>
      </c>
    </row>
    <row r="702" spans="1:80" x14ac:dyDescent="0.25">
      <c r="A702">
        <v>701</v>
      </c>
      <c r="B702" t="s">
        <v>2715</v>
      </c>
      <c r="C702" s="1">
        <v>44804</v>
      </c>
      <c r="D702">
        <v>3</v>
      </c>
      <c r="E702" t="s">
        <v>5</v>
      </c>
      <c r="F702" t="s">
        <v>1310</v>
      </c>
      <c r="G702">
        <v>1</v>
      </c>
      <c r="H702" s="3">
        <v>3640701</v>
      </c>
      <c r="I702" s="3">
        <v>728140</v>
      </c>
      <c r="J702" s="3">
        <v>1820351</v>
      </c>
      <c r="K702" s="3">
        <v>728140.2</v>
      </c>
      <c r="L702" t="s">
        <v>1191</v>
      </c>
      <c r="M702">
        <v>860791</v>
      </c>
      <c r="N702" t="s">
        <v>1494</v>
      </c>
      <c r="P702" t="s">
        <v>1759</v>
      </c>
      <c r="Q702" t="s">
        <v>1266</v>
      </c>
      <c r="R702">
        <v>37221</v>
      </c>
      <c r="S702" t="s">
        <v>1760</v>
      </c>
      <c r="T702" t="s">
        <v>965</v>
      </c>
      <c r="U702">
        <v>0</v>
      </c>
      <c r="V702" t="s">
        <v>1989</v>
      </c>
      <c r="W702" t="s">
        <v>1194</v>
      </c>
      <c r="X702" t="s">
        <v>973</v>
      </c>
      <c r="Y702">
        <v>10000</v>
      </c>
      <c r="Z702" s="2" t="s">
        <v>1194</v>
      </c>
      <c r="AA702" s="2" t="s">
        <v>1238</v>
      </c>
      <c r="AB702" t="s">
        <v>1238</v>
      </c>
      <c r="AC702">
        <v>729</v>
      </c>
      <c r="AD702" t="s">
        <v>1284</v>
      </c>
      <c r="AE702">
        <v>5</v>
      </c>
      <c r="AF702" t="s">
        <v>1290</v>
      </c>
      <c r="AG702">
        <v>0</v>
      </c>
      <c r="AH702">
        <v>0</v>
      </c>
      <c r="AI702">
        <v>0</v>
      </c>
      <c r="AJ702">
        <v>2015</v>
      </c>
      <c r="AK702" t="s">
        <v>1194</v>
      </c>
      <c r="AL702" t="s">
        <v>1194</v>
      </c>
      <c r="AM702" s="4" t="s">
        <v>1304</v>
      </c>
      <c r="AN702">
        <v>0</v>
      </c>
      <c r="AO702" t="s">
        <v>1315</v>
      </c>
      <c r="AP702">
        <f t="shared" si="20"/>
        <v>0</v>
      </c>
      <c r="AQ702">
        <v>0</v>
      </c>
      <c r="AR702" t="s">
        <v>1993</v>
      </c>
      <c r="AS702" t="s">
        <v>1996</v>
      </c>
      <c r="AT702" t="s">
        <v>1995</v>
      </c>
      <c r="AU702" t="s">
        <v>1996</v>
      </c>
      <c r="AV702" t="s">
        <v>1995</v>
      </c>
      <c r="AW702" t="s">
        <v>1996</v>
      </c>
      <c r="AX702" t="s">
        <v>1194</v>
      </c>
      <c r="AY702" t="s">
        <v>1996</v>
      </c>
      <c r="AZ702">
        <v>7740</v>
      </c>
      <c r="BA702" t="s">
        <v>1194</v>
      </c>
      <c r="BB702" t="s">
        <v>1194</v>
      </c>
      <c r="BC702" s="3">
        <v>0</v>
      </c>
      <c r="BD702" s="3">
        <v>2559.59</v>
      </c>
      <c r="BE702" s="3">
        <v>0</v>
      </c>
      <c r="BF702" s="3">
        <v>0</v>
      </c>
      <c r="BG702" s="3">
        <v>210</v>
      </c>
      <c r="BH702" s="3">
        <v>0</v>
      </c>
      <c r="BI702" s="3">
        <v>0</v>
      </c>
      <c r="BJ702" s="3">
        <v>9095.91</v>
      </c>
      <c r="BK702" s="3">
        <v>1491.02</v>
      </c>
      <c r="BL702" s="3">
        <v>10586.93</v>
      </c>
      <c r="BM702" s="2">
        <f t="shared" ca="1" si="21"/>
        <v>5</v>
      </c>
      <c r="BN702" s="3">
        <v>100000</v>
      </c>
      <c r="BO702" s="3">
        <v>500000</v>
      </c>
      <c r="BP702" s="3">
        <v>200000</v>
      </c>
      <c r="BQ702" s="3">
        <v>250000</v>
      </c>
      <c r="BR702" s="3">
        <v>1000000</v>
      </c>
      <c r="BS702">
        <v>500000</v>
      </c>
      <c r="BT702">
        <v>0</v>
      </c>
      <c r="BU702">
        <v>0</v>
      </c>
      <c r="BV702">
        <v>1</v>
      </c>
      <c r="BW702">
        <v>0</v>
      </c>
      <c r="BX702">
        <v>0</v>
      </c>
      <c r="BY702">
        <v>0</v>
      </c>
      <c r="BZ702" t="s">
        <v>2958</v>
      </c>
      <c r="CA702" t="s">
        <v>1194</v>
      </c>
      <c r="CB702" t="s">
        <v>2941</v>
      </c>
    </row>
    <row r="703" spans="1:80" x14ac:dyDescent="0.25">
      <c r="A703">
        <v>702</v>
      </c>
      <c r="B703" t="s">
        <v>2716</v>
      </c>
      <c r="C703" s="1">
        <v>44836</v>
      </c>
      <c r="D703">
        <v>33</v>
      </c>
      <c r="E703" t="s">
        <v>5</v>
      </c>
      <c r="F703" t="s">
        <v>1310</v>
      </c>
      <c r="G703">
        <v>1</v>
      </c>
      <c r="H703" s="3">
        <v>2082414</v>
      </c>
      <c r="I703" s="3">
        <v>186857</v>
      </c>
      <c r="J703" s="3">
        <v>877707</v>
      </c>
      <c r="K703" s="3">
        <v>416482.8</v>
      </c>
      <c r="L703" t="s">
        <v>1191</v>
      </c>
      <c r="M703">
        <v>864443</v>
      </c>
      <c r="N703" t="s">
        <v>1495</v>
      </c>
      <c r="P703" t="s">
        <v>1733</v>
      </c>
      <c r="Q703" t="s">
        <v>1246</v>
      </c>
      <c r="R703">
        <v>60614</v>
      </c>
      <c r="S703" t="s">
        <v>1734</v>
      </c>
      <c r="T703" t="s">
        <v>965</v>
      </c>
      <c r="U703">
        <v>0</v>
      </c>
      <c r="V703">
        <v>13</v>
      </c>
      <c r="W703" t="s">
        <v>1194</v>
      </c>
      <c r="X703" t="s">
        <v>973</v>
      </c>
      <c r="Y703">
        <v>10000</v>
      </c>
      <c r="Z703" s="2" t="s">
        <v>1194</v>
      </c>
      <c r="AA703" s="2">
        <v>0</v>
      </c>
      <c r="AB703" t="s">
        <v>1238</v>
      </c>
      <c r="AC703">
        <v>752</v>
      </c>
      <c r="AD703" t="s">
        <v>1280</v>
      </c>
      <c r="AE703">
        <v>1</v>
      </c>
      <c r="AF703" t="s">
        <v>1290</v>
      </c>
      <c r="AG703">
        <v>0</v>
      </c>
      <c r="AH703">
        <v>0</v>
      </c>
      <c r="AI703">
        <v>0</v>
      </c>
      <c r="AJ703">
        <v>1876</v>
      </c>
      <c r="AK703" t="s">
        <v>1194</v>
      </c>
      <c r="AL703">
        <v>1998</v>
      </c>
      <c r="AM703" s="4" t="s">
        <v>1308</v>
      </c>
      <c r="AN703">
        <v>1</v>
      </c>
      <c r="AO703" t="s">
        <v>1317</v>
      </c>
      <c r="AP703">
        <f t="shared" si="20"/>
        <v>0</v>
      </c>
      <c r="AQ703">
        <v>1</v>
      </c>
      <c r="AR703" t="s">
        <v>1992</v>
      </c>
      <c r="AS703" t="s">
        <v>1995</v>
      </c>
      <c r="AT703" t="s">
        <v>1996</v>
      </c>
      <c r="AU703" t="s">
        <v>1996</v>
      </c>
      <c r="AV703" t="s">
        <v>1996</v>
      </c>
      <c r="AW703" t="s">
        <v>1995</v>
      </c>
      <c r="AX703" t="s">
        <v>1194</v>
      </c>
      <c r="AY703" t="s">
        <v>1996</v>
      </c>
      <c r="AZ703">
        <v>2220</v>
      </c>
      <c r="BA703" t="s">
        <v>1194</v>
      </c>
      <c r="BB703" t="s">
        <v>1194</v>
      </c>
      <c r="BC703" s="3">
        <v>0</v>
      </c>
      <c r="BD703" s="3">
        <v>0</v>
      </c>
      <c r="BE703" s="3">
        <v>0</v>
      </c>
      <c r="BF703" s="3">
        <v>0</v>
      </c>
      <c r="BG703" s="3">
        <v>175</v>
      </c>
      <c r="BH703" s="3">
        <v>0</v>
      </c>
      <c r="BI703" s="3">
        <v>0</v>
      </c>
      <c r="BJ703" s="3">
        <v>6246.65</v>
      </c>
      <c r="BK703" s="3">
        <v>415.02</v>
      </c>
      <c r="BL703" s="3">
        <v>6319.43</v>
      </c>
      <c r="BM703" s="2">
        <f t="shared" ca="1" si="21"/>
        <v>3</v>
      </c>
      <c r="BN703" s="3">
        <v>100000</v>
      </c>
      <c r="BO703" s="3">
        <v>1000000</v>
      </c>
      <c r="BP703" s="3">
        <v>50000</v>
      </c>
      <c r="BQ703" s="3">
        <v>250000</v>
      </c>
      <c r="BR703" s="3">
        <v>50000</v>
      </c>
      <c r="BS703">
        <v>250000</v>
      </c>
      <c r="BT703">
        <v>0</v>
      </c>
      <c r="BU703">
        <v>0</v>
      </c>
      <c r="BV703">
        <v>1</v>
      </c>
      <c r="BW703">
        <v>0</v>
      </c>
      <c r="BX703">
        <v>0</v>
      </c>
      <c r="BY703">
        <v>0</v>
      </c>
      <c r="BZ703" t="s">
        <v>2949</v>
      </c>
      <c r="CA703" t="s">
        <v>1194</v>
      </c>
      <c r="CB703" t="s">
        <v>2952</v>
      </c>
    </row>
    <row r="704" spans="1:80" x14ac:dyDescent="0.25">
      <c r="A704">
        <v>703</v>
      </c>
      <c r="B704" t="s">
        <v>2717</v>
      </c>
      <c r="C704" s="1">
        <v>44729</v>
      </c>
      <c r="D704">
        <v>12</v>
      </c>
      <c r="E704" t="s">
        <v>4</v>
      </c>
      <c r="F704" t="s">
        <v>1311</v>
      </c>
      <c r="G704">
        <v>0</v>
      </c>
      <c r="H704" s="3">
        <v>1660000</v>
      </c>
      <c r="I704" s="3">
        <v>218000</v>
      </c>
      <c r="J704" s="3">
        <v>545000</v>
      </c>
      <c r="K704" s="3">
        <v>0</v>
      </c>
      <c r="L704" t="s">
        <v>1191</v>
      </c>
      <c r="M704">
        <v>1705123</v>
      </c>
      <c r="N704" t="s">
        <v>1496</v>
      </c>
      <c r="P704" t="s">
        <v>1770</v>
      </c>
      <c r="Q704" t="s">
        <v>1271</v>
      </c>
      <c r="R704">
        <v>53147</v>
      </c>
      <c r="S704" t="s">
        <v>1771</v>
      </c>
      <c r="T704" t="s">
        <v>965</v>
      </c>
      <c r="U704">
        <v>0</v>
      </c>
      <c r="V704">
        <v>2</v>
      </c>
      <c r="W704" t="s">
        <v>1194</v>
      </c>
      <c r="X704" t="s">
        <v>973</v>
      </c>
      <c r="Y704">
        <v>10000</v>
      </c>
      <c r="Z704" s="2" t="s">
        <v>1194</v>
      </c>
      <c r="AA704" s="2">
        <v>1</v>
      </c>
      <c r="AB704">
        <v>2500</v>
      </c>
      <c r="AC704">
        <v>734</v>
      </c>
      <c r="AD704" t="s">
        <v>1279</v>
      </c>
      <c r="AE704">
        <v>5</v>
      </c>
      <c r="AF704" t="s">
        <v>1290</v>
      </c>
      <c r="AG704">
        <v>0</v>
      </c>
      <c r="AH704">
        <v>0</v>
      </c>
      <c r="AI704">
        <v>0</v>
      </c>
      <c r="AJ704">
        <v>1922</v>
      </c>
      <c r="AK704">
        <v>2019</v>
      </c>
      <c r="AL704">
        <v>2019</v>
      </c>
      <c r="AM704" s="4" t="s">
        <v>1238</v>
      </c>
      <c r="AN704">
        <v>1</v>
      </c>
      <c r="AO704" t="s">
        <v>1315</v>
      </c>
      <c r="AP704">
        <f t="shared" si="20"/>
        <v>0</v>
      </c>
      <c r="AQ704">
        <v>1</v>
      </c>
      <c r="AR704" t="s">
        <v>1992</v>
      </c>
      <c r="AS704" t="s">
        <v>1996</v>
      </c>
      <c r="AT704" t="s">
        <v>1996</v>
      </c>
      <c r="AU704" t="s">
        <v>1996</v>
      </c>
      <c r="AV704" t="s">
        <v>1995</v>
      </c>
      <c r="AW704" t="s">
        <v>1996</v>
      </c>
      <c r="AX704" t="s">
        <v>1194</v>
      </c>
      <c r="AY704" t="s">
        <v>1996</v>
      </c>
      <c r="AZ704">
        <v>1700</v>
      </c>
      <c r="BA704" t="s">
        <v>1194</v>
      </c>
      <c r="BB704" t="s">
        <v>1194</v>
      </c>
      <c r="BC704" s="3">
        <v>0</v>
      </c>
      <c r="BD704" s="3">
        <v>0</v>
      </c>
      <c r="BE704" s="3">
        <v>0</v>
      </c>
      <c r="BF704" s="3">
        <v>0</v>
      </c>
      <c r="BG704" s="3">
        <v>210</v>
      </c>
      <c r="BH704" s="3">
        <v>0</v>
      </c>
      <c r="BI704" s="3">
        <v>0</v>
      </c>
      <c r="BJ704" s="3">
        <v>4300.28</v>
      </c>
      <c r="BK704" s="3">
        <v>110</v>
      </c>
      <c r="BL704" s="3">
        <v>4410.28</v>
      </c>
      <c r="BM704" s="2">
        <f t="shared" ca="1" si="21"/>
        <v>4</v>
      </c>
      <c r="BN704" s="3" t="s">
        <v>2916</v>
      </c>
      <c r="BO704" s="3">
        <v>25000</v>
      </c>
      <c r="BP704" s="3">
        <v>200000</v>
      </c>
      <c r="BQ704" s="3">
        <v>250000</v>
      </c>
      <c r="BR704" s="3">
        <v>250000</v>
      </c>
      <c r="BS704">
        <v>1000000</v>
      </c>
      <c r="BT704">
        <v>0</v>
      </c>
      <c r="BU704">
        <v>0</v>
      </c>
      <c r="BV704">
        <v>0</v>
      </c>
      <c r="BW704">
        <v>1</v>
      </c>
      <c r="BX704">
        <v>1</v>
      </c>
      <c r="BY704">
        <v>0</v>
      </c>
      <c r="BZ704" t="s">
        <v>2958</v>
      </c>
      <c r="CA704" t="s">
        <v>1194</v>
      </c>
      <c r="CB704" t="s">
        <v>2941</v>
      </c>
    </row>
    <row r="705" spans="1:80" x14ac:dyDescent="0.25">
      <c r="A705">
        <v>704</v>
      </c>
      <c r="B705" t="s">
        <v>2718</v>
      </c>
      <c r="C705" s="1">
        <v>44785</v>
      </c>
      <c r="D705">
        <v>12</v>
      </c>
      <c r="E705" t="s">
        <v>5</v>
      </c>
      <c r="F705" t="s">
        <v>1310</v>
      </c>
      <c r="G705">
        <v>1</v>
      </c>
      <c r="H705" s="3">
        <v>3542500</v>
      </c>
      <c r="I705" s="3">
        <v>708500</v>
      </c>
      <c r="J705" s="3">
        <v>1417000</v>
      </c>
      <c r="K705" s="3">
        <v>708500</v>
      </c>
      <c r="L705" t="s">
        <v>1191</v>
      </c>
      <c r="M705">
        <v>864985</v>
      </c>
      <c r="N705" t="s">
        <v>1497</v>
      </c>
      <c r="P705" t="s">
        <v>1868</v>
      </c>
      <c r="Q705" t="s">
        <v>1268</v>
      </c>
      <c r="R705">
        <v>24179</v>
      </c>
      <c r="S705" t="s">
        <v>1869</v>
      </c>
      <c r="T705" t="s">
        <v>965</v>
      </c>
      <c r="U705">
        <v>0</v>
      </c>
      <c r="V705">
        <v>2</v>
      </c>
      <c r="W705" t="s">
        <v>1194</v>
      </c>
      <c r="X705" t="s">
        <v>973</v>
      </c>
      <c r="Y705">
        <v>10000</v>
      </c>
      <c r="Z705" s="2" t="s">
        <v>1194</v>
      </c>
      <c r="AA705" s="2" t="s">
        <v>1238</v>
      </c>
      <c r="AB705" t="s">
        <v>1238</v>
      </c>
      <c r="AC705">
        <v>718</v>
      </c>
      <c r="AD705" t="s">
        <v>1283</v>
      </c>
      <c r="AE705">
        <v>3</v>
      </c>
      <c r="AF705" t="s">
        <v>1290</v>
      </c>
      <c r="AG705">
        <v>0</v>
      </c>
      <c r="AH705">
        <v>0</v>
      </c>
      <c r="AI705">
        <v>0</v>
      </c>
      <c r="AJ705">
        <v>1932</v>
      </c>
      <c r="AK705">
        <v>2016</v>
      </c>
      <c r="AL705">
        <v>2016</v>
      </c>
      <c r="AM705" s="4" t="s">
        <v>1304</v>
      </c>
      <c r="AN705">
        <v>1</v>
      </c>
      <c r="AO705" t="s">
        <v>1315</v>
      </c>
      <c r="AP705">
        <f t="shared" si="20"/>
        <v>0</v>
      </c>
      <c r="AQ705">
        <v>1</v>
      </c>
      <c r="AR705" t="s">
        <v>1992</v>
      </c>
      <c r="AS705" t="s">
        <v>1996</v>
      </c>
      <c r="AT705" t="s">
        <v>1995</v>
      </c>
      <c r="AU705" t="s">
        <v>1995</v>
      </c>
      <c r="AV705" t="s">
        <v>1995</v>
      </c>
      <c r="AW705" t="s">
        <v>1996</v>
      </c>
      <c r="AX705" t="s">
        <v>2003</v>
      </c>
      <c r="AY705" t="s">
        <v>1996</v>
      </c>
      <c r="AZ705">
        <v>7927</v>
      </c>
      <c r="BA705" t="s">
        <v>1194</v>
      </c>
      <c r="BB705" t="s">
        <v>1194</v>
      </c>
      <c r="BC705" s="3">
        <v>0</v>
      </c>
      <c r="BD705" s="3">
        <v>0</v>
      </c>
      <c r="BE705" s="3">
        <v>0</v>
      </c>
      <c r="BF705" s="3">
        <v>0</v>
      </c>
      <c r="BG705" s="3">
        <v>210</v>
      </c>
      <c r="BH705" s="3">
        <v>0</v>
      </c>
      <c r="BI705" s="3">
        <v>0</v>
      </c>
      <c r="BJ705" s="3">
        <v>4942.47</v>
      </c>
      <c r="BK705" s="3">
        <v>475</v>
      </c>
      <c r="BL705" s="3">
        <v>5417.47</v>
      </c>
      <c r="BM705" s="2">
        <f t="shared" ca="1" si="21"/>
        <v>1</v>
      </c>
      <c r="BN705" s="3">
        <v>250000</v>
      </c>
      <c r="BO705" s="3">
        <v>50000</v>
      </c>
      <c r="BP705" s="3">
        <v>100000</v>
      </c>
      <c r="BQ705" s="3">
        <v>500000</v>
      </c>
      <c r="BR705" s="3" t="s">
        <v>2916</v>
      </c>
      <c r="BS705">
        <v>50000</v>
      </c>
      <c r="BT705">
        <v>0</v>
      </c>
      <c r="BU705">
        <v>0</v>
      </c>
      <c r="BV705">
        <v>1</v>
      </c>
      <c r="BW705">
        <v>0</v>
      </c>
      <c r="BX705">
        <v>0</v>
      </c>
      <c r="BY705">
        <v>0</v>
      </c>
      <c r="BZ705" t="s">
        <v>2949</v>
      </c>
      <c r="CA705" t="s">
        <v>1194</v>
      </c>
      <c r="CB705" t="s">
        <v>2949</v>
      </c>
    </row>
    <row r="706" spans="1:80" x14ac:dyDescent="0.25">
      <c r="A706">
        <v>705</v>
      </c>
      <c r="B706" t="s">
        <v>2719</v>
      </c>
      <c r="C706" s="1">
        <v>44866</v>
      </c>
      <c r="D706">
        <v>12</v>
      </c>
      <c r="E706" t="s">
        <v>4</v>
      </c>
      <c r="F706" t="s">
        <v>1311</v>
      </c>
      <c r="G706">
        <v>0</v>
      </c>
      <c r="H706" s="3">
        <v>4381908</v>
      </c>
      <c r="I706" s="3">
        <v>156273</v>
      </c>
      <c r="J706" s="3">
        <v>2096408</v>
      </c>
      <c r="K706" s="3">
        <v>876381.6</v>
      </c>
      <c r="L706" t="s">
        <v>1191</v>
      </c>
      <c r="M706">
        <v>874688</v>
      </c>
      <c r="N706" t="s">
        <v>1498</v>
      </c>
      <c r="P706" t="s">
        <v>1870</v>
      </c>
      <c r="Q706" t="s">
        <v>1250</v>
      </c>
      <c r="R706">
        <v>21093</v>
      </c>
      <c r="S706" t="s">
        <v>1871</v>
      </c>
      <c r="T706" t="s">
        <v>1238</v>
      </c>
      <c r="U706">
        <v>0</v>
      </c>
      <c r="V706">
        <v>12</v>
      </c>
      <c r="W706" t="s">
        <v>1194</v>
      </c>
      <c r="X706" t="s">
        <v>973</v>
      </c>
      <c r="Y706">
        <v>10000</v>
      </c>
      <c r="Z706" s="2" t="s">
        <v>1194</v>
      </c>
      <c r="AA706" s="2" t="s">
        <v>1238</v>
      </c>
      <c r="AB706" t="s">
        <v>1238</v>
      </c>
      <c r="AC706" t="s">
        <v>1194</v>
      </c>
      <c r="AD706" t="s">
        <v>1279</v>
      </c>
      <c r="AE706">
        <v>6</v>
      </c>
      <c r="AF706" t="s">
        <v>1290</v>
      </c>
      <c r="AG706">
        <v>0</v>
      </c>
      <c r="AH706">
        <v>0</v>
      </c>
      <c r="AI706">
        <v>0</v>
      </c>
      <c r="AJ706">
        <v>1990</v>
      </c>
      <c r="AK706" t="s">
        <v>1194</v>
      </c>
      <c r="AL706" t="s">
        <v>1194</v>
      </c>
      <c r="AM706" s="4" t="s">
        <v>1238</v>
      </c>
      <c r="AN706">
        <v>1</v>
      </c>
      <c r="AO706" t="s">
        <v>1316</v>
      </c>
      <c r="AP706">
        <f t="shared" si="20"/>
        <v>0</v>
      </c>
      <c r="AQ706">
        <v>1</v>
      </c>
      <c r="AR706" t="s">
        <v>1992</v>
      </c>
      <c r="AS706" t="s">
        <v>1996</v>
      </c>
      <c r="AT706" t="s">
        <v>1995</v>
      </c>
      <c r="AU706" t="s">
        <v>1995</v>
      </c>
      <c r="AV706" t="s">
        <v>1996</v>
      </c>
      <c r="AW706" t="s">
        <v>1996</v>
      </c>
      <c r="AX706" t="s">
        <v>2003</v>
      </c>
      <c r="AY706" t="s">
        <v>1996</v>
      </c>
      <c r="AZ706">
        <v>4954</v>
      </c>
      <c r="BA706" t="s">
        <v>1194</v>
      </c>
      <c r="BB706" t="s">
        <v>1194</v>
      </c>
      <c r="BC706" s="3">
        <v>0</v>
      </c>
      <c r="BD706" s="3">
        <v>0</v>
      </c>
      <c r="BE706" s="3">
        <v>0</v>
      </c>
      <c r="BF706" s="3">
        <v>0</v>
      </c>
      <c r="BG706" s="3">
        <v>150</v>
      </c>
      <c r="BH706" s="3">
        <v>0</v>
      </c>
      <c r="BI706" s="3">
        <v>0</v>
      </c>
      <c r="BJ706" s="3">
        <v>8975.69</v>
      </c>
      <c r="BK706" s="3">
        <v>0</v>
      </c>
      <c r="BL706" s="3">
        <v>8975.69</v>
      </c>
      <c r="BM706" s="2">
        <f t="shared" ca="1" si="21"/>
        <v>1</v>
      </c>
      <c r="BN706" s="3">
        <v>500000</v>
      </c>
      <c r="BO706" s="3">
        <v>1000000</v>
      </c>
      <c r="BP706" s="3" t="s">
        <v>2922</v>
      </c>
      <c r="BQ706" s="3">
        <v>500000</v>
      </c>
      <c r="BR706" s="3">
        <v>500000</v>
      </c>
      <c r="BS706">
        <v>50000</v>
      </c>
      <c r="BT706">
        <v>0</v>
      </c>
      <c r="BU706">
        <v>0</v>
      </c>
      <c r="BV706">
        <v>1</v>
      </c>
      <c r="BW706">
        <v>0</v>
      </c>
      <c r="BX706">
        <v>0</v>
      </c>
      <c r="BY706">
        <v>0</v>
      </c>
      <c r="BZ706" t="s">
        <v>2949</v>
      </c>
      <c r="CA706" t="s">
        <v>1194</v>
      </c>
      <c r="CB706" t="s">
        <v>2949</v>
      </c>
    </row>
    <row r="707" spans="1:80" x14ac:dyDescent="0.25">
      <c r="A707">
        <v>706</v>
      </c>
      <c r="B707" t="s">
        <v>2720</v>
      </c>
      <c r="C707" s="1">
        <v>44833</v>
      </c>
      <c r="D707">
        <v>12</v>
      </c>
      <c r="E707" t="s">
        <v>4</v>
      </c>
      <c r="F707" t="s">
        <v>1311</v>
      </c>
      <c r="G707">
        <v>0</v>
      </c>
      <c r="H707" s="3">
        <v>0</v>
      </c>
      <c r="I707" s="3">
        <v>0</v>
      </c>
      <c r="J707" s="3">
        <v>1199000</v>
      </c>
      <c r="K707" s="3">
        <v>0</v>
      </c>
      <c r="L707" t="s">
        <v>1192</v>
      </c>
      <c r="M707">
        <v>883583</v>
      </c>
      <c r="N707" t="s">
        <v>1499</v>
      </c>
      <c r="P707" t="s">
        <v>1872</v>
      </c>
      <c r="Q707" t="s">
        <v>1267</v>
      </c>
      <c r="R707">
        <v>84060</v>
      </c>
      <c r="S707" t="s">
        <v>1854</v>
      </c>
      <c r="T707" t="s">
        <v>965</v>
      </c>
      <c r="U707">
        <v>0</v>
      </c>
      <c r="V707">
        <v>1</v>
      </c>
      <c r="W707" t="s">
        <v>1194</v>
      </c>
      <c r="X707" t="s">
        <v>973</v>
      </c>
      <c r="Y707">
        <v>10000</v>
      </c>
      <c r="Z707" s="2" t="s">
        <v>1194</v>
      </c>
      <c r="AA707" s="2" t="s">
        <v>1238</v>
      </c>
      <c r="AB707" t="s">
        <v>1238</v>
      </c>
      <c r="AC707">
        <v>795</v>
      </c>
      <c r="AD707" t="s">
        <v>1279</v>
      </c>
      <c r="AE707">
        <v>3</v>
      </c>
      <c r="AF707" t="s">
        <v>1290</v>
      </c>
      <c r="AG707">
        <v>0</v>
      </c>
      <c r="AH707">
        <v>0</v>
      </c>
      <c r="AI707">
        <v>0</v>
      </c>
      <c r="AJ707">
        <v>2002</v>
      </c>
      <c r="AK707" t="s">
        <v>1194</v>
      </c>
      <c r="AL707" t="s">
        <v>1194</v>
      </c>
      <c r="AM707" s="4" t="s">
        <v>1238</v>
      </c>
      <c r="AN707">
        <v>1</v>
      </c>
      <c r="AO707" t="s">
        <v>1315</v>
      </c>
      <c r="AP707">
        <f t="shared" si="20"/>
        <v>0</v>
      </c>
      <c r="AQ707">
        <v>0</v>
      </c>
      <c r="AR707" t="s">
        <v>1993</v>
      </c>
      <c r="AS707" t="s">
        <v>1996</v>
      </c>
      <c r="AT707" t="s">
        <v>1995</v>
      </c>
      <c r="AU707" t="s">
        <v>1995</v>
      </c>
      <c r="AV707" t="s">
        <v>1996</v>
      </c>
      <c r="AW707" t="s">
        <v>1996</v>
      </c>
      <c r="AX707" t="s">
        <v>1194</v>
      </c>
      <c r="AY707" t="s">
        <v>1996</v>
      </c>
      <c r="AZ707">
        <v>2500</v>
      </c>
      <c r="BA707">
        <v>1</v>
      </c>
      <c r="BB707" t="s">
        <v>2017</v>
      </c>
      <c r="BC707" s="3">
        <v>0</v>
      </c>
      <c r="BD707" s="3">
        <v>1906.56</v>
      </c>
      <c r="BE707" s="3">
        <v>0</v>
      </c>
      <c r="BF707" s="3">
        <v>1906.56</v>
      </c>
      <c r="BG707" s="3">
        <v>150</v>
      </c>
      <c r="BH707" s="3">
        <v>0</v>
      </c>
      <c r="BI707" s="3">
        <v>0</v>
      </c>
      <c r="BJ707" s="3">
        <v>7332.21</v>
      </c>
      <c r="BK707" s="3">
        <v>120</v>
      </c>
      <c r="BL707" s="3">
        <v>7452.21</v>
      </c>
      <c r="BM707" s="2">
        <f t="shared" ca="1" si="21"/>
        <v>1</v>
      </c>
      <c r="BN707" s="3">
        <v>500000</v>
      </c>
      <c r="BO707" s="3">
        <v>500000</v>
      </c>
      <c r="BP707" s="3">
        <v>50000</v>
      </c>
      <c r="BQ707" s="3">
        <v>2000000</v>
      </c>
      <c r="BR707" s="3">
        <v>50000</v>
      </c>
      <c r="BS707">
        <v>50000</v>
      </c>
      <c r="BT707">
        <v>0</v>
      </c>
      <c r="BU707">
        <v>0</v>
      </c>
      <c r="BV707">
        <v>0</v>
      </c>
      <c r="BW707">
        <v>1</v>
      </c>
      <c r="BX707">
        <v>1</v>
      </c>
      <c r="BY707">
        <v>1</v>
      </c>
      <c r="BZ707" t="s">
        <v>1194</v>
      </c>
      <c r="CA707" t="s">
        <v>1194</v>
      </c>
      <c r="CB707" t="s">
        <v>1194</v>
      </c>
    </row>
    <row r="708" spans="1:80" x14ac:dyDescent="0.25">
      <c r="A708">
        <v>707</v>
      </c>
      <c r="B708" t="s">
        <v>2721</v>
      </c>
      <c r="C708" s="1">
        <v>44916</v>
      </c>
      <c r="D708">
        <v>12</v>
      </c>
      <c r="E708" t="s">
        <v>4</v>
      </c>
      <c r="F708" t="s">
        <v>1311</v>
      </c>
      <c r="G708">
        <v>0</v>
      </c>
      <c r="H708" s="3">
        <v>6000000</v>
      </c>
      <c r="I708" s="3">
        <v>826995</v>
      </c>
      <c r="J708" s="3">
        <v>15000</v>
      </c>
      <c r="K708" s="3">
        <v>0</v>
      </c>
      <c r="L708" t="s">
        <v>1191</v>
      </c>
      <c r="M708">
        <v>894963</v>
      </c>
      <c r="N708" t="s">
        <v>1500</v>
      </c>
      <c r="P708" t="s">
        <v>1848</v>
      </c>
      <c r="Q708" t="s">
        <v>1243</v>
      </c>
      <c r="R708">
        <v>96743</v>
      </c>
      <c r="S708" t="s">
        <v>1804</v>
      </c>
      <c r="T708" t="s">
        <v>1988</v>
      </c>
      <c r="U708">
        <v>0</v>
      </c>
      <c r="V708">
        <v>1</v>
      </c>
      <c r="W708" t="s">
        <v>1194</v>
      </c>
      <c r="X708" t="s">
        <v>973</v>
      </c>
      <c r="Y708">
        <v>100000</v>
      </c>
      <c r="Z708" s="2" t="s">
        <v>1194</v>
      </c>
      <c r="AA708" s="2" t="s">
        <v>1238</v>
      </c>
      <c r="AB708" t="s">
        <v>1238</v>
      </c>
      <c r="AC708">
        <v>836</v>
      </c>
      <c r="AD708" t="s">
        <v>1279</v>
      </c>
      <c r="AE708">
        <v>9</v>
      </c>
      <c r="AF708" t="s">
        <v>1290</v>
      </c>
      <c r="AG708">
        <v>0</v>
      </c>
      <c r="AH708">
        <v>0</v>
      </c>
      <c r="AI708">
        <v>0</v>
      </c>
      <c r="AJ708">
        <v>1982</v>
      </c>
      <c r="AK708" t="s">
        <v>1194</v>
      </c>
      <c r="AL708" t="s">
        <v>1194</v>
      </c>
      <c r="AM708" s="4" t="s">
        <v>1238</v>
      </c>
      <c r="AN708">
        <v>0</v>
      </c>
      <c r="AO708" t="s">
        <v>1316</v>
      </c>
      <c r="AP708">
        <f t="shared" ref="AP708:AP771" si="22">AI708</f>
        <v>0</v>
      </c>
      <c r="AQ708">
        <v>1</v>
      </c>
      <c r="AR708" t="s">
        <v>1992</v>
      </c>
      <c r="AS708" t="s">
        <v>1995</v>
      </c>
      <c r="AT708" t="s">
        <v>1995</v>
      </c>
      <c r="AU708" t="s">
        <v>1996</v>
      </c>
      <c r="AV708" t="s">
        <v>1996</v>
      </c>
      <c r="AW708" t="s">
        <v>1996</v>
      </c>
      <c r="AX708" t="s">
        <v>2005</v>
      </c>
      <c r="AY708" t="s">
        <v>1995</v>
      </c>
      <c r="AZ708">
        <v>4642</v>
      </c>
      <c r="BA708" t="s">
        <v>1194</v>
      </c>
      <c r="BB708" t="s">
        <v>1194</v>
      </c>
      <c r="BC708" s="3">
        <v>0</v>
      </c>
      <c r="BD708" s="3">
        <v>0</v>
      </c>
      <c r="BE708" s="3">
        <v>0</v>
      </c>
      <c r="BF708" s="3">
        <v>0</v>
      </c>
      <c r="BG708" s="3">
        <v>175</v>
      </c>
      <c r="BH708" s="3">
        <v>0</v>
      </c>
      <c r="BI708" s="3">
        <v>0</v>
      </c>
      <c r="BJ708" s="3">
        <v>13584.84</v>
      </c>
      <c r="BK708" s="3">
        <v>-20</v>
      </c>
      <c r="BL708" s="3">
        <v>13564.84</v>
      </c>
      <c r="BM708" s="2">
        <f t="shared" ref="BM708:BM771" ca="1" si="23">IF(ROUND((6*RAND()),0)=0,1,(ROUND((6*RAND()),0)))</f>
        <v>1</v>
      </c>
      <c r="BN708" s="3">
        <v>500000</v>
      </c>
      <c r="BO708" s="3">
        <v>25000</v>
      </c>
      <c r="BP708" s="3">
        <v>100000</v>
      </c>
      <c r="BQ708" s="3">
        <v>500000</v>
      </c>
      <c r="BR708" s="3">
        <v>250000</v>
      </c>
      <c r="BS708">
        <v>1000000</v>
      </c>
      <c r="BT708">
        <v>0</v>
      </c>
      <c r="BU708">
        <v>0</v>
      </c>
      <c r="BV708">
        <v>0</v>
      </c>
      <c r="BW708">
        <v>1</v>
      </c>
      <c r="BX708">
        <v>1</v>
      </c>
      <c r="BY708">
        <v>0</v>
      </c>
      <c r="BZ708" t="s">
        <v>2962</v>
      </c>
      <c r="CA708" t="s">
        <v>1194</v>
      </c>
      <c r="CB708" t="s">
        <v>2941</v>
      </c>
    </row>
    <row r="709" spans="1:80" x14ac:dyDescent="0.25">
      <c r="A709">
        <v>708</v>
      </c>
      <c r="B709" t="s">
        <v>2722</v>
      </c>
      <c r="C709" s="1">
        <v>44868</v>
      </c>
      <c r="D709">
        <v>21</v>
      </c>
      <c r="E709" t="s">
        <v>5</v>
      </c>
      <c r="F709" t="s">
        <v>1310</v>
      </c>
      <c r="G709">
        <v>0</v>
      </c>
      <c r="H709" s="3">
        <v>5043536</v>
      </c>
      <c r="I709" s="3">
        <v>743873</v>
      </c>
      <c r="J709" s="3">
        <v>1513061</v>
      </c>
      <c r="K709" s="3">
        <v>1008707.2</v>
      </c>
      <c r="L709" t="s">
        <v>1191</v>
      </c>
      <c r="M709">
        <v>909925</v>
      </c>
      <c r="N709" t="s">
        <v>1501</v>
      </c>
      <c r="P709" t="s">
        <v>1712</v>
      </c>
      <c r="Q709" t="s">
        <v>1239</v>
      </c>
      <c r="R709">
        <v>80304</v>
      </c>
      <c r="S709" t="s">
        <v>1712</v>
      </c>
      <c r="T709" t="s">
        <v>965</v>
      </c>
      <c r="U709">
        <v>0</v>
      </c>
      <c r="V709">
        <v>76</v>
      </c>
      <c r="W709" t="s">
        <v>1194</v>
      </c>
      <c r="X709" t="s">
        <v>973</v>
      </c>
      <c r="Y709">
        <v>10000</v>
      </c>
      <c r="Z709" s="2" t="s">
        <v>1194</v>
      </c>
      <c r="AA709" s="2">
        <v>1</v>
      </c>
      <c r="AB709">
        <v>0.01</v>
      </c>
      <c r="AC709">
        <v>756</v>
      </c>
      <c r="AD709" t="s">
        <v>1279</v>
      </c>
      <c r="AE709">
        <v>3</v>
      </c>
      <c r="AF709" t="s">
        <v>1290</v>
      </c>
      <c r="AG709">
        <v>0</v>
      </c>
      <c r="AH709">
        <v>0</v>
      </c>
      <c r="AI709">
        <v>0</v>
      </c>
      <c r="AJ709">
        <v>2016</v>
      </c>
      <c r="AK709" t="s">
        <v>1194</v>
      </c>
      <c r="AL709" t="s">
        <v>1194</v>
      </c>
      <c r="AM709" s="4" t="s">
        <v>1304</v>
      </c>
      <c r="AN709">
        <v>1</v>
      </c>
      <c r="AO709" t="s">
        <v>1317</v>
      </c>
      <c r="AP709">
        <f t="shared" si="22"/>
        <v>0</v>
      </c>
      <c r="AQ709">
        <v>1</v>
      </c>
      <c r="AR709" t="s">
        <v>1992</v>
      </c>
      <c r="AS709" t="s">
        <v>1996</v>
      </c>
      <c r="AT709" t="s">
        <v>1996</v>
      </c>
      <c r="AU709" t="s">
        <v>1996</v>
      </c>
      <c r="AV709" t="s">
        <v>1995</v>
      </c>
      <c r="AW709" t="s">
        <v>1995</v>
      </c>
      <c r="AX709" t="s">
        <v>1194</v>
      </c>
      <c r="AY709" t="s">
        <v>1996</v>
      </c>
      <c r="AZ709">
        <v>6279</v>
      </c>
      <c r="BA709" t="s">
        <v>1194</v>
      </c>
      <c r="BB709" t="s">
        <v>2016</v>
      </c>
      <c r="BC709" s="3">
        <v>0</v>
      </c>
      <c r="BD709" s="3">
        <v>0</v>
      </c>
      <c r="BE709" s="3">
        <v>0</v>
      </c>
      <c r="BF709" s="3">
        <v>1006.95</v>
      </c>
      <c r="BG709" s="3">
        <v>175</v>
      </c>
      <c r="BH709" s="3">
        <v>0</v>
      </c>
      <c r="BI709" s="3">
        <v>0</v>
      </c>
      <c r="BJ709" s="3">
        <v>12643</v>
      </c>
      <c r="BK709" s="3">
        <v>601</v>
      </c>
      <c r="BL709" s="3">
        <v>13244</v>
      </c>
      <c r="BM709" s="2">
        <f t="shared" ca="1" si="23"/>
        <v>2</v>
      </c>
      <c r="BN709" s="3">
        <v>100000</v>
      </c>
      <c r="BO709" s="3">
        <v>50000</v>
      </c>
      <c r="BP709" s="3">
        <v>50000</v>
      </c>
      <c r="BQ709" s="3">
        <v>250000</v>
      </c>
      <c r="BR709" s="3">
        <v>50000</v>
      </c>
      <c r="BS709">
        <v>50000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 t="s">
        <v>2958</v>
      </c>
      <c r="CA709" t="s">
        <v>1194</v>
      </c>
      <c r="CB709" t="s">
        <v>2949</v>
      </c>
    </row>
    <row r="710" spans="1:80" x14ac:dyDescent="0.25">
      <c r="A710">
        <v>709</v>
      </c>
      <c r="B710" t="s">
        <v>2723</v>
      </c>
      <c r="C710" s="1">
        <v>44958</v>
      </c>
      <c r="D710">
        <v>18</v>
      </c>
      <c r="E710" t="s">
        <v>4</v>
      </c>
      <c r="F710" t="s">
        <v>1311</v>
      </c>
      <c r="G710">
        <v>0</v>
      </c>
      <c r="H710" s="3">
        <v>3500000</v>
      </c>
      <c r="I710" s="3">
        <v>500000</v>
      </c>
      <c r="J710" s="3">
        <v>100000</v>
      </c>
      <c r="K710" s="3">
        <v>0</v>
      </c>
      <c r="L710" t="s">
        <v>1191</v>
      </c>
      <c r="M710">
        <v>915244</v>
      </c>
      <c r="N710" t="s">
        <v>1502</v>
      </c>
      <c r="P710" t="s">
        <v>1800</v>
      </c>
      <c r="Q710" t="s">
        <v>1270</v>
      </c>
      <c r="R710">
        <v>98105</v>
      </c>
      <c r="S710" t="s">
        <v>1796</v>
      </c>
      <c r="T710" t="s">
        <v>965</v>
      </c>
      <c r="U710">
        <v>0</v>
      </c>
      <c r="V710">
        <v>54</v>
      </c>
      <c r="W710" t="s">
        <v>1194</v>
      </c>
      <c r="X710" t="s">
        <v>973</v>
      </c>
      <c r="Y710">
        <v>25000</v>
      </c>
      <c r="Z710" s="2" t="s">
        <v>1194</v>
      </c>
      <c r="AA710" s="2" t="s">
        <v>1238</v>
      </c>
      <c r="AB710" t="s">
        <v>1238</v>
      </c>
      <c r="AC710" t="s">
        <v>1194</v>
      </c>
      <c r="AD710" t="s">
        <v>1284</v>
      </c>
      <c r="AE710">
        <v>1</v>
      </c>
      <c r="AF710" t="s">
        <v>1290</v>
      </c>
      <c r="AG710">
        <v>0</v>
      </c>
      <c r="AH710">
        <v>0</v>
      </c>
      <c r="AI710">
        <v>0</v>
      </c>
      <c r="AJ710">
        <v>1941</v>
      </c>
      <c r="AK710" t="s">
        <v>1194</v>
      </c>
      <c r="AL710">
        <v>2008</v>
      </c>
      <c r="AM710" s="4" t="s">
        <v>1238</v>
      </c>
      <c r="AN710">
        <v>0</v>
      </c>
      <c r="AO710" t="s">
        <v>1317</v>
      </c>
      <c r="AP710">
        <f t="shared" si="22"/>
        <v>0</v>
      </c>
      <c r="AQ710">
        <v>0</v>
      </c>
      <c r="AR710" t="s">
        <v>1993</v>
      </c>
      <c r="AS710" t="s">
        <v>1995</v>
      </c>
      <c r="AT710" t="s">
        <v>1996</v>
      </c>
      <c r="AU710" t="s">
        <v>1995</v>
      </c>
      <c r="AV710" t="s">
        <v>1995</v>
      </c>
      <c r="AW710" t="s">
        <v>1996</v>
      </c>
      <c r="AX710" t="s">
        <v>1194</v>
      </c>
      <c r="AY710" t="s">
        <v>1996</v>
      </c>
      <c r="AZ710">
        <v>3830</v>
      </c>
      <c r="BA710" t="s">
        <v>1194</v>
      </c>
      <c r="BB710" t="s">
        <v>2014</v>
      </c>
      <c r="BC710" s="3">
        <v>0</v>
      </c>
      <c r="BD710" s="3">
        <v>0</v>
      </c>
      <c r="BE710" s="3">
        <v>0</v>
      </c>
      <c r="BF710" s="3">
        <v>0</v>
      </c>
      <c r="BG710" s="3">
        <v>110</v>
      </c>
      <c r="BH710" s="3">
        <v>0</v>
      </c>
      <c r="BI710" s="3">
        <v>0</v>
      </c>
      <c r="BJ710" s="3">
        <v>10449.959999999999</v>
      </c>
      <c r="BK710" s="3">
        <v>228</v>
      </c>
      <c r="BL710" s="3">
        <v>10677.96</v>
      </c>
      <c r="BM710" s="2">
        <f t="shared" ca="1" si="23"/>
        <v>5</v>
      </c>
      <c r="BN710" s="3" t="s">
        <v>2916</v>
      </c>
      <c r="BO710" s="3">
        <v>20000</v>
      </c>
      <c r="BP710" s="3">
        <v>50000</v>
      </c>
      <c r="BQ710" s="3">
        <v>500000</v>
      </c>
      <c r="BR710" s="3">
        <v>1000000</v>
      </c>
      <c r="BS710">
        <v>500000</v>
      </c>
      <c r="BT710">
        <v>0</v>
      </c>
      <c r="BU710">
        <v>0</v>
      </c>
      <c r="BV710">
        <v>0</v>
      </c>
      <c r="BW710">
        <v>1</v>
      </c>
      <c r="BX710">
        <v>1</v>
      </c>
      <c r="BY710">
        <v>0</v>
      </c>
      <c r="BZ710" t="s">
        <v>2960</v>
      </c>
      <c r="CA710" t="s">
        <v>1194</v>
      </c>
      <c r="CB710" t="s">
        <v>2949</v>
      </c>
    </row>
    <row r="711" spans="1:80" x14ac:dyDescent="0.25">
      <c r="A711">
        <v>710</v>
      </c>
      <c r="B711" t="s">
        <v>2724</v>
      </c>
      <c r="C711" s="1">
        <v>44847</v>
      </c>
      <c r="D711">
        <v>12</v>
      </c>
      <c r="E711" t="s">
        <v>4</v>
      </c>
      <c r="F711" t="s">
        <v>1311</v>
      </c>
      <c r="G711">
        <v>1</v>
      </c>
      <c r="H711" s="3">
        <v>5661460</v>
      </c>
      <c r="I711" s="3">
        <v>1132292</v>
      </c>
      <c r="J711" s="3">
        <v>1090000</v>
      </c>
      <c r="K711" s="3">
        <v>1132292</v>
      </c>
      <c r="L711" t="s">
        <v>1191</v>
      </c>
      <c r="M711">
        <v>1558188</v>
      </c>
      <c r="N711" t="s">
        <v>1503</v>
      </c>
      <c r="P711" t="s">
        <v>1873</v>
      </c>
      <c r="Q711" t="s">
        <v>1239</v>
      </c>
      <c r="R711">
        <v>80113</v>
      </c>
      <c r="S711" t="s">
        <v>1811</v>
      </c>
      <c r="T711" t="s">
        <v>965</v>
      </c>
      <c r="U711">
        <v>0</v>
      </c>
      <c r="V711">
        <v>108</v>
      </c>
      <c r="W711" t="s">
        <v>1194</v>
      </c>
      <c r="X711" t="s">
        <v>973</v>
      </c>
      <c r="Y711">
        <v>10000</v>
      </c>
      <c r="Z711" s="2">
        <v>1.0000070649999999</v>
      </c>
      <c r="AA711" s="2">
        <v>1</v>
      </c>
      <c r="AB711">
        <v>0.03</v>
      </c>
      <c r="AC711">
        <v>798</v>
      </c>
      <c r="AD711" t="s">
        <v>1284</v>
      </c>
      <c r="AE711">
        <v>1</v>
      </c>
      <c r="AF711" t="s">
        <v>1290</v>
      </c>
      <c r="AG711">
        <v>0</v>
      </c>
      <c r="AH711">
        <v>0</v>
      </c>
      <c r="AI711">
        <v>0</v>
      </c>
      <c r="AJ711">
        <v>1995</v>
      </c>
      <c r="AK711" t="s">
        <v>1194</v>
      </c>
      <c r="AL711">
        <v>1995</v>
      </c>
      <c r="AM711" s="4" t="s">
        <v>1238</v>
      </c>
      <c r="AN711">
        <v>1</v>
      </c>
      <c r="AO711" t="s">
        <v>1315</v>
      </c>
      <c r="AP711">
        <f t="shared" si="22"/>
        <v>0</v>
      </c>
      <c r="AQ711">
        <v>1</v>
      </c>
      <c r="AR711" t="s">
        <v>1992</v>
      </c>
      <c r="AS711" t="s">
        <v>1995</v>
      </c>
      <c r="AT711" t="s">
        <v>1996</v>
      </c>
      <c r="AU711" t="s">
        <v>1996</v>
      </c>
      <c r="AV711" t="s">
        <v>1995</v>
      </c>
      <c r="AW711" t="s">
        <v>1995</v>
      </c>
      <c r="AX711" t="s">
        <v>1194</v>
      </c>
      <c r="AY711" t="s">
        <v>1996</v>
      </c>
      <c r="AZ711">
        <v>6633</v>
      </c>
      <c r="BA711">
        <v>3</v>
      </c>
      <c r="BB711" t="s">
        <v>2016</v>
      </c>
      <c r="BC711" s="3">
        <v>0</v>
      </c>
      <c r="BD711" s="3">
        <v>0</v>
      </c>
      <c r="BE711" s="3">
        <v>0</v>
      </c>
      <c r="BF711" s="3">
        <v>819.39</v>
      </c>
      <c r="BG711" s="3">
        <v>175</v>
      </c>
      <c r="BH711" s="3">
        <v>0</v>
      </c>
      <c r="BI711" s="3">
        <v>0</v>
      </c>
      <c r="BJ711" s="3">
        <v>21898.3</v>
      </c>
      <c r="BK711" s="3">
        <v>3155.03</v>
      </c>
      <c r="BL711" s="3">
        <v>21664.5</v>
      </c>
      <c r="BM711" s="2">
        <f t="shared" ca="1" si="23"/>
        <v>2</v>
      </c>
      <c r="BN711" s="3" t="s">
        <v>2916</v>
      </c>
      <c r="BO711" s="3">
        <v>20000</v>
      </c>
      <c r="BP711" s="3" t="s">
        <v>2922</v>
      </c>
      <c r="BQ711" s="3">
        <v>100000</v>
      </c>
      <c r="BR711" s="3">
        <v>250000</v>
      </c>
      <c r="BS711">
        <v>50000</v>
      </c>
      <c r="BT711">
        <v>0</v>
      </c>
      <c r="BU711">
        <v>0</v>
      </c>
      <c r="BV711">
        <v>1</v>
      </c>
      <c r="BW711">
        <v>0</v>
      </c>
      <c r="BX711">
        <v>0</v>
      </c>
      <c r="BY711">
        <v>0</v>
      </c>
      <c r="BZ711" t="s">
        <v>2967</v>
      </c>
      <c r="CA711" t="s">
        <v>1194</v>
      </c>
      <c r="CB711" t="s">
        <v>2949</v>
      </c>
    </row>
    <row r="712" spans="1:80" x14ac:dyDescent="0.25">
      <c r="A712">
        <v>711</v>
      </c>
      <c r="B712" t="s">
        <v>2725</v>
      </c>
      <c r="C712" s="1">
        <v>44747</v>
      </c>
      <c r="D712">
        <v>12</v>
      </c>
      <c r="E712" t="s">
        <v>4</v>
      </c>
      <c r="F712" t="s">
        <v>1311</v>
      </c>
      <c r="G712">
        <v>0</v>
      </c>
      <c r="H712" s="3">
        <v>6755000</v>
      </c>
      <c r="I712" s="3">
        <v>413500</v>
      </c>
      <c r="J712" s="3">
        <v>2026500</v>
      </c>
      <c r="K712" s="3">
        <v>1351000</v>
      </c>
      <c r="L712" t="s">
        <v>1191</v>
      </c>
      <c r="M712">
        <v>1108842</v>
      </c>
      <c r="N712" t="s">
        <v>1504</v>
      </c>
      <c r="P712" t="s">
        <v>1765</v>
      </c>
      <c r="Q712" t="s">
        <v>1240</v>
      </c>
      <c r="R712">
        <v>6880</v>
      </c>
      <c r="S712" t="s">
        <v>1706</v>
      </c>
      <c r="T712" t="s">
        <v>979</v>
      </c>
      <c r="U712">
        <v>1</v>
      </c>
      <c r="V712">
        <v>51</v>
      </c>
      <c r="W712" t="s">
        <v>1194</v>
      </c>
      <c r="X712" t="s">
        <v>1309</v>
      </c>
      <c r="Y712">
        <v>10000</v>
      </c>
      <c r="Z712" s="2" t="s">
        <v>1194</v>
      </c>
      <c r="AA712" s="2" t="s">
        <v>1238</v>
      </c>
      <c r="AB712" t="s">
        <v>1238</v>
      </c>
      <c r="AC712">
        <v>856</v>
      </c>
      <c r="AD712" t="s">
        <v>1279</v>
      </c>
      <c r="AE712">
        <v>3</v>
      </c>
      <c r="AF712" t="s">
        <v>1290</v>
      </c>
      <c r="AG712">
        <v>0</v>
      </c>
      <c r="AH712">
        <v>0</v>
      </c>
      <c r="AI712">
        <v>0</v>
      </c>
      <c r="AJ712">
        <v>2013</v>
      </c>
      <c r="AK712" t="s">
        <v>1194</v>
      </c>
      <c r="AL712">
        <v>2013</v>
      </c>
      <c r="AM712" s="4" t="s">
        <v>1238</v>
      </c>
      <c r="AN712">
        <v>0</v>
      </c>
      <c r="AO712" t="s">
        <v>1316</v>
      </c>
      <c r="AP712">
        <f t="shared" si="22"/>
        <v>0</v>
      </c>
      <c r="AQ712">
        <v>0</v>
      </c>
      <c r="AR712" t="s">
        <v>1993</v>
      </c>
      <c r="AS712" t="s">
        <v>1995</v>
      </c>
      <c r="AT712" t="s">
        <v>1995</v>
      </c>
      <c r="AU712" t="s">
        <v>1995</v>
      </c>
      <c r="AV712" t="s">
        <v>1995</v>
      </c>
      <c r="AW712" t="s">
        <v>1995</v>
      </c>
      <c r="AX712" t="s">
        <v>2003</v>
      </c>
      <c r="AY712" t="s">
        <v>1996</v>
      </c>
      <c r="AZ712">
        <v>9624</v>
      </c>
      <c r="BA712" t="s">
        <v>1194</v>
      </c>
      <c r="BB712" t="s">
        <v>1194</v>
      </c>
      <c r="BC712" s="3">
        <v>0</v>
      </c>
      <c r="BD712" s="3">
        <v>3831.42</v>
      </c>
      <c r="BE712" s="3">
        <v>0</v>
      </c>
      <c r="BF712" s="3">
        <v>0</v>
      </c>
      <c r="BG712" s="3">
        <v>115</v>
      </c>
      <c r="BH712" s="3">
        <v>0</v>
      </c>
      <c r="BI712" s="3">
        <v>0</v>
      </c>
      <c r="BJ712" s="3">
        <v>28393</v>
      </c>
      <c r="BK712" s="3">
        <v>4746.0600000000004</v>
      </c>
      <c r="BL712" s="3">
        <v>33139.06</v>
      </c>
      <c r="BM712" s="2">
        <f t="shared" ca="1" si="23"/>
        <v>5</v>
      </c>
      <c r="BN712" s="3" t="s">
        <v>2916</v>
      </c>
      <c r="BO712" s="3">
        <v>1000000</v>
      </c>
      <c r="BP712" s="3">
        <v>100000</v>
      </c>
      <c r="BQ712" s="3">
        <v>50000</v>
      </c>
      <c r="BR712" s="3">
        <v>2000000</v>
      </c>
      <c r="BS712">
        <v>500000</v>
      </c>
      <c r="BT712">
        <v>1</v>
      </c>
      <c r="BU712">
        <v>0</v>
      </c>
      <c r="BV712">
        <v>1</v>
      </c>
      <c r="BW712">
        <v>0</v>
      </c>
      <c r="BX712">
        <v>0</v>
      </c>
      <c r="BY712">
        <v>0</v>
      </c>
      <c r="BZ712" t="s">
        <v>2949</v>
      </c>
      <c r="CA712" t="s">
        <v>1194</v>
      </c>
      <c r="CB712" t="s">
        <v>2949</v>
      </c>
    </row>
    <row r="713" spans="1:80" x14ac:dyDescent="0.25">
      <c r="A713">
        <v>712</v>
      </c>
      <c r="B713" t="s">
        <v>2726</v>
      </c>
      <c r="C713" s="1">
        <v>44873</v>
      </c>
      <c r="D713">
        <v>33</v>
      </c>
      <c r="E713" t="s">
        <v>4</v>
      </c>
      <c r="F713" t="s">
        <v>1311</v>
      </c>
      <c r="G713">
        <v>1</v>
      </c>
      <c r="H713" s="3">
        <v>3005937</v>
      </c>
      <c r="I713" s="3">
        <v>419175</v>
      </c>
      <c r="J713" s="3">
        <v>1047937</v>
      </c>
      <c r="K713" s="3">
        <v>0</v>
      </c>
      <c r="L713" t="s">
        <v>1191</v>
      </c>
      <c r="M713">
        <v>1125311</v>
      </c>
      <c r="N713" t="s">
        <v>1505</v>
      </c>
      <c r="P713" t="s">
        <v>1874</v>
      </c>
      <c r="Q713" t="s">
        <v>1271</v>
      </c>
      <c r="R713">
        <v>53211</v>
      </c>
      <c r="S713" t="s">
        <v>1864</v>
      </c>
      <c r="T713" t="s">
        <v>965</v>
      </c>
      <c r="U713">
        <v>0</v>
      </c>
      <c r="V713">
        <v>1</v>
      </c>
      <c r="W713" t="s">
        <v>1194</v>
      </c>
      <c r="X713" t="s">
        <v>973</v>
      </c>
      <c r="Y713">
        <v>10000</v>
      </c>
      <c r="Z713" s="2" t="s">
        <v>1194</v>
      </c>
      <c r="AA713" s="2">
        <v>1</v>
      </c>
      <c r="AB713" t="s">
        <v>1277</v>
      </c>
      <c r="AC713">
        <v>715</v>
      </c>
      <c r="AD713" t="s">
        <v>1280</v>
      </c>
      <c r="AE713">
        <v>2</v>
      </c>
      <c r="AF713" t="s">
        <v>1290</v>
      </c>
      <c r="AG713">
        <v>0</v>
      </c>
      <c r="AH713">
        <v>1</v>
      </c>
      <c r="AI713">
        <v>1</v>
      </c>
      <c r="AJ713">
        <v>1954</v>
      </c>
      <c r="AK713">
        <v>2008</v>
      </c>
      <c r="AL713">
        <v>2008</v>
      </c>
      <c r="AM713" s="4" t="s">
        <v>1238</v>
      </c>
      <c r="AN713">
        <v>0</v>
      </c>
      <c r="AO713" t="s">
        <v>1315</v>
      </c>
      <c r="AP713">
        <f t="shared" si="22"/>
        <v>1</v>
      </c>
      <c r="AQ713">
        <v>0</v>
      </c>
      <c r="AR713" t="s">
        <v>1993</v>
      </c>
      <c r="AS713" t="s">
        <v>1995</v>
      </c>
      <c r="AT713" t="s">
        <v>1996</v>
      </c>
      <c r="AU713" t="s">
        <v>1995</v>
      </c>
      <c r="AV713" t="s">
        <v>1995</v>
      </c>
      <c r="AW713" t="s">
        <v>1996</v>
      </c>
      <c r="AX713" t="s">
        <v>1194</v>
      </c>
      <c r="AY713" t="s">
        <v>1996</v>
      </c>
      <c r="AZ713">
        <v>4500</v>
      </c>
      <c r="BA713" t="s">
        <v>1194</v>
      </c>
      <c r="BB713" t="s">
        <v>1194</v>
      </c>
      <c r="BC713" s="3">
        <v>0</v>
      </c>
      <c r="BD713" s="3">
        <v>0</v>
      </c>
      <c r="BE713" s="3">
        <v>0</v>
      </c>
      <c r="BF713" s="3">
        <v>0</v>
      </c>
      <c r="BG713" s="3">
        <v>175</v>
      </c>
      <c r="BH713" s="3">
        <v>0</v>
      </c>
      <c r="BI713" s="3">
        <v>0</v>
      </c>
      <c r="BJ713" s="3">
        <v>5426.75</v>
      </c>
      <c r="BK713" s="3">
        <v>676</v>
      </c>
      <c r="BL713" s="3">
        <v>6102.75</v>
      </c>
      <c r="BM713" s="2">
        <f t="shared" ca="1" si="23"/>
        <v>3</v>
      </c>
      <c r="BN713" s="3">
        <v>250000</v>
      </c>
      <c r="BO713" s="3">
        <v>50000</v>
      </c>
      <c r="BP713" s="3">
        <v>100000</v>
      </c>
      <c r="BQ713" s="3">
        <v>500000</v>
      </c>
      <c r="BR713" s="3" t="s">
        <v>2916</v>
      </c>
      <c r="BS713">
        <v>500000</v>
      </c>
      <c r="BT713">
        <v>0</v>
      </c>
      <c r="BU713">
        <v>0</v>
      </c>
      <c r="BV713">
        <v>1</v>
      </c>
      <c r="BW713">
        <v>0</v>
      </c>
      <c r="BX713">
        <v>0</v>
      </c>
      <c r="BY713">
        <v>0</v>
      </c>
      <c r="BZ713" t="s">
        <v>2958</v>
      </c>
      <c r="CA713" t="s">
        <v>1194</v>
      </c>
      <c r="CB713" t="s">
        <v>2945</v>
      </c>
    </row>
    <row r="714" spans="1:80" x14ac:dyDescent="0.25">
      <c r="A714">
        <v>713</v>
      </c>
      <c r="B714" t="s">
        <v>2727</v>
      </c>
      <c r="C714" s="1">
        <v>44974</v>
      </c>
      <c r="D714">
        <v>24</v>
      </c>
      <c r="E714" t="s">
        <v>4</v>
      </c>
      <c r="F714" t="s">
        <v>1311</v>
      </c>
      <c r="G714">
        <v>1</v>
      </c>
      <c r="H714" s="3">
        <v>2231775</v>
      </c>
      <c r="I714" s="3">
        <v>57225</v>
      </c>
      <c r="J714" s="3">
        <v>446355</v>
      </c>
      <c r="K714" s="3">
        <v>0</v>
      </c>
      <c r="L714" t="s">
        <v>1191</v>
      </c>
      <c r="M714">
        <v>1607872</v>
      </c>
      <c r="N714" t="s">
        <v>1506</v>
      </c>
      <c r="P714" t="s">
        <v>1875</v>
      </c>
      <c r="Q714" t="s">
        <v>1247</v>
      </c>
      <c r="R714">
        <v>46360</v>
      </c>
      <c r="S714" t="s">
        <v>1876</v>
      </c>
      <c r="T714" t="s">
        <v>965</v>
      </c>
      <c r="U714">
        <v>0</v>
      </c>
      <c r="V714">
        <v>1</v>
      </c>
      <c r="W714" t="s">
        <v>1194</v>
      </c>
      <c r="X714" t="s">
        <v>973</v>
      </c>
      <c r="Y714">
        <v>10000</v>
      </c>
      <c r="Z714" s="2">
        <v>1.000011202</v>
      </c>
      <c r="AA714" s="2">
        <v>1</v>
      </c>
      <c r="AB714">
        <v>5.0000000000000001E-3</v>
      </c>
      <c r="AC714">
        <v>781</v>
      </c>
      <c r="AD714" t="s">
        <v>1279</v>
      </c>
      <c r="AE714">
        <v>4</v>
      </c>
      <c r="AF714" t="s">
        <v>1290</v>
      </c>
      <c r="AG714">
        <v>0</v>
      </c>
      <c r="AH714">
        <v>0</v>
      </c>
      <c r="AI714">
        <v>0</v>
      </c>
      <c r="AJ714">
        <v>2013</v>
      </c>
      <c r="AK714" t="s">
        <v>1194</v>
      </c>
      <c r="AL714" t="s">
        <v>1194</v>
      </c>
      <c r="AM714" s="4" t="s">
        <v>1238</v>
      </c>
      <c r="AN714">
        <v>0</v>
      </c>
      <c r="AO714" t="s">
        <v>1315</v>
      </c>
      <c r="AP714">
        <f t="shared" si="22"/>
        <v>0</v>
      </c>
      <c r="AQ714">
        <v>1</v>
      </c>
      <c r="AR714" t="s">
        <v>1992</v>
      </c>
      <c r="AS714" t="s">
        <v>1995</v>
      </c>
      <c r="AT714" t="s">
        <v>1995</v>
      </c>
      <c r="AU714" t="s">
        <v>1995</v>
      </c>
      <c r="AV714" t="s">
        <v>1995</v>
      </c>
      <c r="AW714" t="s">
        <v>1995</v>
      </c>
      <c r="AX714" t="s">
        <v>1194</v>
      </c>
      <c r="AY714" t="s">
        <v>1996</v>
      </c>
      <c r="AZ714">
        <v>5502</v>
      </c>
      <c r="BA714" t="s">
        <v>1194</v>
      </c>
      <c r="BB714" t="s">
        <v>1194</v>
      </c>
      <c r="BC714" s="3">
        <v>0</v>
      </c>
      <c r="BD714" s="3">
        <v>0</v>
      </c>
      <c r="BE714" s="3">
        <v>0</v>
      </c>
      <c r="BF714" s="3">
        <v>0</v>
      </c>
      <c r="BG714" s="3">
        <v>0</v>
      </c>
      <c r="BH714" s="3">
        <v>0</v>
      </c>
      <c r="BI714" s="3">
        <v>0</v>
      </c>
      <c r="BJ714" s="3">
        <v>5567.2</v>
      </c>
      <c r="BK714" s="3">
        <v>110</v>
      </c>
      <c r="BL714" s="3">
        <v>5677.2</v>
      </c>
      <c r="BM714" s="2">
        <f t="shared" ca="1" si="23"/>
        <v>5</v>
      </c>
      <c r="BN714" s="3" t="s">
        <v>2916</v>
      </c>
      <c r="BO714" s="3">
        <v>25000</v>
      </c>
      <c r="BP714" s="3">
        <v>200000</v>
      </c>
      <c r="BQ714" s="3">
        <v>50000</v>
      </c>
      <c r="BR714" s="3">
        <v>50000</v>
      </c>
      <c r="BS714">
        <v>50000</v>
      </c>
      <c r="BT714">
        <v>0</v>
      </c>
      <c r="BU714">
        <v>0</v>
      </c>
      <c r="BV714">
        <v>0</v>
      </c>
      <c r="BW714">
        <v>1</v>
      </c>
      <c r="BX714">
        <v>1</v>
      </c>
      <c r="BY714">
        <v>0</v>
      </c>
      <c r="BZ714" t="s">
        <v>2958</v>
      </c>
      <c r="CA714" t="s">
        <v>1194</v>
      </c>
      <c r="CB714" t="s">
        <v>2945</v>
      </c>
    </row>
    <row r="715" spans="1:80" x14ac:dyDescent="0.25">
      <c r="A715">
        <v>714</v>
      </c>
      <c r="B715" t="s">
        <v>2728</v>
      </c>
      <c r="C715" s="1">
        <v>44972</v>
      </c>
      <c r="D715">
        <v>12</v>
      </c>
      <c r="E715" t="s">
        <v>4</v>
      </c>
      <c r="F715" t="s">
        <v>1311</v>
      </c>
      <c r="G715">
        <v>1</v>
      </c>
      <c r="H715" s="3">
        <v>1731976</v>
      </c>
      <c r="I715" s="3">
        <v>242639</v>
      </c>
      <c r="J715" s="3">
        <v>583791</v>
      </c>
      <c r="K715" s="3">
        <v>346395.2</v>
      </c>
      <c r="L715" t="s">
        <v>1191</v>
      </c>
      <c r="M715">
        <v>1468499</v>
      </c>
      <c r="N715" t="s">
        <v>1507</v>
      </c>
      <c r="P715" t="s">
        <v>1877</v>
      </c>
      <c r="Q715" t="s">
        <v>1268</v>
      </c>
      <c r="R715">
        <v>22548</v>
      </c>
      <c r="S715" t="s">
        <v>1878</v>
      </c>
      <c r="T715" t="s">
        <v>965</v>
      </c>
      <c r="U715">
        <v>0</v>
      </c>
      <c r="V715">
        <v>1</v>
      </c>
      <c r="W715" t="s">
        <v>1194</v>
      </c>
      <c r="X715" t="s">
        <v>973</v>
      </c>
      <c r="Y715">
        <v>10000</v>
      </c>
      <c r="Z715" s="2" t="s">
        <v>1194</v>
      </c>
      <c r="AA715" s="2" t="s">
        <v>1238</v>
      </c>
      <c r="AB715" t="s">
        <v>1238</v>
      </c>
      <c r="AC715">
        <v>785</v>
      </c>
      <c r="AD715" t="s">
        <v>1280</v>
      </c>
      <c r="AE715">
        <v>10</v>
      </c>
      <c r="AF715" t="s">
        <v>1290</v>
      </c>
      <c r="AG715">
        <v>0</v>
      </c>
      <c r="AH715">
        <v>0</v>
      </c>
      <c r="AI715">
        <v>0</v>
      </c>
      <c r="AJ715">
        <v>1803</v>
      </c>
      <c r="AK715" t="s">
        <v>1194</v>
      </c>
      <c r="AL715" t="s">
        <v>1194</v>
      </c>
      <c r="AM715" s="4" t="s">
        <v>1238</v>
      </c>
      <c r="AN715">
        <v>1</v>
      </c>
      <c r="AO715" t="s">
        <v>1316</v>
      </c>
      <c r="AP715">
        <f t="shared" si="22"/>
        <v>0</v>
      </c>
      <c r="AQ715">
        <v>0</v>
      </c>
      <c r="AR715" t="s">
        <v>1993</v>
      </c>
      <c r="AS715" t="s">
        <v>1995</v>
      </c>
      <c r="AT715" t="s">
        <v>1995</v>
      </c>
      <c r="AU715" t="s">
        <v>1996</v>
      </c>
      <c r="AV715" t="s">
        <v>1995</v>
      </c>
      <c r="AW715" t="s">
        <v>1995</v>
      </c>
      <c r="AX715" t="s">
        <v>2003</v>
      </c>
      <c r="AY715" t="s">
        <v>1996</v>
      </c>
      <c r="AZ715">
        <v>2848</v>
      </c>
      <c r="BA715" t="s">
        <v>1194</v>
      </c>
      <c r="BB715" t="s">
        <v>1194</v>
      </c>
      <c r="BC715" s="3">
        <v>0</v>
      </c>
      <c r="BD715" s="3">
        <v>0</v>
      </c>
      <c r="BE715" s="3">
        <v>0</v>
      </c>
      <c r="BF715" s="3">
        <v>0</v>
      </c>
      <c r="BG715" s="3">
        <v>175</v>
      </c>
      <c r="BH715" s="3">
        <v>0</v>
      </c>
      <c r="BI715" s="3">
        <v>0</v>
      </c>
      <c r="BJ715" s="3">
        <v>7149.2</v>
      </c>
      <c r="BK715" s="3">
        <v>110</v>
      </c>
      <c r="BL715" s="3">
        <v>7259.2</v>
      </c>
      <c r="BM715" s="2">
        <f t="shared" ca="1" si="23"/>
        <v>4</v>
      </c>
      <c r="BN715" s="3">
        <v>1000000</v>
      </c>
      <c r="BO715" s="3">
        <v>250000</v>
      </c>
      <c r="BP715" s="3">
        <v>50000</v>
      </c>
      <c r="BQ715" s="3">
        <v>50000</v>
      </c>
      <c r="BR715" s="3">
        <v>1000000</v>
      </c>
      <c r="BS715">
        <v>100000</v>
      </c>
      <c r="BT715">
        <v>0</v>
      </c>
      <c r="BU715">
        <v>0</v>
      </c>
      <c r="BV715">
        <v>0</v>
      </c>
      <c r="BW715">
        <v>1</v>
      </c>
      <c r="BX715">
        <v>0</v>
      </c>
      <c r="BY715">
        <v>0</v>
      </c>
      <c r="BZ715" t="s">
        <v>2959</v>
      </c>
      <c r="CA715" t="s">
        <v>1194</v>
      </c>
      <c r="CB715" t="s">
        <v>2949</v>
      </c>
    </row>
    <row r="716" spans="1:80" x14ac:dyDescent="0.25">
      <c r="A716">
        <v>715</v>
      </c>
      <c r="B716" t="s">
        <v>2729</v>
      </c>
      <c r="C716" s="1">
        <v>44908</v>
      </c>
      <c r="D716">
        <v>48</v>
      </c>
      <c r="E716" t="s">
        <v>5</v>
      </c>
      <c r="F716" t="s">
        <v>1310</v>
      </c>
      <c r="G716">
        <v>1</v>
      </c>
      <c r="H716" s="3">
        <v>30163000</v>
      </c>
      <c r="I716" s="3">
        <v>22828000</v>
      </c>
      <c r="J716" s="3">
        <v>6032600</v>
      </c>
      <c r="K716" s="3">
        <v>6032600</v>
      </c>
      <c r="L716" t="s">
        <v>1191</v>
      </c>
      <c r="M716">
        <v>2024941</v>
      </c>
      <c r="N716" t="s">
        <v>1508</v>
      </c>
      <c r="P716" t="s">
        <v>1823</v>
      </c>
      <c r="Q716" t="s">
        <v>1260</v>
      </c>
      <c r="R716">
        <v>43015</v>
      </c>
      <c r="S716" t="s">
        <v>1823</v>
      </c>
      <c r="T716" t="s">
        <v>965</v>
      </c>
      <c r="U716">
        <v>0</v>
      </c>
      <c r="V716">
        <v>3</v>
      </c>
      <c r="W716" t="s">
        <v>1194</v>
      </c>
      <c r="X716" t="s">
        <v>973</v>
      </c>
      <c r="Y716">
        <v>10000</v>
      </c>
      <c r="Z716" s="2" t="s">
        <v>1194</v>
      </c>
      <c r="AA716" s="2">
        <v>1</v>
      </c>
      <c r="AB716">
        <v>2.5000000000000001E-3</v>
      </c>
      <c r="AC716">
        <v>627</v>
      </c>
      <c r="AD716" t="s">
        <v>1284</v>
      </c>
      <c r="AE716">
        <v>9</v>
      </c>
      <c r="AF716" t="s">
        <v>1290</v>
      </c>
      <c r="AG716">
        <v>0</v>
      </c>
      <c r="AH716">
        <v>0</v>
      </c>
      <c r="AI716">
        <v>0</v>
      </c>
      <c r="AJ716">
        <v>2022</v>
      </c>
      <c r="AK716" t="s">
        <v>1194</v>
      </c>
      <c r="AL716" t="s">
        <v>1194</v>
      </c>
      <c r="AM716" s="4" t="s">
        <v>1304</v>
      </c>
      <c r="AN716">
        <v>1</v>
      </c>
      <c r="AO716" t="s">
        <v>1316</v>
      </c>
      <c r="AP716">
        <f t="shared" si="22"/>
        <v>0</v>
      </c>
      <c r="AQ716">
        <v>1</v>
      </c>
      <c r="AR716" t="s">
        <v>1992</v>
      </c>
      <c r="AS716" t="s">
        <v>1996</v>
      </c>
      <c r="AT716" t="s">
        <v>1995</v>
      </c>
      <c r="AU716" t="s">
        <v>1995</v>
      </c>
      <c r="AV716" t="s">
        <v>1995</v>
      </c>
      <c r="AW716" t="s">
        <v>1996</v>
      </c>
      <c r="AX716" t="s">
        <v>1194</v>
      </c>
      <c r="AY716" t="s">
        <v>1996</v>
      </c>
      <c r="AZ716">
        <v>26819</v>
      </c>
      <c r="BA716" t="s">
        <v>1194</v>
      </c>
      <c r="BB716" t="s">
        <v>1194</v>
      </c>
      <c r="BC716" s="3">
        <v>0</v>
      </c>
      <c r="BD716" s="3">
        <v>0</v>
      </c>
      <c r="BE716" s="3">
        <v>0</v>
      </c>
      <c r="BF716" s="3">
        <v>0</v>
      </c>
      <c r="BG716" s="3">
        <v>175</v>
      </c>
      <c r="BH716" s="3">
        <v>0</v>
      </c>
      <c r="BI716" s="3">
        <v>0</v>
      </c>
      <c r="BJ716" s="3">
        <v>108351.19</v>
      </c>
      <c r="BK716" s="3">
        <v>-15</v>
      </c>
      <c r="BL716" s="3">
        <v>108336.19</v>
      </c>
      <c r="BM716" s="2">
        <f t="shared" ca="1" si="23"/>
        <v>4</v>
      </c>
      <c r="BN716" s="3">
        <v>250000</v>
      </c>
      <c r="BO716" s="3">
        <v>2000000</v>
      </c>
      <c r="BP716" s="3">
        <v>200000</v>
      </c>
      <c r="BQ716" s="3">
        <v>500000</v>
      </c>
      <c r="BR716" s="3">
        <v>100000</v>
      </c>
      <c r="BS716">
        <v>100000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 t="s">
        <v>2959</v>
      </c>
      <c r="CA716" t="s">
        <v>1194</v>
      </c>
      <c r="CB716" t="s">
        <v>2941</v>
      </c>
    </row>
    <row r="717" spans="1:80" x14ac:dyDescent="0.25">
      <c r="A717">
        <v>716</v>
      </c>
      <c r="B717" t="s">
        <v>2730</v>
      </c>
      <c r="C717" s="1">
        <v>44654</v>
      </c>
      <c r="D717">
        <v>12</v>
      </c>
      <c r="E717" t="s">
        <v>4</v>
      </c>
      <c r="F717" t="s">
        <v>1311</v>
      </c>
      <c r="G717">
        <v>0</v>
      </c>
      <c r="H717" s="3">
        <v>1980042</v>
      </c>
      <c r="I717" s="3">
        <v>486371</v>
      </c>
      <c r="J717" s="3">
        <v>1215928</v>
      </c>
      <c r="K717" s="3">
        <v>0</v>
      </c>
      <c r="L717" t="s">
        <v>1191</v>
      </c>
      <c r="M717">
        <v>392808</v>
      </c>
      <c r="N717" t="s">
        <v>1509</v>
      </c>
      <c r="P717" t="s">
        <v>1867</v>
      </c>
      <c r="Q717" t="s">
        <v>1261</v>
      </c>
      <c r="R717">
        <v>73034</v>
      </c>
      <c r="S717" t="s">
        <v>1758</v>
      </c>
      <c r="T717" t="s">
        <v>965</v>
      </c>
      <c r="U717">
        <v>0</v>
      </c>
      <c r="V717">
        <v>1</v>
      </c>
      <c r="W717" t="s">
        <v>1194</v>
      </c>
      <c r="X717" t="s">
        <v>973</v>
      </c>
      <c r="Y717">
        <v>10000</v>
      </c>
      <c r="Z717" s="2">
        <v>0.99997878799999995</v>
      </c>
      <c r="AA717" s="2">
        <v>1</v>
      </c>
      <c r="AB717">
        <v>5.0000000000000001E-3</v>
      </c>
      <c r="AC717">
        <v>863</v>
      </c>
      <c r="AD717" t="s">
        <v>1284</v>
      </c>
      <c r="AE717">
        <v>2</v>
      </c>
      <c r="AF717" t="s">
        <v>1290</v>
      </c>
      <c r="AG717">
        <v>0</v>
      </c>
      <c r="AH717">
        <v>0</v>
      </c>
      <c r="AI717">
        <v>0</v>
      </c>
      <c r="AJ717">
        <v>1993</v>
      </c>
      <c r="AK717" t="s">
        <v>1194</v>
      </c>
      <c r="AL717">
        <v>2018</v>
      </c>
      <c r="AM717" s="4" t="s">
        <v>1238</v>
      </c>
      <c r="AN717">
        <v>1</v>
      </c>
      <c r="AO717" t="s">
        <v>1315</v>
      </c>
      <c r="AP717">
        <f t="shared" si="22"/>
        <v>0</v>
      </c>
      <c r="AQ717">
        <v>1</v>
      </c>
      <c r="AR717" t="s">
        <v>1992</v>
      </c>
      <c r="AS717" t="s">
        <v>1996</v>
      </c>
      <c r="AT717" t="s">
        <v>1995</v>
      </c>
      <c r="AU717" t="s">
        <v>1995</v>
      </c>
      <c r="AV717" t="s">
        <v>1995</v>
      </c>
      <c r="AW717" t="s">
        <v>1996</v>
      </c>
      <c r="AX717" t="s">
        <v>1194</v>
      </c>
      <c r="AY717" t="s">
        <v>1996</v>
      </c>
      <c r="AZ717">
        <v>4864</v>
      </c>
      <c r="BA717" t="s">
        <v>1194</v>
      </c>
      <c r="BB717" t="s">
        <v>1194</v>
      </c>
      <c r="BC717" s="3">
        <v>0</v>
      </c>
      <c r="BD717" s="3">
        <v>0</v>
      </c>
      <c r="BE717" s="3">
        <v>0</v>
      </c>
      <c r="BF717" s="3">
        <v>0</v>
      </c>
      <c r="BG717" s="3">
        <v>175</v>
      </c>
      <c r="BH717" s="3">
        <v>0</v>
      </c>
      <c r="BI717" s="3">
        <v>0</v>
      </c>
      <c r="BJ717" s="3">
        <v>12628.91</v>
      </c>
      <c r="BK717" s="3">
        <v>1706.09</v>
      </c>
      <c r="BL717" s="3">
        <v>14335</v>
      </c>
      <c r="BM717" s="2">
        <f t="shared" ca="1" si="23"/>
        <v>1</v>
      </c>
      <c r="BN717" s="3">
        <v>1000000</v>
      </c>
      <c r="BO717" s="3">
        <v>1000000</v>
      </c>
      <c r="BP717" s="3" t="s">
        <v>2922</v>
      </c>
      <c r="BQ717" s="3">
        <v>100000</v>
      </c>
      <c r="BR717" s="3">
        <v>100000</v>
      </c>
      <c r="BS717">
        <v>50000</v>
      </c>
      <c r="BT717">
        <v>1</v>
      </c>
      <c r="BU717">
        <v>1</v>
      </c>
      <c r="BV717">
        <v>1</v>
      </c>
      <c r="BW717">
        <v>0</v>
      </c>
      <c r="BX717">
        <v>0</v>
      </c>
      <c r="BY717">
        <v>0</v>
      </c>
      <c r="BZ717" t="s">
        <v>2958</v>
      </c>
      <c r="CA717" t="s">
        <v>1194</v>
      </c>
      <c r="CB717" t="s">
        <v>2941</v>
      </c>
    </row>
    <row r="718" spans="1:80" x14ac:dyDescent="0.25">
      <c r="A718">
        <v>717</v>
      </c>
      <c r="B718" t="s">
        <v>2731</v>
      </c>
      <c r="C718" s="1">
        <v>44651</v>
      </c>
      <c r="D718">
        <v>12</v>
      </c>
      <c r="E718" t="s">
        <v>4</v>
      </c>
      <c r="F718" t="s">
        <v>1311</v>
      </c>
      <c r="G718">
        <v>0</v>
      </c>
      <c r="H718" s="3">
        <v>1681560</v>
      </c>
      <c r="I718" s="3">
        <v>255984</v>
      </c>
      <c r="J718" s="3">
        <v>895946</v>
      </c>
      <c r="K718" s="3">
        <v>336312</v>
      </c>
      <c r="L718" t="s">
        <v>1191</v>
      </c>
      <c r="M718">
        <v>954390</v>
      </c>
      <c r="N718" t="s">
        <v>1510</v>
      </c>
      <c r="P718" t="s">
        <v>1879</v>
      </c>
      <c r="Q718" t="s">
        <v>1254</v>
      </c>
      <c r="R718">
        <v>63055</v>
      </c>
      <c r="S718" t="s">
        <v>105</v>
      </c>
      <c r="T718" t="s">
        <v>965</v>
      </c>
      <c r="U718">
        <v>0</v>
      </c>
      <c r="V718">
        <v>1</v>
      </c>
      <c r="W718" t="s">
        <v>1194</v>
      </c>
      <c r="X718" t="s">
        <v>973</v>
      </c>
      <c r="Y718">
        <v>10000</v>
      </c>
      <c r="Z718" s="2" t="s">
        <v>1194</v>
      </c>
      <c r="AA718" s="2">
        <v>1</v>
      </c>
      <c r="AB718">
        <v>2500</v>
      </c>
      <c r="AC718">
        <v>873</v>
      </c>
      <c r="AD718" t="s">
        <v>1279</v>
      </c>
      <c r="AE718">
        <v>5</v>
      </c>
      <c r="AF718" t="s">
        <v>1290</v>
      </c>
      <c r="AG718">
        <v>0</v>
      </c>
      <c r="AH718">
        <v>0</v>
      </c>
      <c r="AI718">
        <v>0</v>
      </c>
      <c r="AJ718">
        <v>1997</v>
      </c>
      <c r="AK718" t="s">
        <v>1194</v>
      </c>
      <c r="AL718">
        <v>2017</v>
      </c>
      <c r="AM718" s="4" t="s">
        <v>1238</v>
      </c>
      <c r="AN718">
        <v>0</v>
      </c>
      <c r="AO718" t="s">
        <v>1315</v>
      </c>
      <c r="AP718">
        <f t="shared" si="22"/>
        <v>0</v>
      </c>
      <c r="AQ718">
        <v>1</v>
      </c>
      <c r="AR718" t="s">
        <v>1992</v>
      </c>
      <c r="AS718" t="s">
        <v>1996</v>
      </c>
      <c r="AT718" t="s">
        <v>1995</v>
      </c>
      <c r="AU718" t="s">
        <v>1995</v>
      </c>
      <c r="AV718" t="s">
        <v>1996</v>
      </c>
      <c r="AW718" t="s">
        <v>1996</v>
      </c>
      <c r="AX718" t="s">
        <v>1194</v>
      </c>
      <c r="AY718" t="s">
        <v>1996</v>
      </c>
      <c r="AZ718">
        <v>3224</v>
      </c>
      <c r="BA718" t="s">
        <v>1194</v>
      </c>
      <c r="BB718" t="s">
        <v>1194</v>
      </c>
      <c r="BC718" s="3">
        <v>0</v>
      </c>
      <c r="BD718" s="3">
        <v>0</v>
      </c>
      <c r="BE718" s="3">
        <v>0</v>
      </c>
      <c r="BF718" s="3">
        <v>0</v>
      </c>
      <c r="BG718" s="3">
        <v>175</v>
      </c>
      <c r="BH718" s="3">
        <v>0</v>
      </c>
      <c r="BI718" s="3">
        <v>0</v>
      </c>
      <c r="BJ718" s="3">
        <v>4558.92</v>
      </c>
      <c r="BK718" s="3">
        <v>679.56</v>
      </c>
      <c r="BL718" s="3">
        <v>5238.4799999999996</v>
      </c>
      <c r="BM718" s="2">
        <f t="shared" ca="1" si="23"/>
        <v>6</v>
      </c>
      <c r="BN718" s="3" t="s">
        <v>2916</v>
      </c>
      <c r="BO718" s="3">
        <v>50000</v>
      </c>
      <c r="BP718" s="3">
        <v>200000</v>
      </c>
      <c r="BQ718" s="3">
        <v>50000</v>
      </c>
      <c r="BR718" s="3">
        <v>500000</v>
      </c>
      <c r="BS718">
        <v>100000</v>
      </c>
      <c r="BT718">
        <v>0</v>
      </c>
      <c r="BU718">
        <v>1</v>
      </c>
      <c r="BV718">
        <v>1</v>
      </c>
      <c r="BW718">
        <v>0</v>
      </c>
      <c r="BX718">
        <v>0</v>
      </c>
      <c r="BY718">
        <v>0</v>
      </c>
      <c r="BZ718" t="s">
        <v>2958</v>
      </c>
      <c r="CA718" t="s">
        <v>1194</v>
      </c>
      <c r="CB718" t="s">
        <v>2945</v>
      </c>
    </row>
    <row r="719" spans="1:80" x14ac:dyDescent="0.25">
      <c r="A719">
        <v>718</v>
      </c>
      <c r="B719" t="s">
        <v>2732</v>
      </c>
      <c r="C719" s="1">
        <v>44896</v>
      </c>
      <c r="D719">
        <v>15</v>
      </c>
      <c r="E719" t="s">
        <v>4</v>
      </c>
      <c r="F719" t="s">
        <v>1311</v>
      </c>
      <c r="G719">
        <v>1</v>
      </c>
      <c r="H719" s="3">
        <v>1395200</v>
      </c>
      <c r="I719" s="3">
        <v>1587040</v>
      </c>
      <c r="J719" s="3">
        <v>54500</v>
      </c>
      <c r="K719" s="3">
        <v>0</v>
      </c>
      <c r="L719" t="s">
        <v>1191</v>
      </c>
      <c r="M719">
        <v>1816129</v>
      </c>
      <c r="N719" t="s">
        <v>1511</v>
      </c>
      <c r="P719" t="s">
        <v>1800</v>
      </c>
      <c r="Q719" t="s">
        <v>1270</v>
      </c>
      <c r="R719">
        <v>98118</v>
      </c>
      <c r="S719" t="s">
        <v>1796</v>
      </c>
      <c r="T719" t="s">
        <v>1194</v>
      </c>
      <c r="U719">
        <v>0</v>
      </c>
      <c r="V719">
        <v>56</v>
      </c>
      <c r="W719" t="s">
        <v>1194</v>
      </c>
      <c r="X719" t="s">
        <v>973</v>
      </c>
      <c r="Y719">
        <v>10000</v>
      </c>
      <c r="Z719" s="2" t="s">
        <v>1194</v>
      </c>
      <c r="AA719" s="2" t="s">
        <v>1238</v>
      </c>
      <c r="AB719" t="s">
        <v>1238</v>
      </c>
      <c r="AC719" t="s">
        <v>1194</v>
      </c>
      <c r="AD719" t="s">
        <v>1279</v>
      </c>
      <c r="AE719">
        <v>2</v>
      </c>
      <c r="AF719" t="s">
        <v>1290</v>
      </c>
      <c r="AG719">
        <v>0</v>
      </c>
      <c r="AH719">
        <v>0</v>
      </c>
      <c r="AI719">
        <v>0</v>
      </c>
      <c r="AJ719">
        <v>1911</v>
      </c>
      <c r="AK719">
        <v>2021</v>
      </c>
      <c r="AL719">
        <v>2021</v>
      </c>
      <c r="AM719" s="4" t="s">
        <v>1238</v>
      </c>
      <c r="AN719">
        <v>0</v>
      </c>
      <c r="AO719" t="s">
        <v>1315</v>
      </c>
      <c r="AP719">
        <f t="shared" si="22"/>
        <v>0</v>
      </c>
      <c r="AQ719">
        <v>0</v>
      </c>
      <c r="AR719" t="s">
        <v>1993</v>
      </c>
      <c r="AS719" t="s">
        <v>1996</v>
      </c>
      <c r="AT719" t="s">
        <v>1995</v>
      </c>
      <c r="AU719" t="s">
        <v>1995</v>
      </c>
      <c r="AV719" t="s">
        <v>1996</v>
      </c>
      <c r="AW719" t="s">
        <v>1995</v>
      </c>
      <c r="AX719" t="s">
        <v>1194</v>
      </c>
      <c r="AY719" t="s">
        <v>1996</v>
      </c>
      <c r="AZ719">
        <v>1950</v>
      </c>
      <c r="BA719" t="s">
        <v>1194</v>
      </c>
      <c r="BB719" t="s">
        <v>2014</v>
      </c>
      <c r="BC719" s="3">
        <v>0</v>
      </c>
      <c r="BD719" s="3">
        <v>0</v>
      </c>
      <c r="BE719" s="3">
        <v>0</v>
      </c>
      <c r="BF719" s="3">
        <v>0</v>
      </c>
      <c r="BG719" s="3">
        <v>110</v>
      </c>
      <c r="BH719" s="3">
        <v>0</v>
      </c>
      <c r="BI719" s="3">
        <v>0</v>
      </c>
      <c r="BJ719" s="3">
        <v>7355.73</v>
      </c>
      <c r="BK719" s="3">
        <v>2417.88</v>
      </c>
      <c r="BL719" s="3">
        <v>9773.61</v>
      </c>
      <c r="BM719" s="2">
        <f t="shared" ca="1" si="23"/>
        <v>5</v>
      </c>
      <c r="BN719" s="3">
        <v>50000</v>
      </c>
      <c r="BO719" s="3">
        <v>250000</v>
      </c>
      <c r="BP719" s="3">
        <v>50000</v>
      </c>
      <c r="BQ719" s="3">
        <v>50000</v>
      </c>
      <c r="BR719" s="3">
        <v>50000</v>
      </c>
      <c r="BS719">
        <v>250000</v>
      </c>
      <c r="BT719">
        <v>0</v>
      </c>
      <c r="BU719">
        <v>1</v>
      </c>
      <c r="BV719">
        <v>0</v>
      </c>
      <c r="BW719">
        <v>1</v>
      </c>
      <c r="BX719">
        <v>1</v>
      </c>
      <c r="BY719">
        <v>1</v>
      </c>
      <c r="BZ719" t="s">
        <v>2949</v>
      </c>
      <c r="CA719" t="s">
        <v>1194</v>
      </c>
      <c r="CB719" t="s">
        <v>2941</v>
      </c>
    </row>
    <row r="720" spans="1:80" x14ac:dyDescent="0.25">
      <c r="A720">
        <v>719</v>
      </c>
      <c r="B720" t="s">
        <v>2733</v>
      </c>
      <c r="C720" s="1">
        <v>44652</v>
      </c>
      <c r="D720">
        <v>12</v>
      </c>
      <c r="E720" t="s">
        <v>4</v>
      </c>
      <c r="F720" t="s">
        <v>1311</v>
      </c>
      <c r="G720">
        <v>0</v>
      </c>
      <c r="H720" s="3">
        <v>1947311</v>
      </c>
      <c r="I720" s="3">
        <v>1860214</v>
      </c>
      <c r="J720" s="3">
        <v>1380644</v>
      </c>
      <c r="K720" s="3">
        <v>389462.2</v>
      </c>
      <c r="L720" t="s">
        <v>1191</v>
      </c>
      <c r="M720">
        <v>954505</v>
      </c>
      <c r="N720" t="s">
        <v>1512</v>
      </c>
      <c r="P720" t="s">
        <v>1800</v>
      </c>
      <c r="Q720" t="s">
        <v>1270</v>
      </c>
      <c r="R720">
        <v>98144</v>
      </c>
      <c r="S720" t="s">
        <v>1796</v>
      </c>
      <c r="T720" t="s">
        <v>965</v>
      </c>
      <c r="U720">
        <v>0</v>
      </c>
      <c r="V720">
        <v>56</v>
      </c>
      <c r="W720" t="s">
        <v>1194</v>
      </c>
      <c r="X720" t="s">
        <v>973</v>
      </c>
      <c r="Y720">
        <v>10000</v>
      </c>
      <c r="Z720" s="2" t="s">
        <v>1194</v>
      </c>
      <c r="AA720" s="2" t="s">
        <v>1238</v>
      </c>
      <c r="AB720" t="s">
        <v>1238</v>
      </c>
      <c r="AC720" t="s">
        <v>1194</v>
      </c>
      <c r="AD720" t="s">
        <v>1279</v>
      </c>
      <c r="AE720">
        <v>2</v>
      </c>
      <c r="AF720" t="s">
        <v>1290</v>
      </c>
      <c r="AG720">
        <v>0</v>
      </c>
      <c r="AH720">
        <v>0</v>
      </c>
      <c r="AI720">
        <v>0</v>
      </c>
      <c r="AJ720">
        <v>1922</v>
      </c>
      <c r="AK720">
        <v>2016</v>
      </c>
      <c r="AL720" t="s">
        <v>1194</v>
      </c>
      <c r="AM720" s="4" t="s">
        <v>1238</v>
      </c>
      <c r="AN720">
        <v>1</v>
      </c>
      <c r="AO720" t="s">
        <v>1315</v>
      </c>
      <c r="AP720">
        <f t="shared" si="22"/>
        <v>0</v>
      </c>
      <c r="AQ720">
        <v>1</v>
      </c>
      <c r="AR720" t="s">
        <v>1992</v>
      </c>
      <c r="AS720" t="s">
        <v>1995</v>
      </c>
      <c r="AT720" t="s">
        <v>1996</v>
      </c>
      <c r="AU720" t="s">
        <v>1995</v>
      </c>
      <c r="AV720" t="s">
        <v>1995</v>
      </c>
      <c r="AW720" t="s">
        <v>1996</v>
      </c>
      <c r="AX720" t="s">
        <v>1194</v>
      </c>
      <c r="AY720" t="s">
        <v>1996</v>
      </c>
      <c r="AZ720">
        <v>4440</v>
      </c>
      <c r="BA720" t="s">
        <v>1194</v>
      </c>
      <c r="BB720" t="s">
        <v>2014</v>
      </c>
      <c r="BC720" s="3">
        <v>0</v>
      </c>
      <c r="BD720" s="3">
        <v>0</v>
      </c>
      <c r="BE720" s="3">
        <v>0</v>
      </c>
      <c r="BF720" s="3">
        <v>0</v>
      </c>
      <c r="BG720" s="3">
        <v>140</v>
      </c>
      <c r="BH720" s="3">
        <v>0</v>
      </c>
      <c r="BI720" s="3">
        <v>0</v>
      </c>
      <c r="BJ720" s="3">
        <v>7116.43</v>
      </c>
      <c r="BK720" s="3">
        <v>3304.26</v>
      </c>
      <c r="BL720" s="3">
        <v>10420.69</v>
      </c>
      <c r="BM720" s="2">
        <f t="shared" ca="1" si="23"/>
        <v>3</v>
      </c>
      <c r="BN720" s="3">
        <v>500000</v>
      </c>
      <c r="BO720" s="3">
        <v>25000</v>
      </c>
      <c r="BP720" s="3">
        <v>50000</v>
      </c>
      <c r="BQ720" s="3">
        <v>1000000</v>
      </c>
      <c r="BR720" s="3">
        <v>1000000</v>
      </c>
      <c r="BS720" t="s">
        <v>2916</v>
      </c>
      <c r="BT720">
        <v>0</v>
      </c>
      <c r="BU720">
        <v>1</v>
      </c>
      <c r="BV720">
        <v>1</v>
      </c>
      <c r="BW720">
        <v>0</v>
      </c>
      <c r="BX720">
        <v>0</v>
      </c>
      <c r="BY720">
        <v>0</v>
      </c>
      <c r="BZ720" t="s">
        <v>2949</v>
      </c>
      <c r="CA720" t="s">
        <v>1194</v>
      </c>
      <c r="CB720" t="s">
        <v>2949</v>
      </c>
    </row>
    <row r="721" spans="1:80" x14ac:dyDescent="0.25">
      <c r="A721">
        <v>720</v>
      </c>
      <c r="B721" t="s">
        <v>2734</v>
      </c>
      <c r="C721" s="1">
        <v>44649</v>
      </c>
      <c r="D721">
        <v>12</v>
      </c>
      <c r="E721" t="s">
        <v>4</v>
      </c>
      <c r="F721" t="s">
        <v>1311</v>
      </c>
      <c r="G721">
        <v>1</v>
      </c>
      <c r="H721" s="3">
        <v>9036500</v>
      </c>
      <c r="I721" s="3">
        <v>954000</v>
      </c>
      <c r="J721" s="3">
        <v>3710000</v>
      </c>
      <c r="K721" s="3">
        <v>1807300</v>
      </c>
      <c r="L721" t="s">
        <v>1191</v>
      </c>
      <c r="M721">
        <v>977900</v>
      </c>
      <c r="N721" t="s">
        <v>1513</v>
      </c>
      <c r="P721" t="s">
        <v>1846</v>
      </c>
      <c r="Q721" t="s">
        <v>1270</v>
      </c>
      <c r="R721">
        <v>98110</v>
      </c>
      <c r="S721" t="s">
        <v>1847</v>
      </c>
      <c r="T721" t="s">
        <v>965</v>
      </c>
      <c r="U721">
        <v>1</v>
      </c>
      <c r="V721">
        <v>148</v>
      </c>
      <c r="W721" t="s">
        <v>1194</v>
      </c>
      <c r="X721" t="s">
        <v>1309</v>
      </c>
      <c r="Y721">
        <v>10000</v>
      </c>
      <c r="Z721" s="2" t="s">
        <v>1194</v>
      </c>
      <c r="AA721" s="2" t="s">
        <v>1238</v>
      </c>
      <c r="AB721" t="s">
        <v>1238</v>
      </c>
      <c r="AC721" t="s">
        <v>1194</v>
      </c>
      <c r="AD721" t="s">
        <v>1279</v>
      </c>
      <c r="AE721">
        <v>5</v>
      </c>
      <c r="AF721" t="s">
        <v>1290</v>
      </c>
      <c r="AG721">
        <v>0</v>
      </c>
      <c r="AH721">
        <v>0</v>
      </c>
      <c r="AI721">
        <v>0</v>
      </c>
      <c r="AJ721">
        <v>2020</v>
      </c>
      <c r="AK721" t="s">
        <v>1194</v>
      </c>
      <c r="AL721" t="s">
        <v>1194</v>
      </c>
      <c r="AM721" s="4" t="s">
        <v>1238</v>
      </c>
      <c r="AN721">
        <v>0</v>
      </c>
      <c r="AO721" t="s">
        <v>1315</v>
      </c>
      <c r="AP721">
        <f t="shared" si="22"/>
        <v>0</v>
      </c>
      <c r="AQ721">
        <v>1</v>
      </c>
      <c r="AR721" t="s">
        <v>1992</v>
      </c>
      <c r="AS721" t="s">
        <v>1996</v>
      </c>
      <c r="AT721" t="s">
        <v>1996</v>
      </c>
      <c r="AU721" t="s">
        <v>1996</v>
      </c>
      <c r="AV721" t="s">
        <v>1995</v>
      </c>
      <c r="AW721" t="s">
        <v>1995</v>
      </c>
      <c r="AX721" t="s">
        <v>1194</v>
      </c>
      <c r="AY721" t="s">
        <v>1996</v>
      </c>
      <c r="AZ721">
        <v>5750</v>
      </c>
      <c r="BA721" t="s">
        <v>1194</v>
      </c>
      <c r="BB721" t="s">
        <v>1194</v>
      </c>
      <c r="BC721" s="3">
        <v>0</v>
      </c>
      <c r="BD721" s="3">
        <v>0</v>
      </c>
      <c r="BE721" s="3">
        <v>0</v>
      </c>
      <c r="BF721" s="3">
        <v>0</v>
      </c>
      <c r="BG721" s="3">
        <v>110</v>
      </c>
      <c r="BH721" s="3">
        <v>0</v>
      </c>
      <c r="BI721" s="3">
        <v>0</v>
      </c>
      <c r="BJ721" s="3">
        <v>12997.93</v>
      </c>
      <c r="BK721" s="3">
        <v>19141.25</v>
      </c>
      <c r="BL721" s="3">
        <v>32139.18</v>
      </c>
      <c r="BM721" s="2">
        <f t="shared" ca="1" si="23"/>
        <v>2</v>
      </c>
      <c r="BN721" s="3" t="s">
        <v>2916</v>
      </c>
      <c r="BO721" s="3">
        <v>1000000</v>
      </c>
      <c r="BP721" s="3">
        <v>100000</v>
      </c>
      <c r="BQ721" s="3">
        <v>2000000</v>
      </c>
      <c r="BR721" s="3">
        <v>500000</v>
      </c>
      <c r="BS721">
        <v>50000</v>
      </c>
      <c r="BT721">
        <v>1</v>
      </c>
      <c r="BU721">
        <v>1</v>
      </c>
      <c r="BV721">
        <v>1</v>
      </c>
      <c r="BW721">
        <v>0</v>
      </c>
      <c r="BX721">
        <v>0</v>
      </c>
      <c r="BY721">
        <v>0</v>
      </c>
      <c r="BZ721" t="s">
        <v>2949</v>
      </c>
      <c r="CA721" t="s">
        <v>1194</v>
      </c>
      <c r="CB721" t="s">
        <v>2949</v>
      </c>
    </row>
    <row r="722" spans="1:80" x14ac:dyDescent="0.25">
      <c r="A722">
        <v>721</v>
      </c>
      <c r="B722" t="s">
        <v>2735</v>
      </c>
      <c r="C722" s="1">
        <v>44621</v>
      </c>
      <c r="D722">
        <v>12</v>
      </c>
      <c r="E722" t="s">
        <v>4</v>
      </c>
      <c r="F722" t="s">
        <v>1311</v>
      </c>
      <c r="G722">
        <v>0</v>
      </c>
      <c r="H722" s="3">
        <v>0</v>
      </c>
      <c r="I722" s="3">
        <v>0</v>
      </c>
      <c r="J722" s="3">
        <v>469475</v>
      </c>
      <c r="K722" s="3">
        <v>0</v>
      </c>
      <c r="L722" t="s">
        <v>1192</v>
      </c>
      <c r="M722">
        <v>977456</v>
      </c>
      <c r="N722" t="s">
        <v>1514</v>
      </c>
      <c r="O722" t="s">
        <v>1515</v>
      </c>
      <c r="P722" t="s">
        <v>1762</v>
      </c>
      <c r="Q722" t="s">
        <v>1243</v>
      </c>
      <c r="R722">
        <v>96753</v>
      </c>
      <c r="S722" t="s">
        <v>1763</v>
      </c>
      <c r="T722" t="s">
        <v>1988</v>
      </c>
      <c r="U722">
        <v>0</v>
      </c>
      <c r="V722">
        <v>1</v>
      </c>
      <c r="W722" t="s">
        <v>1194</v>
      </c>
      <c r="X722" t="s">
        <v>973</v>
      </c>
      <c r="Y722">
        <v>25000</v>
      </c>
      <c r="Z722" s="2">
        <v>2.000106502</v>
      </c>
      <c r="AA722" s="2" t="s">
        <v>1238</v>
      </c>
      <c r="AB722" t="s">
        <v>1238</v>
      </c>
      <c r="AC722" t="s">
        <v>1194</v>
      </c>
      <c r="AD722" t="s">
        <v>1279</v>
      </c>
      <c r="AE722">
        <v>5</v>
      </c>
      <c r="AF722" t="s">
        <v>1290</v>
      </c>
      <c r="AG722">
        <v>0</v>
      </c>
      <c r="AH722">
        <v>0</v>
      </c>
      <c r="AI722">
        <v>0</v>
      </c>
      <c r="AJ722">
        <v>1979</v>
      </c>
      <c r="AK722" t="s">
        <v>1194</v>
      </c>
      <c r="AL722" t="s">
        <v>1194</v>
      </c>
      <c r="AM722" s="4" t="s">
        <v>1238</v>
      </c>
      <c r="AN722">
        <v>1</v>
      </c>
      <c r="AO722" t="s">
        <v>1316</v>
      </c>
      <c r="AP722">
        <f t="shared" si="22"/>
        <v>0</v>
      </c>
      <c r="AQ722">
        <v>1</v>
      </c>
      <c r="AR722" t="s">
        <v>1992</v>
      </c>
      <c r="AS722" t="s">
        <v>1996</v>
      </c>
      <c r="AT722" t="s">
        <v>1996</v>
      </c>
      <c r="AU722" t="s">
        <v>1996</v>
      </c>
      <c r="AV722" t="s">
        <v>1996</v>
      </c>
      <c r="AW722" t="s">
        <v>1996</v>
      </c>
      <c r="AX722" t="s">
        <v>2003</v>
      </c>
      <c r="AY722" t="s">
        <v>1996</v>
      </c>
      <c r="AZ722">
        <v>1499</v>
      </c>
      <c r="BA722" t="s">
        <v>1194</v>
      </c>
      <c r="BB722" t="s">
        <v>1194</v>
      </c>
      <c r="BC722" s="3">
        <v>0</v>
      </c>
      <c r="BD722" s="3">
        <v>771.73</v>
      </c>
      <c r="BE722" s="3">
        <v>0</v>
      </c>
      <c r="BF722" s="3">
        <v>0</v>
      </c>
      <c r="BG722" s="3">
        <v>210</v>
      </c>
      <c r="BH722" s="3">
        <v>0</v>
      </c>
      <c r="BI722" s="3">
        <v>0</v>
      </c>
      <c r="BJ722" s="3">
        <v>2526.5700000000002</v>
      </c>
      <c r="BK722" s="3">
        <v>-10</v>
      </c>
      <c r="BL722" s="3">
        <v>2516.5700000000002</v>
      </c>
      <c r="BM722" s="2">
        <f t="shared" ca="1" si="23"/>
        <v>6</v>
      </c>
      <c r="BN722" s="3">
        <v>50000</v>
      </c>
      <c r="BO722" s="3">
        <v>2000000</v>
      </c>
      <c r="BP722" s="3">
        <v>50000</v>
      </c>
      <c r="BQ722" s="3">
        <v>100000</v>
      </c>
      <c r="BR722" s="3">
        <v>50000</v>
      </c>
      <c r="BS722">
        <v>1000000</v>
      </c>
      <c r="BT722">
        <v>0</v>
      </c>
      <c r="BU722">
        <v>0</v>
      </c>
      <c r="BV722">
        <v>0</v>
      </c>
      <c r="BW722">
        <v>1</v>
      </c>
      <c r="BX722">
        <v>0</v>
      </c>
      <c r="BY722">
        <v>1</v>
      </c>
      <c r="BZ722" t="s">
        <v>2947</v>
      </c>
      <c r="CA722" t="s">
        <v>1194</v>
      </c>
      <c r="CB722" t="s">
        <v>2945</v>
      </c>
    </row>
    <row r="723" spans="1:80" x14ac:dyDescent="0.25">
      <c r="A723">
        <v>722</v>
      </c>
      <c r="B723" t="s">
        <v>2736</v>
      </c>
      <c r="C723" s="1">
        <v>44825</v>
      </c>
      <c r="D723">
        <v>12</v>
      </c>
      <c r="E723" t="s">
        <v>4</v>
      </c>
      <c r="F723" t="s">
        <v>1311</v>
      </c>
      <c r="G723">
        <v>1</v>
      </c>
      <c r="H723" s="3">
        <v>4506060</v>
      </c>
      <c r="I723" s="3">
        <v>2621603</v>
      </c>
      <c r="J723" s="3">
        <v>2253030</v>
      </c>
      <c r="K723" s="3">
        <v>0</v>
      </c>
      <c r="L723" t="s">
        <v>1191</v>
      </c>
      <c r="M723">
        <v>1552302</v>
      </c>
      <c r="N723" t="s">
        <v>1516</v>
      </c>
      <c r="P723" t="s">
        <v>1880</v>
      </c>
      <c r="Q723" t="s">
        <v>1270</v>
      </c>
      <c r="R723">
        <v>98333</v>
      </c>
      <c r="S723" t="s">
        <v>1798</v>
      </c>
      <c r="T723" t="s">
        <v>965</v>
      </c>
      <c r="U723">
        <v>0</v>
      </c>
      <c r="V723">
        <v>151</v>
      </c>
      <c r="W723" t="s">
        <v>1194</v>
      </c>
      <c r="X723" t="s">
        <v>973</v>
      </c>
      <c r="Y723">
        <v>10000</v>
      </c>
      <c r="Z723" s="2" t="s">
        <v>1194</v>
      </c>
      <c r="AA723" s="2" t="s">
        <v>1238</v>
      </c>
      <c r="AB723" t="s">
        <v>1238</v>
      </c>
      <c r="AC723" t="s">
        <v>1194</v>
      </c>
      <c r="AD723" t="s">
        <v>1279</v>
      </c>
      <c r="AE723">
        <v>4</v>
      </c>
      <c r="AF723" t="s">
        <v>1290</v>
      </c>
      <c r="AG723">
        <v>0</v>
      </c>
      <c r="AH723">
        <v>0</v>
      </c>
      <c r="AI723">
        <v>0</v>
      </c>
      <c r="AJ723">
        <v>2004</v>
      </c>
      <c r="AK723" t="s">
        <v>1194</v>
      </c>
      <c r="AL723" t="s">
        <v>1194</v>
      </c>
      <c r="AM723" s="4" t="s">
        <v>1238</v>
      </c>
      <c r="AN723">
        <v>0</v>
      </c>
      <c r="AO723" t="s">
        <v>1315</v>
      </c>
      <c r="AP723">
        <f t="shared" si="22"/>
        <v>0</v>
      </c>
      <c r="AQ723">
        <v>0</v>
      </c>
      <c r="AR723" t="s">
        <v>1993</v>
      </c>
      <c r="AS723" t="s">
        <v>1996</v>
      </c>
      <c r="AT723" t="s">
        <v>1996</v>
      </c>
      <c r="AU723" t="s">
        <v>1996</v>
      </c>
      <c r="AV723" t="s">
        <v>1995</v>
      </c>
      <c r="AW723" t="s">
        <v>1996</v>
      </c>
      <c r="AX723" t="s">
        <v>1194</v>
      </c>
      <c r="AY723" t="s">
        <v>1996</v>
      </c>
      <c r="AZ723">
        <v>5778</v>
      </c>
      <c r="BA723" t="s">
        <v>1194</v>
      </c>
      <c r="BB723" t="s">
        <v>2014</v>
      </c>
      <c r="BC723" s="3">
        <v>0</v>
      </c>
      <c r="BD723" s="3">
        <v>0</v>
      </c>
      <c r="BE723" s="3">
        <v>0</v>
      </c>
      <c r="BF723" s="3">
        <v>0</v>
      </c>
      <c r="BG723" s="3">
        <v>110</v>
      </c>
      <c r="BH723" s="3">
        <v>0</v>
      </c>
      <c r="BI723" s="3">
        <v>0</v>
      </c>
      <c r="BJ723" s="3">
        <v>13614.53</v>
      </c>
      <c r="BK723" s="3">
        <v>403</v>
      </c>
      <c r="BL723" s="3">
        <v>14017.53</v>
      </c>
      <c r="BM723" s="2">
        <f t="shared" ca="1" si="23"/>
        <v>4</v>
      </c>
      <c r="BN723" s="3">
        <v>500000</v>
      </c>
      <c r="BO723" s="3">
        <v>50000</v>
      </c>
      <c r="BP723" s="3">
        <v>100000</v>
      </c>
      <c r="BQ723" s="3">
        <v>50000</v>
      </c>
      <c r="BR723" s="3">
        <v>50000</v>
      </c>
      <c r="BS723">
        <v>500000</v>
      </c>
      <c r="BT723">
        <v>0</v>
      </c>
      <c r="BU723">
        <v>0</v>
      </c>
      <c r="BV723">
        <v>0</v>
      </c>
      <c r="BW723">
        <v>1</v>
      </c>
      <c r="BX723">
        <v>1</v>
      </c>
      <c r="BY723">
        <v>0</v>
      </c>
      <c r="BZ723" t="s">
        <v>2949</v>
      </c>
      <c r="CA723" t="s">
        <v>1194</v>
      </c>
      <c r="CB723" t="s">
        <v>2949</v>
      </c>
    </row>
    <row r="724" spans="1:80" x14ac:dyDescent="0.25">
      <c r="A724">
        <v>723</v>
      </c>
      <c r="B724" t="s">
        <v>2737</v>
      </c>
      <c r="C724" s="1">
        <v>44636</v>
      </c>
      <c r="D724">
        <v>12</v>
      </c>
      <c r="E724" t="s">
        <v>5</v>
      </c>
      <c r="F724" t="s">
        <v>1310</v>
      </c>
      <c r="G724">
        <v>0</v>
      </c>
      <c r="H724" s="3">
        <v>2193225</v>
      </c>
      <c r="I724" s="3">
        <v>340530</v>
      </c>
      <c r="J724" s="3">
        <v>851325</v>
      </c>
      <c r="K724" s="3">
        <v>0</v>
      </c>
      <c r="L724" t="s">
        <v>1191</v>
      </c>
      <c r="M724">
        <v>984135</v>
      </c>
      <c r="N724" t="s">
        <v>1517</v>
      </c>
      <c r="P724" t="s">
        <v>1698</v>
      </c>
      <c r="Q724" t="s">
        <v>1254</v>
      </c>
      <c r="R724">
        <v>63108</v>
      </c>
      <c r="S724" t="s">
        <v>1881</v>
      </c>
      <c r="T724" t="s">
        <v>965</v>
      </c>
      <c r="U724">
        <v>0</v>
      </c>
      <c r="V724">
        <v>4</v>
      </c>
      <c r="W724" t="s">
        <v>1194</v>
      </c>
      <c r="X724" t="s">
        <v>973</v>
      </c>
      <c r="Y724">
        <v>10000</v>
      </c>
      <c r="Z724" s="2" t="s">
        <v>1194</v>
      </c>
      <c r="AA724" s="2">
        <v>1</v>
      </c>
      <c r="AB724">
        <v>0.01</v>
      </c>
      <c r="AC724">
        <v>792</v>
      </c>
      <c r="AD724" t="s">
        <v>1280</v>
      </c>
      <c r="AE724">
        <v>2</v>
      </c>
      <c r="AF724" t="s">
        <v>1290</v>
      </c>
      <c r="AG724">
        <v>0</v>
      </c>
      <c r="AH724">
        <v>0</v>
      </c>
      <c r="AI724">
        <v>0</v>
      </c>
      <c r="AJ724">
        <v>1903</v>
      </c>
      <c r="AK724">
        <v>2005</v>
      </c>
      <c r="AL724">
        <v>2005</v>
      </c>
      <c r="AM724" s="4" t="s">
        <v>1305</v>
      </c>
      <c r="AN724">
        <v>1</v>
      </c>
      <c r="AO724" t="s">
        <v>1316</v>
      </c>
      <c r="AP724">
        <f t="shared" si="22"/>
        <v>0</v>
      </c>
      <c r="AQ724">
        <v>0</v>
      </c>
      <c r="AR724" t="s">
        <v>1993</v>
      </c>
      <c r="AS724" t="s">
        <v>1995</v>
      </c>
      <c r="AT724" t="s">
        <v>1995</v>
      </c>
      <c r="AU724" t="s">
        <v>1996</v>
      </c>
      <c r="AV724" t="s">
        <v>1995</v>
      </c>
      <c r="AW724" t="s">
        <v>1996</v>
      </c>
      <c r="AX724" t="s">
        <v>1194</v>
      </c>
      <c r="AY724" t="s">
        <v>1996</v>
      </c>
      <c r="AZ724">
        <v>5512</v>
      </c>
      <c r="BA724" t="s">
        <v>1194</v>
      </c>
      <c r="BB724" t="s">
        <v>1194</v>
      </c>
      <c r="BC724" s="3">
        <v>0</v>
      </c>
      <c r="BD724" s="3">
        <v>0</v>
      </c>
      <c r="BE724" s="3">
        <v>0</v>
      </c>
      <c r="BF724" s="3">
        <v>0</v>
      </c>
      <c r="BG724" s="3">
        <v>175</v>
      </c>
      <c r="BH724" s="3">
        <v>0</v>
      </c>
      <c r="BI724" s="3">
        <v>0</v>
      </c>
      <c r="BJ724" s="3">
        <v>9347.64</v>
      </c>
      <c r="BK724" s="3">
        <v>2044.41</v>
      </c>
      <c r="BL724" s="3">
        <v>11392.05</v>
      </c>
      <c r="BM724" s="2">
        <f t="shared" ca="1" si="23"/>
        <v>4</v>
      </c>
      <c r="BN724" s="3" t="s">
        <v>2916</v>
      </c>
      <c r="BO724" s="3">
        <v>100000</v>
      </c>
      <c r="BP724" s="3">
        <v>100000</v>
      </c>
      <c r="BQ724" s="3">
        <v>25000</v>
      </c>
      <c r="BR724" s="3">
        <v>100000</v>
      </c>
      <c r="BS724">
        <v>50000</v>
      </c>
      <c r="BT724">
        <v>0</v>
      </c>
      <c r="BU724">
        <v>1</v>
      </c>
      <c r="BV724">
        <v>1</v>
      </c>
      <c r="BW724">
        <v>0</v>
      </c>
      <c r="BX724">
        <v>0</v>
      </c>
      <c r="BY724">
        <v>0</v>
      </c>
      <c r="BZ724" t="s">
        <v>2958</v>
      </c>
      <c r="CA724" t="s">
        <v>1194</v>
      </c>
      <c r="CB724" t="s">
        <v>2945</v>
      </c>
    </row>
    <row r="725" spans="1:80" x14ac:dyDescent="0.25">
      <c r="A725">
        <v>724</v>
      </c>
      <c r="B725" t="s">
        <v>2738</v>
      </c>
      <c r="C725" s="1">
        <v>44727</v>
      </c>
      <c r="D725">
        <v>12</v>
      </c>
      <c r="E725" t="s">
        <v>4</v>
      </c>
      <c r="F725" t="s">
        <v>1311</v>
      </c>
      <c r="G725">
        <v>1</v>
      </c>
      <c r="H725" s="3">
        <v>1920601</v>
      </c>
      <c r="I725" s="3">
        <v>381500</v>
      </c>
      <c r="J725" s="3">
        <v>1335250</v>
      </c>
      <c r="K725" s="3">
        <v>384120.2</v>
      </c>
      <c r="L725" t="s">
        <v>1191</v>
      </c>
      <c r="M725">
        <v>1731941</v>
      </c>
      <c r="N725" t="s">
        <v>1518</v>
      </c>
      <c r="P725" t="s">
        <v>1861</v>
      </c>
      <c r="Q725" t="s">
        <v>1266</v>
      </c>
      <c r="R725">
        <v>37922</v>
      </c>
      <c r="S725" t="s">
        <v>1862</v>
      </c>
      <c r="T725" t="s">
        <v>965</v>
      </c>
      <c r="U725">
        <v>0</v>
      </c>
      <c r="V725">
        <v>5</v>
      </c>
      <c r="W725" t="s">
        <v>1194</v>
      </c>
      <c r="X725" t="s">
        <v>973</v>
      </c>
      <c r="Y725">
        <v>10000</v>
      </c>
      <c r="Z725" s="2" t="s">
        <v>1194</v>
      </c>
      <c r="AA725" s="2" t="s">
        <v>1238</v>
      </c>
      <c r="AB725" t="s">
        <v>1238</v>
      </c>
      <c r="AC725">
        <v>826</v>
      </c>
      <c r="AD725" t="s">
        <v>1279</v>
      </c>
      <c r="AE725">
        <v>3</v>
      </c>
      <c r="AF725" t="s">
        <v>1290</v>
      </c>
      <c r="AG725">
        <v>0</v>
      </c>
      <c r="AH725">
        <v>0</v>
      </c>
      <c r="AI725">
        <v>0</v>
      </c>
      <c r="AJ725">
        <v>2000</v>
      </c>
      <c r="AK725" t="s">
        <v>1194</v>
      </c>
      <c r="AL725">
        <v>2011</v>
      </c>
      <c r="AM725" s="4" t="s">
        <v>1238</v>
      </c>
      <c r="AN725">
        <v>0</v>
      </c>
      <c r="AO725" t="s">
        <v>1315</v>
      </c>
      <c r="AP725">
        <f t="shared" si="22"/>
        <v>0</v>
      </c>
      <c r="AQ725">
        <v>0</v>
      </c>
      <c r="AR725" t="s">
        <v>1993</v>
      </c>
      <c r="AS725" t="s">
        <v>1995</v>
      </c>
      <c r="AT725" t="s">
        <v>1995</v>
      </c>
      <c r="AU725" t="s">
        <v>1996</v>
      </c>
      <c r="AV725" t="s">
        <v>1996</v>
      </c>
      <c r="AW725" t="s">
        <v>1995</v>
      </c>
      <c r="AX725" t="s">
        <v>1194</v>
      </c>
      <c r="AY725" t="s">
        <v>1996</v>
      </c>
      <c r="AZ725">
        <v>5236</v>
      </c>
      <c r="BA725" t="s">
        <v>1194</v>
      </c>
      <c r="BB725" t="s">
        <v>1194</v>
      </c>
      <c r="BC725" s="3">
        <v>0</v>
      </c>
      <c r="BD725" s="3">
        <v>1245.1099999999999</v>
      </c>
      <c r="BE725" s="3">
        <v>0</v>
      </c>
      <c r="BF725" s="3">
        <v>0</v>
      </c>
      <c r="BG725" s="3">
        <v>175</v>
      </c>
      <c r="BH725" s="3">
        <v>0</v>
      </c>
      <c r="BI725" s="3">
        <v>0</v>
      </c>
      <c r="BJ725" s="3">
        <v>6584.08</v>
      </c>
      <c r="BK725" s="3">
        <v>1310.21</v>
      </c>
      <c r="BL725" s="3">
        <v>7894.29</v>
      </c>
      <c r="BM725" s="2">
        <f t="shared" ca="1" si="23"/>
        <v>1</v>
      </c>
      <c r="BN725" s="3" t="s">
        <v>2916</v>
      </c>
      <c r="BO725" s="3">
        <v>50000</v>
      </c>
      <c r="BP725" s="3">
        <v>200000</v>
      </c>
      <c r="BQ725" s="3">
        <v>500000</v>
      </c>
      <c r="BR725" s="3">
        <v>1000000</v>
      </c>
      <c r="BS725">
        <v>50000</v>
      </c>
      <c r="BT725">
        <v>0</v>
      </c>
      <c r="BU725">
        <v>1</v>
      </c>
      <c r="BV725">
        <v>0</v>
      </c>
      <c r="BW725">
        <v>1</v>
      </c>
      <c r="BX725">
        <v>1</v>
      </c>
      <c r="BY725">
        <v>0</v>
      </c>
      <c r="BZ725" t="s">
        <v>2958</v>
      </c>
      <c r="CA725" t="s">
        <v>1194</v>
      </c>
      <c r="CB725" t="s">
        <v>2941</v>
      </c>
    </row>
    <row r="726" spans="1:80" x14ac:dyDescent="0.25">
      <c r="A726">
        <v>725</v>
      </c>
      <c r="B726" t="s">
        <v>2739</v>
      </c>
      <c r="C726" s="1">
        <v>44817</v>
      </c>
      <c r="D726">
        <v>12</v>
      </c>
      <c r="E726" t="s">
        <v>4</v>
      </c>
      <c r="F726" t="s">
        <v>1311</v>
      </c>
      <c r="G726">
        <v>1</v>
      </c>
      <c r="H726" s="3">
        <v>3398195</v>
      </c>
      <c r="I726" s="3">
        <v>319980</v>
      </c>
      <c r="J726" s="3">
        <v>1698458</v>
      </c>
      <c r="K726" s="3">
        <v>679639</v>
      </c>
      <c r="L726" t="s">
        <v>1191</v>
      </c>
      <c r="M726">
        <v>1012210</v>
      </c>
      <c r="N726" t="s">
        <v>1519</v>
      </c>
      <c r="P726" t="s">
        <v>1882</v>
      </c>
      <c r="Q726" t="s">
        <v>1263</v>
      </c>
      <c r="R726">
        <v>19119</v>
      </c>
      <c r="S726" t="s">
        <v>1882</v>
      </c>
      <c r="T726" t="s">
        <v>965</v>
      </c>
      <c r="U726">
        <v>0</v>
      </c>
      <c r="V726">
        <v>11</v>
      </c>
      <c r="W726" t="s">
        <v>1194</v>
      </c>
      <c r="X726" t="s">
        <v>973</v>
      </c>
      <c r="Y726">
        <v>5000</v>
      </c>
      <c r="Z726" s="2" t="s">
        <v>1194</v>
      </c>
      <c r="AA726" s="2">
        <v>1</v>
      </c>
      <c r="AB726">
        <v>0.01</v>
      </c>
      <c r="AC726">
        <v>845</v>
      </c>
      <c r="AD726" t="s">
        <v>1280</v>
      </c>
      <c r="AE726">
        <v>1</v>
      </c>
      <c r="AF726" t="s">
        <v>1290</v>
      </c>
      <c r="AG726">
        <v>0</v>
      </c>
      <c r="AH726">
        <v>0</v>
      </c>
      <c r="AI726">
        <v>0</v>
      </c>
      <c r="AJ726">
        <v>1925</v>
      </c>
      <c r="AK726">
        <v>2000</v>
      </c>
      <c r="AL726">
        <v>2000</v>
      </c>
      <c r="AM726" s="4" t="s">
        <v>1238</v>
      </c>
      <c r="AN726">
        <v>1</v>
      </c>
      <c r="AO726" t="s">
        <v>1315</v>
      </c>
      <c r="AP726">
        <f t="shared" si="22"/>
        <v>0</v>
      </c>
      <c r="AQ726">
        <v>0</v>
      </c>
      <c r="AR726" t="s">
        <v>1993</v>
      </c>
      <c r="AS726" t="s">
        <v>1996</v>
      </c>
      <c r="AT726" t="s">
        <v>1995</v>
      </c>
      <c r="AU726" t="s">
        <v>1996</v>
      </c>
      <c r="AV726" t="s">
        <v>1996</v>
      </c>
      <c r="AW726" t="s">
        <v>1995</v>
      </c>
      <c r="AX726" t="s">
        <v>2003</v>
      </c>
      <c r="AY726" t="s">
        <v>1996</v>
      </c>
      <c r="AZ726">
        <v>4864</v>
      </c>
      <c r="BA726" t="s">
        <v>1194</v>
      </c>
      <c r="BB726" t="s">
        <v>1194</v>
      </c>
      <c r="BC726" s="3">
        <v>0</v>
      </c>
      <c r="BD726" s="3">
        <v>0</v>
      </c>
      <c r="BE726" s="3">
        <v>0</v>
      </c>
      <c r="BF726" s="3">
        <v>0</v>
      </c>
      <c r="BG726" s="3">
        <v>200</v>
      </c>
      <c r="BH726" s="3">
        <v>0</v>
      </c>
      <c r="BI726" s="3">
        <v>0</v>
      </c>
      <c r="BJ726" s="3">
        <v>9375.59</v>
      </c>
      <c r="BK726" s="3">
        <v>481</v>
      </c>
      <c r="BL726" s="3">
        <v>9856.59</v>
      </c>
      <c r="BM726" s="2">
        <f t="shared" ca="1" si="23"/>
        <v>1</v>
      </c>
      <c r="BN726" s="3">
        <v>1000000</v>
      </c>
      <c r="BO726" s="3">
        <v>250000</v>
      </c>
      <c r="BP726" s="3" t="s">
        <v>2922</v>
      </c>
      <c r="BQ726" s="3">
        <v>50000</v>
      </c>
      <c r="BR726" s="3">
        <v>250000</v>
      </c>
      <c r="BS726">
        <v>50000</v>
      </c>
      <c r="BT726">
        <v>0</v>
      </c>
      <c r="BU726">
        <v>0</v>
      </c>
      <c r="BV726">
        <v>1</v>
      </c>
      <c r="BW726">
        <v>0</v>
      </c>
      <c r="BX726">
        <v>0</v>
      </c>
      <c r="BY726">
        <v>0</v>
      </c>
      <c r="BZ726" t="s">
        <v>2959</v>
      </c>
      <c r="CA726" t="s">
        <v>1194</v>
      </c>
      <c r="CB726" t="s">
        <v>2949</v>
      </c>
    </row>
    <row r="727" spans="1:80" x14ac:dyDescent="0.25">
      <c r="A727">
        <v>726</v>
      </c>
      <c r="B727" t="s">
        <v>2740</v>
      </c>
      <c r="C727" s="1">
        <v>44713</v>
      </c>
      <c r="D727">
        <v>21</v>
      </c>
      <c r="E727" t="s">
        <v>4</v>
      </c>
      <c r="F727" t="s">
        <v>1311</v>
      </c>
      <c r="G727">
        <v>1</v>
      </c>
      <c r="H727" s="3">
        <v>2939788</v>
      </c>
      <c r="I727" s="3">
        <v>296251</v>
      </c>
      <c r="J727" s="3">
        <v>0</v>
      </c>
      <c r="K727" s="3">
        <v>0</v>
      </c>
      <c r="L727" t="s">
        <v>1191</v>
      </c>
      <c r="M727">
        <v>1016063</v>
      </c>
      <c r="N727" t="s">
        <v>1520</v>
      </c>
      <c r="P727" t="s">
        <v>1800</v>
      </c>
      <c r="Q727" t="s">
        <v>1270</v>
      </c>
      <c r="R727">
        <v>98199</v>
      </c>
      <c r="S727" t="s">
        <v>1796</v>
      </c>
      <c r="T727" t="s">
        <v>965</v>
      </c>
      <c r="U727">
        <v>1</v>
      </c>
      <c r="V727">
        <v>53</v>
      </c>
      <c r="W727" t="s">
        <v>1194</v>
      </c>
      <c r="X727" t="s">
        <v>1309</v>
      </c>
      <c r="Y727">
        <v>10000</v>
      </c>
      <c r="Z727" s="2" t="s">
        <v>1194</v>
      </c>
      <c r="AA727" s="2" t="s">
        <v>1238</v>
      </c>
      <c r="AB727" t="s">
        <v>1238</v>
      </c>
      <c r="AC727" t="s">
        <v>1194</v>
      </c>
      <c r="AD727" t="s">
        <v>1279</v>
      </c>
      <c r="AE727">
        <v>2</v>
      </c>
      <c r="AF727" t="s">
        <v>1290</v>
      </c>
      <c r="AG727">
        <v>0</v>
      </c>
      <c r="AH727">
        <v>0</v>
      </c>
      <c r="AI727">
        <v>0</v>
      </c>
      <c r="AJ727">
        <v>2010</v>
      </c>
      <c r="AK727" t="s">
        <v>1194</v>
      </c>
      <c r="AL727" t="s">
        <v>1194</v>
      </c>
      <c r="AM727" s="4" t="s">
        <v>1238</v>
      </c>
      <c r="AN727">
        <v>0</v>
      </c>
      <c r="AO727" t="s">
        <v>1316</v>
      </c>
      <c r="AP727">
        <f t="shared" si="22"/>
        <v>0</v>
      </c>
      <c r="AQ727">
        <v>0</v>
      </c>
      <c r="AR727" t="s">
        <v>1993</v>
      </c>
      <c r="AS727" t="s">
        <v>1996</v>
      </c>
      <c r="AT727" t="s">
        <v>1996</v>
      </c>
      <c r="AU727" t="s">
        <v>1995</v>
      </c>
      <c r="AV727" t="s">
        <v>1996</v>
      </c>
      <c r="AW727" t="s">
        <v>1996</v>
      </c>
      <c r="AX727" t="s">
        <v>1194</v>
      </c>
      <c r="AY727" t="s">
        <v>1996</v>
      </c>
      <c r="AZ727">
        <v>2250</v>
      </c>
      <c r="BA727" t="s">
        <v>1194</v>
      </c>
      <c r="BB727" t="s">
        <v>2014</v>
      </c>
      <c r="BC727" s="3">
        <v>0</v>
      </c>
      <c r="BD727" s="3">
        <v>0</v>
      </c>
      <c r="BE727" s="3">
        <v>0</v>
      </c>
      <c r="BF727" s="3">
        <v>0</v>
      </c>
      <c r="BG727" s="3">
        <v>110</v>
      </c>
      <c r="BH727" s="3">
        <v>0</v>
      </c>
      <c r="BI727" s="3">
        <v>0</v>
      </c>
      <c r="BJ727" s="3">
        <v>7716.37</v>
      </c>
      <c r="BK727" s="3">
        <v>-10</v>
      </c>
      <c r="BL727" s="3">
        <v>7706.37</v>
      </c>
      <c r="BM727" s="2">
        <f t="shared" ca="1" si="23"/>
        <v>2</v>
      </c>
      <c r="BN727" s="3">
        <v>100000</v>
      </c>
      <c r="BO727" s="3">
        <v>100000</v>
      </c>
      <c r="BP727" s="3">
        <v>100000</v>
      </c>
      <c r="BQ727" s="3">
        <v>100000</v>
      </c>
      <c r="BR727" s="3">
        <v>1000000</v>
      </c>
      <c r="BS727">
        <v>2000000</v>
      </c>
      <c r="BT727">
        <v>0</v>
      </c>
      <c r="BU727">
        <v>0</v>
      </c>
      <c r="BV727">
        <v>0</v>
      </c>
      <c r="BW727">
        <v>1</v>
      </c>
      <c r="BX727">
        <v>1</v>
      </c>
      <c r="BY727">
        <v>0</v>
      </c>
      <c r="BZ727" t="s">
        <v>2949</v>
      </c>
      <c r="CA727" t="s">
        <v>1194</v>
      </c>
      <c r="CB727" t="s">
        <v>2949</v>
      </c>
    </row>
    <row r="728" spans="1:80" x14ac:dyDescent="0.25">
      <c r="A728">
        <v>727</v>
      </c>
      <c r="B728" t="s">
        <v>2741</v>
      </c>
      <c r="C728" s="1">
        <v>44753</v>
      </c>
      <c r="D728">
        <v>12</v>
      </c>
      <c r="E728" t="s">
        <v>4</v>
      </c>
      <c r="F728" t="s">
        <v>1311</v>
      </c>
      <c r="G728">
        <v>1</v>
      </c>
      <c r="H728" s="3">
        <v>1000000</v>
      </c>
      <c r="I728" s="3">
        <v>200000</v>
      </c>
      <c r="J728" s="3">
        <v>500000</v>
      </c>
      <c r="K728" s="3">
        <v>200000</v>
      </c>
      <c r="L728" t="s">
        <v>1191</v>
      </c>
      <c r="M728">
        <v>1940550</v>
      </c>
      <c r="N728" t="s">
        <v>1521</v>
      </c>
      <c r="P728" t="s">
        <v>1883</v>
      </c>
      <c r="Q728" t="s">
        <v>1246</v>
      </c>
      <c r="R728">
        <v>60062</v>
      </c>
      <c r="S728" t="s">
        <v>1734</v>
      </c>
      <c r="T728" t="s">
        <v>965</v>
      </c>
      <c r="U728">
        <v>0</v>
      </c>
      <c r="V728">
        <v>7</v>
      </c>
      <c r="W728" t="s">
        <v>1194</v>
      </c>
      <c r="X728" t="s">
        <v>973</v>
      </c>
      <c r="Y728">
        <v>10000</v>
      </c>
      <c r="Z728" s="2" t="s">
        <v>1194</v>
      </c>
      <c r="AA728" s="2">
        <v>0</v>
      </c>
      <c r="AB728" t="s">
        <v>1238</v>
      </c>
      <c r="AC728">
        <v>839</v>
      </c>
      <c r="AD728" t="s">
        <v>1284</v>
      </c>
      <c r="AE728">
        <v>1</v>
      </c>
      <c r="AF728" t="s">
        <v>1290</v>
      </c>
      <c r="AG728">
        <v>0</v>
      </c>
      <c r="AH728">
        <v>0</v>
      </c>
      <c r="AI728">
        <v>0</v>
      </c>
      <c r="AJ728">
        <v>2000</v>
      </c>
      <c r="AK728" t="s">
        <v>1194</v>
      </c>
      <c r="AL728">
        <v>2021</v>
      </c>
      <c r="AM728" s="4" t="s">
        <v>1238</v>
      </c>
      <c r="AN728">
        <v>0</v>
      </c>
      <c r="AO728" t="s">
        <v>1316</v>
      </c>
      <c r="AP728">
        <f t="shared" si="22"/>
        <v>0</v>
      </c>
      <c r="AQ728">
        <v>1</v>
      </c>
      <c r="AR728" t="s">
        <v>1992</v>
      </c>
      <c r="AS728" t="s">
        <v>1995</v>
      </c>
      <c r="AT728" t="s">
        <v>1996</v>
      </c>
      <c r="AU728" t="s">
        <v>1995</v>
      </c>
      <c r="AV728" t="s">
        <v>1995</v>
      </c>
      <c r="AW728" t="s">
        <v>1996</v>
      </c>
      <c r="AX728" t="s">
        <v>1194</v>
      </c>
      <c r="AY728" t="s">
        <v>1996</v>
      </c>
      <c r="AZ728">
        <v>3410</v>
      </c>
      <c r="BA728" t="s">
        <v>1194</v>
      </c>
      <c r="BB728" t="s">
        <v>1194</v>
      </c>
      <c r="BC728" s="3">
        <v>0</v>
      </c>
      <c r="BD728" s="3">
        <v>0</v>
      </c>
      <c r="BE728" s="3">
        <v>0</v>
      </c>
      <c r="BF728" s="3">
        <v>0</v>
      </c>
      <c r="BG728" s="3">
        <v>175</v>
      </c>
      <c r="BH728" s="3">
        <v>0</v>
      </c>
      <c r="BI728" s="3">
        <v>0</v>
      </c>
      <c r="BJ728" s="3">
        <v>2635.27</v>
      </c>
      <c r="BK728" s="3">
        <v>375</v>
      </c>
      <c r="BL728" s="3">
        <v>3010.27</v>
      </c>
      <c r="BM728" s="2">
        <f t="shared" ca="1" si="23"/>
        <v>1</v>
      </c>
      <c r="BN728" s="3">
        <v>100000</v>
      </c>
      <c r="BO728" s="3">
        <v>25000</v>
      </c>
      <c r="BP728" s="3">
        <v>50000</v>
      </c>
      <c r="BQ728" s="3">
        <v>50000</v>
      </c>
      <c r="BR728" s="3">
        <v>500000</v>
      </c>
      <c r="BS728">
        <v>50000</v>
      </c>
      <c r="BT728">
        <v>0</v>
      </c>
      <c r="BU728">
        <v>0</v>
      </c>
      <c r="BV728">
        <v>1</v>
      </c>
      <c r="BW728">
        <v>0</v>
      </c>
      <c r="BX728">
        <v>0</v>
      </c>
      <c r="BY728">
        <v>0</v>
      </c>
      <c r="BZ728" t="s">
        <v>2958</v>
      </c>
      <c r="CA728" t="s">
        <v>1194</v>
      </c>
      <c r="CB728" t="s">
        <v>2941</v>
      </c>
    </row>
    <row r="729" spans="1:80" x14ac:dyDescent="0.25">
      <c r="A729">
        <v>728</v>
      </c>
      <c r="B729" t="s">
        <v>2742</v>
      </c>
      <c r="C729" s="1">
        <v>44792</v>
      </c>
      <c r="D729">
        <v>12</v>
      </c>
      <c r="E729" t="s">
        <v>6</v>
      </c>
      <c r="F729" t="s">
        <v>1310</v>
      </c>
      <c r="G729">
        <v>1</v>
      </c>
      <c r="H729" s="3">
        <v>2775000</v>
      </c>
      <c r="I729" s="3">
        <v>600000</v>
      </c>
      <c r="J729" s="3">
        <v>1110000</v>
      </c>
      <c r="K729" s="3">
        <v>0</v>
      </c>
      <c r="L729" t="s">
        <v>1191</v>
      </c>
      <c r="M729">
        <v>1959884</v>
      </c>
      <c r="N729" t="s">
        <v>1522</v>
      </c>
      <c r="P729" t="s">
        <v>1884</v>
      </c>
      <c r="Q729" t="s">
        <v>1268</v>
      </c>
      <c r="R729">
        <v>22207</v>
      </c>
      <c r="S729" t="s">
        <v>1884</v>
      </c>
      <c r="T729" t="s">
        <v>965</v>
      </c>
      <c r="U729">
        <v>0</v>
      </c>
      <c r="V729">
        <v>10</v>
      </c>
      <c r="W729" t="s">
        <v>1194</v>
      </c>
      <c r="X729" t="s">
        <v>973</v>
      </c>
      <c r="Y729">
        <v>10000</v>
      </c>
      <c r="Z729" s="2" t="s">
        <v>1194</v>
      </c>
      <c r="AA729" s="2" t="s">
        <v>1238</v>
      </c>
      <c r="AB729" t="s">
        <v>1238</v>
      </c>
      <c r="AC729">
        <v>767</v>
      </c>
      <c r="AD729" t="s">
        <v>1284</v>
      </c>
      <c r="AE729">
        <v>2</v>
      </c>
      <c r="AF729" t="s">
        <v>1290</v>
      </c>
      <c r="AG729">
        <v>0</v>
      </c>
      <c r="AH729">
        <v>0</v>
      </c>
      <c r="AI729">
        <v>0</v>
      </c>
      <c r="AJ729">
        <v>1936</v>
      </c>
      <c r="AK729" t="s">
        <v>1194</v>
      </c>
      <c r="AL729">
        <v>2014</v>
      </c>
      <c r="AM729" s="4" t="s">
        <v>1308</v>
      </c>
      <c r="AN729">
        <v>0</v>
      </c>
      <c r="AO729" t="s">
        <v>1316</v>
      </c>
      <c r="AP729">
        <f t="shared" si="22"/>
        <v>0</v>
      </c>
      <c r="AQ729">
        <v>1</v>
      </c>
      <c r="AR729" t="s">
        <v>1992</v>
      </c>
      <c r="AS729" t="s">
        <v>1995</v>
      </c>
      <c r="AT729" t="s">
        <v>1996</v>
      </c>
      <c r="AU729" t="s">
        <v>1995</v>
      </c>
      <c r="AV729" t="s">
        <v>1996</v>
      </c>
      <c r="AW729" t="s">
        <v>1995</v>
      </c>
      <c r="AX729" t="s">
        <v>2003</v>
      </c>
      <c r="AY729" t="s">
        <v>1996</v>
      </c>
      <c r="AZ729">
        <v>3610</v>
      </c>
      <c r="BA729" t="s">
        <v>1194</v>
      </c>
      <c r="BB729" t="s">
        <v>1194</v>
      </c>
      <c r="BC729" s="3">
        <v>0</v>
      </c>
      <c r="BD729" s="3">
        <v>0</v>
      </c>
      <c r="BE729" s="3">
        <v>0</v>
      </c>
      <c r="BF729" s="3">
        <v>0</v>
      </c>
      <c r="BG729" s="3">
        <v>210</v>
      </c>
      <c r="BH729" s="3">
        <v>0</v>
      </c>
      <c r="BI729" s="3">
        <v>0</v>
      </c>
      <c r="BJ729" s="3">
        <v>6329.29</v>
      </c>
      <c r="BK729" s="3">
        <v>-15</v>
      </c>
      <c r="BL729" s="3">
        <v>6314.29</v>
      </c>
      <c r="BM729" s="2">
        <f t="shared" ca="1" si="23"/>
        <v>1</v>
      </c>
      <c r="BN729" s="3">
        <v>2000000</v>
      </c>
      <c r="BO729" s="3">
        <v>50000</v>
      </c>
      <c r="BP729" s="3">
        <v>50000</v>
      </c>
      <c r="BQ729" s="3">
        <v>500000</v>
      </c>
      <c r="BR729" s="3">
        <v>50000</v>
      </c>
      <c r="BS729">
        <v>100000</v>
      </c>
      <c r="BT729">
        <v>0</v>
      </c>
      <c r="BU729">
        <v>0</v>
      </c>
      <c r="BV729">
        <v>1</v>
      </c>
      <c r="BW729">
        <v>0</v>
      </c>
      <c r="BX729">
        <v>0</v>
      </c>
      <c r="BY729">
        <v>0</v>
      </c>
      <c r="BZ729" t="s">
        <v>2949</v>
      </c>
      <c r="CA729" t="s">
        <v>1194</v>
      </c>
      <c r="CB729" t="s">
        <v>2949</v>
      </c>
    </row>
    <row r="730" spans="1:80" x14ac:dyDescent="0.25">
      <c r="A730">
        <v>729</v>
      </c>
      <c r="B730" t="s">
        <v>2743</v>
      </c>
      <c r="C730" s="1">
        <v>44828</v>
      </c>
      <c r="D730">
        <v>45</v>
      </c>
      <c r="E730" t="s">
        <v>4</v>
      </c>
      <c r="F730" t="s">
        <v>1311</v>
      </c>
      <c r="G730">
        <v>0</v>
      </c>
      <c r="H730" s="3">
        <v>1842645</v>
      </c>
      <c r="I730" s="3">
        <v>240945</v>
      </c>
      <c r="J730" s="3">
        <v>921323</v>
      </c>
      <c r="K730" s="3">
        <v>368529</v>
      </c>
      <c r="L730" t="s">
        <v>1191</v>
      </c>
      <c r="M730">
        <v>1733613</v>
      </c>
      <c r="N730" t="s">
        <v>1523</v>
      </c>
      <c r="P730" t="s">
        <v>41</v>
      </c>
      <c r="Q730" t="s">
        <v>1270</v>
      </c>
      <c r="R730">
        <v>98272</v>
      </c>
      <c r="S730" t="s">
        <v>1885</v>
      </c>
      <c r="T730" t="s">
        <v>965</v>
      </c>
      <c r="U730">
        <v>0</v>
      </c>
      <c r="V730">
        <v>145</v>
      </c>
      <c r="W730" t="s">
        <v>1194</v>
      </c>
      <c r="X730" t="s">
        <v>973</v>
      </c>
      <c r="Y730">
        <v>10000</v>
      </c>
      <c r="Z730" s="2" t="s">
        <v>1194</v>
      </c>
      <c r="AA730" s="2" t="s">
        <v>1238</v>
      </c>
      <c r="AB730" t="s">
        <v>1238</v>
      </c>
      <c r="AC730" t="s">
        <v>1194</v>
      </c>
      <c r="AD730" t="s">
        <v>1279</v>
      </c>
      <c r="AE730">
        <v>5</v>
      </c>
      <c r="AF730" t="s">
        <v>1290</v>
      </c>
      <c r="AG730">
        <v>0</v>
      </c>
      <c r="AH730">
        <v>0</v>
      </c>
      <c r="AI730">
        <v>0</v>
      </c>
      <c r="AJ730">
        <v>2021</v>
      </c>
      <c r="AK730" t="s">
        <v>1194</v>
      </c>
      <c r="AL730" t="s">
        <v>1194</v>
      </c>
      <c r="AM730" s="4" t="s">
        <v>1238</v>
      </c>
      <c r="AN730">
        <v>1</v>
      </c>
      <c r="AO730" t="s">
        <v>1315</v>
      </c>
      <c r="AP730">
        <f t="shared" si="22"/>
        <v>0</v>
      </c>
      <c r="AQ730">
        <v>0</v>
      </c>
      <c r="AR730" t="s">
        <v>1993</v>
      </c>
      <c r="AS730" t="s">
        <v>1996</v>
      </c>
      <c r="AT730" t="s">
        <v>1996</v>
      </c>
      <c r="AU730" t="s">
        <v>1996</v>
      </c>
      <c r="AV730" t="s">
        <v>1996</v>
      </c>
      <c r="AW730" t="s">
        <v>1995</v>
      </c>
      <c r="AX730" t="s">
        <v>1194</v>
      </c>
      <c r="AY730" t="s">
        <v>1996</v>
      </c>
      <c r="AZ730">
        <v>4200</v>
      </c>
      <c r="BA730" t="s">
        <v>1194</v>
      </c>
      <c r="BB730" t="s">
        <v>2016</v>
      </c>
      <c r="BC730" s="3">
        <v>0</v>
      </c>
      <c r="BD730" s="3">
        <v>0</v>
      </c>
      <c r="BE730" s="3">
        <v>0</v>
      </c>
      <c r="BF730" s="3">
        <v>0</v>
      </c>
      <c r="BG730" s="3">
        <v>110</v>
      </c>
      <c r="BH730" s="3">
        <v>0</v>
      </c>
      <c r="BI730" s="3">
        <v>0</v>
      </c>
      <c r="BJ730" s="3">
        <v>3884.53</v>
      </c>
      <c r="BK730" s="3">
        <v>1413.12</v>
      </c>
      <c r="BL730" s="3">
        <v>5297.65</v>
      </c>
      <c r="BM730" s="2">
        <f t="shared" ca="1" si="23"/>
        <v>2</v>
      </c>
      <c r="BN730" s="3">
        <v>2000000</v>
      </c>
      <c r="BO730" s="3">
        <v>20000</v>
      </c>
      <c r="BP730" s="3">
        <v>200000</v>
      </c>
      <c r="BQ730" s="3">
        <v>2000000</v>
      </c>
      <c r="BR730" s="3">
        <v>100000</v>
      </c>
      <c r="BS730">
        <v>50000</v>
      </c>
      <c r="BT730">
        <v>0</v>
      </c>
      <c r="BU730">
        <v>1</v>
      </c>
      <c r="BV730">
        <v>0</v>
      </c>
      <c r="BW730">
        <v>1</v>
      </c>
      <c r="BX730">
        <v>1</v>
      </c>
      <c r="BY730">
        <v>0</v>
      </c>
      <c r="BZ730" t="s">
        <v>2949</v>
      </c>
      <c r="CA730" t="s">
        <v>1194</v>
      </c>
      <c r="CB730" t="s">
        <v>2949</v>
      </c>
    </row>
    <row r="731" spans="1:80" x14ac:dyDescent="0.25">
      <c r="A731">
        <v>730</v>
      </c>
      <c r="B731" t="s">
        <v>2744</v>
      </c>
      <c r="C731" s="1">
        <v>44864</v>
      </c>
      <c r="D731">
        <v>12</v>
      </c>
      <c r="E731" t="s">
        <v>4</v>
      </c>
      <c r="F731" t="s">
        <v>1311</v>
      </c>
      <c r="G731">
        <v>0</v>
      </c>
      <c r="H731" s="3">
        <v>2156156</v>
      </c>
      <c r="I731" s="3">
        <v>459980</v>
      </c>
      <c r="J731" s="3">
        <v>0</v>
      </c>
      <c r="K731" s="3">
        <v>0</v>
      </c>
      <c r="L731" t="s">
        <v>1191</v>
      </c>
      <c r="M731">
        <v>1571318</v>
      </c>
      <c r="N731" t="s">
        <v>1524</v>
      </c>
      <c r="P731" t="s">
        <v>1886</v>
      </c>
      <c r="Q731" t="s">
        <v>1236</v>
      </c>
      <c r="R731">
        <v>72348</v>
      </c>
      <c r="S731" t="s">
        <v>1887</v>
      </c>
      <c r="T731" t="s">
        <v>965</v>
      </c>
      <c r="U731">
        <v>0</v>
      </c>
      <c r="V731">
        <v>3</v>
      </c>
      <c r="W731" t="s">
        <v>1194</v>
      </c>
      <c r="X731" t="s">
        <v>973</v>
      </c>
      <c r="Y731">
        <v>50000</v>
      </c>
      <c r="Z731" s="2" t="s">
        <v>1194</v>
      </c>
      <c r="AA731" s="2">
        <v>1</v>
      </c>
      <c r="AB731" t="s">
        <v>1277</v>
      </c>
      <c r="AC731">
        <v>836</v>
      </c>
      <c r="AD731" t="s">
        <v>1279</v>
      </c>
      <c r="AE731">
        <v>5</v>
      </c>
      <c r="AF731" t="s">
        <v>1290</v>
      </c>
      <c r="AG731">
        <v>0</v>
      </c>
      <c r="AH731">
        <v>0</v>
      </c>
      <c r="AI731">
        <v>0</v>
      </c>
      <c r="AJ731">
        <v>1974</v>
      </c>
      <c r="AK731">
        <v>1990</v>
      </c>
      <c r="AL731">
        <v>2010</v>
      </c>
      <c r="AM731" s="4" t="s">
        <v>1238</v>
      </c>
      <c r="AN731">
        <v>1</v>
      </c>
      <c r="AO731" t="s">
        <v>1315</v>
      </c>
      <c r="AP731">
        <f t="shared" si="22"/>
        <v>0</v>
      </c>
      <c r="AQ731">
        <v>0</v>
      </c>
      <c r="AR731" t="s">
        <v>1993</v>
      </c>
      <c r="AS731" t="s">
        <v>1995</v>
      </c>
      <c r="AT731" t="s">
        <v>1996</v>
      </c>
      <c r="AU731" t="s">
        <v>1996</v>
      </c>
      <c r="AV731" t="s">
        <v>1996</v>
      </c>
      <c r="AW731" t="s">
        <v>1995</v>
      </c>
      <c r="AX731" t="s">
        <v>1194</v>
      </c>
      <c r="AY731" t="s">
        <v>1996</v>
      </c>
      <c r="AZ731">
        <v>7500</v>
      </c>
      <c r="BA731" t="s">
        <v>1194</v>
      </c>
      <c r="BB731" t="s">
        <v>1194</v>
      </c>
      <c r="BC731" s="3">
        <v>0</v>
      </c>
      <c r="BD731" s="3">
        <v>0</v>
      </c>
      <c r="BE731" s="3">
        <v>0</v>
      </c>
      <c r="BF731" s="3">
        <v>0</v>
      </c>
      <c r="BG731" s="3">
        <v>175</v>
      </c>
      <c r="BH731" s="3">
        <v>0</v>
      </c>
      <c r="BI731" s="3">
        <v>0</v>
      </c>
      <c r="BJ731" s="3">
        <v>10907.75</v>
      </c>
      <c r="BK731" s="3">
        <v>-15</v>
      </c>
      <c r="BL731" s="3">
        <v>10892.75</v>
      </c>
      <c r="BM731" s="2">
        <f t="shared" ca="1" si="23"/>
        <v>1</v>
      </c>
      <c r="BN731" s="3">
        <v>250000</v>
      </c>
      <c r="BO731" s="3">
        <v>50000</v>
      </c>
      <c r="BP731" s="3" t="s">
        <v>2922</v>
      </c>
      <c r="BQ731" s="3">
        <v>500000</v>
      </c>
      <c r="BR731" s="3">
        <v>250000</v>
      </c>
      <c r="BS731">
        <v>500000</v>
      </c>
      <c r="BT731">
        <v>0</v>
      </c>
      <c r="BU731">
        <v>0</v>
      </c>
      <c r="BV731">
        <v>0</v>
      </c>
      <c r="BW731">
        <v>1</v>
      </c>
      <c r="BX731">
        <v>1</v>
      </c>
      <c r="BY731">
        <v>0</v>
      </c>
      <c r="BZ731" t="s">
        <v>2958</v>
      </c>
      <c r="CA731" t="s">
        <v>1194</v>
      </c>
      <c r="CB731" t="s">
        <v>2945</v>
      </c>
    </row>
    <row r="732" spans="1:80" x14ac:dyDescent="0.25">
      <c r="A732">
        <v>731</v>
      </c>
      <c r="B732" t="s">
        <v>2745</v>
      </c>
      <c r="C732" s="1">
        <v>44722</v>
      </c>
      <c r="D732">
        <v>12</v>
      </c>
      <c r="E732" t="s">
        <v>4</v>
      </c>
      <c r="F732" t="s">
        <v>1311</v>
      </c>
      <c r="G732">
        <v>0</v>
      </c>
      <c r="H732" s="3">
        <v>3679840</v>
      </c>
      <c r="I732" s="3">
        <v>287488</v>
      </c>
      <c r="J732" s="3">
        <v>1000000</v>
      </c>
      <c r="K732" s="3">
        <v>0</v>
      </c>
      <c r="L732" t="s">
        <v>1191</v>
      </c>
      <c r="M732">
        <v>42925</v>
      </c>
      <c r="N732" t="s">
        <v>1525</v>
      </c>
      <c r="P732" t="s">
        <v>1888</v>
      </c>
      <c r="Q732" t="s">
        <v>1240</v>
      </c>
      <c r="R732">
        <v>6405</v>
      </c>
      <c r="S732" t="s">
        <v>1889</v>
      </c>
      <c r="T732" t="s">
        <v>979</v>
      </c>
      <c r="U732">
        <v>1</v>
      </c>
      <c r="V732">
        <v>71</v>
      </c>
      <c r="W732" t="s">
        <v>1194</v>
      </c>
      <c r="X732" t="s">
        <v>1309</v>
      </c>
      <c r="Y732">
        <v>25000</v>
      </c>
      <c r="Z732" s="2" t="s">
        <v>1194</v>
      </c>
      <c r="AA732" s="2" t="s">
        <v>1238</v>
      </c>
      <c r="AB732" t="s">
        <v>1238</v>
      </c>
      <c r="AC732">
        <v>997</v>
      </c>
      <c r="AD732" t="s">
        <v>1279</v>
      </c>
      <c r="AE732">
        <v>4</v>
      </c>
      <c r="AF732" t="s">
        <v>1290</v>
      </c>
      <c r="AG732">
        <v>0</v>
      </c>
      <c r="AH732">
        <v>0</v>
      </c>
      <c r="AI732">
        <v>0</v>
      </c>
      <c r="AJ732">
        <v>1946</v>
      </c>
      <c r="AK732" t="s">
        <v>1194</v>
      </c>
      <c r="AL732" t="s">
        <v>1194</v>
      </c>
      <c r="AM732" s="4" t="s">
        <v>1238</v>
      </c>
      <c r="AN732">
        <v>1</v>
      </c>
      <c r="AO732" t="s">
        <v>1316</v>
      </c>
      <c r="AP732">
        <f t="shared" si="22"/>
        <v>0</v>
      </c>
      <c r="AQ732">
        <v>1</v>
      </c>
      <c r="AR732" t="s">
        <v>1992</v>
      </c>
      <c r="AS732" t="s">
        <v>1995</v>
      </c>
      <c r="AT732" t="s">
        <v>1995</v>
      </c>
      <c r="AU732" t="s">
        <v>1995</v>
      </c>
      <c r="AV732" t="s">
        <v>1995</v>
      </c>
      <c r="AW732" t="s">
        <v>1996</v>
      </c>
      <c r="AX732" t="s">
        <v>2003</v>
      </c>
      <c r="AY732" t="s">
        <v>1996</v>
      </c>
      <c r="AZ732">
        <v>5046</v>
      </c>
      <c r="BA732" t="s">
        <v>1194</v>
      </c>
      <c r="BB732" t="s">
        <v>1194</v>
      </c>
      <c r="BC732" s="3">
        <v>0</v>
      </c>
      <c r="BD732" s="3">
        <v>2239.44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11223</v>
      </c>
      <c r="BK732" s="3">
        <v>-10</v>
      </c>
      <c r="BL732" s="3">
        <v>11213</v>
      </c>
      <c r="BM732" s="2">
        <f t="shared" ca="1" si="23"/>
        <v>2</v>
      </c>
      <c r="BN732" s="3">
        <v>500000</v>
      </c>
      <c r="BO732" s="3">
        <v>100000</v>
      </c>
      <c r="BP732" s="3">
        <v>50000</v>
      </c>
      <c r="BQ732" s="3">
        <v>50000</v>
      </c>
      <c r="BR732" s="3">
        <v>50000</v>
      </c>
      <c r="BS732">
        <v>250000</v>
      </c>
      <c r="BT732">
        <v>0</v>
      </c>
      <c r="BU732">
        <v>0</v>
      </c>
      <c r="BV732">
        <v>0</v>
      </c>
      <c r="BW732">
        <v>1</v>
      </c>
      <c r="BX732">
        <v>0</v>
      </c>
      <c r="BY732">
        <v>0</v>
      </c>
      <c r="BZ732" t="s">
        <v>2949</v>
      </c>
      <c r="CA732" t="s">
        <v>1194</v>
      </c>
      <c r="CB732" t="s">
        <v>2949</v>
      </c>
    </row>
    <row r="733" spans="1:80" x14ac:dyDescent="0.25">
      <c r="A733">
        <v>732</v>
      </c>
      <c r="B733" t="s">
        <v>2746</v>
      </c>
      <c r="C733" s="1">
        <v>44743</v>
      </c>
      <c r="D733">
        <v>12</v>
      </c>
      <c r="E733" t="s">
        <v>4</v>
      </c>
      <c r="F733" t="s">
        <v>1311</v>
      </c>
      <c r="G733">
        <v>0</v>
      </c>
      <c r="H733" s="3">
        <v>0</v>
      </c>
      <c r="I733" s="3">
        <v>0</v>
      </c>
      <c r="J733" s="3">
        <v>800000</v>
      </c>
      <c r="K733" s="3">
        <v>160000</v>
      </c>
      <c r="L733" t="s">
        <v>1192</v>
      </c>
      <c r="M733">
        <v>1997933</v>
      </c>
      <c r="N733" t="s">
        <v>1526</v>
      </c>
      <c r="P733" t="s">
        <v>1890</v>
      </c>
      <c r="Q733" t="s">
        <v>1262</v>
      </c>
      <c r="R733">
        <v>97702</v>
      </c>
      <c r="S733" t="s">
        <v>1891</v>
      </c>
      <c r="T733" t="s">
        <v>965</v>
      </c>
      <c r="U733">
        <v>0</v>
      </c>
      <c r="V733">
        <v>1</v>
      </c>
      <c r="W733" t="s">
        <v>1194</v>
      </c>
      <c r="X733" t="s">
        <v>973</v>
      </c>
      <c r="Y733">
        <v>10000</v>
      </c>
      <c r="Z733" s="2" t="s">
        <v>1194</v>
      </c>
      <c r="AA733" s="2" t="s">
        <v>1238</v>
      </c>
      <c r="AB733" t="s">
        <v>1238</v>
      </c>
      <c r="AC733">
        <v>727</v>
      </c>
      <c r="AD733" t="s">
        <v>1279</v>
      </c>
      <c r="AE733">
        <v>3</v>
      </c>
      <c r="AF733" t="s">
        <v>1290</v>
      </c>
      <c r="AG733">
        <v>0</v>
      </c>
      <c r="AH733">
        <v>0</v>
      </c>
      <c r="AI733">
        <v>0</v>
      </c>
      <c r="AJ733">
        <v>2004</v>
      </c>
      <c r="AK733">
        <v>2022</v>
      </c>
      <c r="AL733">
        <v>2004</v>
      </c>
      <c r="AM733" s="4" t="s">
        <v>1238</v>
      </c>
      <c r="AN733">
        <v>1</v>
      </c>
      <c r="AO733" t="s">
        <v>1315</v>
      </c>
      <c r="AP733">
        <f t="shared" si="22"/>
        <v>0</v>
      </c>
      <c r="AQ733">
        <v>0</v>
      </c>
      <c r="AR733" t="s">
        <v>1993</v>
      </c>
      <c r="AS733" t="s">
        <v>1995</v>
      </c>
      <c r="AT733" t="s">
        <v>1996</v>
      </c>
      <c r="AU733" t="s">
        <v>1996</v>
      </c>
      <c r="AV733" t="s">
        <v>1995</v>
      </c>
      <c r="AW733" t="s">
        <v>1996</v>
      </c>
      <c r="AX733" t="s">
        <v>1194</v>
      </c>
      <c r="AY733" t="s">
        <v>1996</v>
      </c>
      <c r="AZ733">
        <v>2290</v>
      </c>
      <c r="BA733" t="s">
        <v>1194</v>
      </c>
      <c r="BB733" t="s">
        <v>2016</v>
      </c>
      <c r="BC733" s="3">
        <v>0</v>
      </c>
      <c r="BD733" s="3">
        <v>301.88</v>
      </c>
      <c r="BE733" s="3">
        <v>0</v>
      </c>
      <c r="BF733" s="3">
        <v>301.88</v>
      </c>
      <c r="BG733" s="3">
        <v>210</v>
      </c>
      <c r="BH733" s="3">
        <v>0</v>
      </c>
      <c r="BI733" s="3">
        <v>0</v>
      </c>
      <c r="BJ733" s="3">
        <v>2771.81</v>
      </c>
      <c r="BK733" s="3">
        <v>0</v>
      </c>
      <c r="BL733" s="3">
        <v>2771.81</v>
      </c>
      <c r="BM733" s="2">
        <f t="shared" ca="1" si="23"/>
        <v>5</v>
      </c>
      <c r="BN733" s="3">
        <v>500000</v>
      </c>
      <c r="BO733" s="3">
        <v>250000</v>
      </c>
      <c r="BP733" s="3">
        <v>50000</v>
      </c>
      <c r="BQ733" s="3">
        <v>500000</v>
      </c>
      <c r="BR733" s="3">
        <v>500000</v>
      </c>
      <c r="BS733">
        <v>50000</v>
      </c>
      <c r="BT733">
        <v>0</v>
      </c>
      <c r="BU733">
        <v>0</v>
      </c>
      <c r="BV733">
        <v>0</v>
      </c>
      <c r="BW733">
        <v>1</v>
      </c>
      <c r="BX733">
        <v>1</v>
      </c>
      <c r="BY733">
        <v>0</v>
      </c>
      <c r="BZ733" t="s">
        <v>1194</v>
      </c>
      <c r="CA733" t="s">
        <v>1194</v>
      </c>
      <c r="CB733" t="s">
        <v>1194</v>
      </c>
    </row>
    <row r="734" spans="1:80" x14ac:dyDescent="0.25">
      <c r="A734">
        <v>733</v>
      </c>
      <c r="B734" t="s">
        <v>2747</v>
      </c>
      <c r="C734" s="1">
        <v>44691</v>
      </c>
      <c r="D734">
        <v>33</v>
      </c>
      <c r="E734" t="s">
        <v>4</v>
      </c>
      <c r="F734" t="s">
        <v>1311</v>
      </c>
      <c r="G734">
        <v>1</v>
      </c>
      <c r="H734" s="3">
        <v>2398000</v>
      </c>
      <c r="I734" s="3">
        <v>479600</v>
      </c>
      <c r="J734" s="3">
        <v>1199000</v>
      </c>
      <c r="K734" s="3">
        <v>0</v>
      </c>
      <c r="L734" t="s">
        <v>1191</v>
      </c>
      <c r="M734">
        <v>1678515</v>
      </c>
      <c r="N734" t="s">
        <v>1527</v>
      </c>
      <c r="P734" t="s">
        <v>1892</v>
      </c>
      <c r="Q734" t="s">
        <v>1250</v>
      </c>
      <c r="R734">
        <v>20854</v>
      </c>
      <c r="S734" t="s">
        <v>1703</v>
      </c>
      <c r="T734" t="s">
        <v>1238</v>
      </c>
      <c r="U734">
        <v>0</v>
      </c>
      <c r="V734">
        <v>20</v>
      </c>
      <c r="W734" t="s">
        <v>1194</v>
      </c>
      <c r="X734" t="s">
        <v>973</v>
      </c>
      <c r="Y734">
        <v>10000</v>
      </c>
      <c r="Z734" s="2" t="s">
        <v>1194</v>
      </c>
      <c r="AA734" s="2" t="s">
        <v>1238</v>
      </c>
      <c r="AB734" t="s">
        <v>1238</v>
      </c>
      <c r="AC734" t="s">
        <v>1194</v>
      </c>
      <c r="AD734" t="s">
        <v>1284</v>
      </c>
      <c r="AE734">
        <v>2</v>
      </c>
      <c r="AF734" t="s">
        <v>1290</v>
      </c>
      <c r="AG734">
        <v>0</v>
      </c>
      <c r="AH734">
        <v>0</v>
      </c>
      <c r="AI734">
        <v>0</v>
      </c>
      <c r="AJ734">
        <v>1965</v>
      </c>
      <c r="AK734" t="s">
        <v>1194</v>
      </c>
      <c r="AL734" t="s">
        <v>1194</v>
      </c>
      <c r="AM734" s="4" t="s">
        <v>1238</v>
      </c>
      <c r="AN734">
        <v>0</v>
      </c>
      <c r="AO734" t="s">
        <v>1315</v>
      </c>
      <c r="AP734">
        <f t="shared" si="22"/>
        <v>0</v>
      </c>
      <c r="AQ734">
        <v>1</v>
      </c>
      <c r="AR734" t="s">
        <v>1992</v>
      </c>
      <c r="AS734" t="s">
        <v>1995</v>
      </c>
      <c r="AT734" t="s">
        <v>1995</v>
      </c>
      <c r="AU734" t="s">
        <v>1995</v>
      </c>
      <c r="AV734" t="s">
        <v>1995</v>
      </c>
      <c r="AW734" t="s">
        <v>1996</v>
      </c>
      <c r="AX734" t="s">
        <v>2003</v>
      </c>
      <c r="AY734" t="s">
        <v>1996</v>
      </c>
      <c r="AZ734">
        <v>5074</v>
      </c>
      <c r="BA734" t="s">
        <v>1194</v>
      </c>
      <c r="BB734" t="s">
        <v>1194</v>
      </c>
      <c r="BC734" s="3">
        <v>0</v>
      </c>
      <c r="BD734" s="3">
        <v>0</v>
      </c>
      <c r="BE734" s="3">
        <v>0</v>
      </c>
      <c r="BF734" s="3">
        <v>0</v>
      </c>
      <c r="BG734" s="3">
        <v>150</v>
      </c>
      <c r="BH734" s="3">
        <v>0</v>
      </c>
      <c r="BI734" s="3">
        <v>0</v>
      </c>
      <c r="BJ734" s="3">
        <v>6830.36</v>
      </c>
      <c r="BK734" s="3">
        <v>-5</v>
      </c>
      <c r="BL734" s="3">
        <v>6825.36</v>
      </c>
      <c r="BM734" s="2">
        <f t="shared" ca="1" si="23"/>
        <v>0</v>
      </c>
      <c r="BN734" s="3">
        <v>250000</v>
      </c>
      <c r="BO734" s="3">
        <v>250000</v>
      </c>
      <c r="BP734" s="3">
        <v>100000</v>
      </c>
      <c r="BQ734" s="3">
        <v>250000</v>
      </c>
      <c r="BR734" s="3">
        <v>50000</v>
      </c>
      <c r="BS734">
        <v>50000</v>
      </c>
      <c r="BT734">
        <v>0</v>
      </c>
      <c r="BU734">
        <v>0</v>
      </c>
      <c r="BV734">
        <v>1</v>
      </c>
      <c r="BW734">
        <v>0</v>
      </c>
      <c r="BX734">
        <v>0</v>
      </c>
      <c r="BY734">
        <v>0</v>
      </c>
      <c r="BZ734" t="s">
        <v>2949</v>
      </c>
      <c r="CA734" t="s">
        <v>1194</v>
      </c>
      <c r="CB734" t="s">
        <v>2949</v>
      </c>
    </row>
    <row r="735" spans="1:80" x14ac:dyDescent="0.25">
      <c r="A735">
        <v>734</v>
      </c>
      <c r="B735" t="s">
        <v>2748</v>
      </c>
      <c r="C735" s="1">
        <v>44760</v>
      </c>
      <c r="D735">
        <v>12</v>
      </c>
      <c r="E735" t="s">
        <v>5</v>
      </c>
      <c r="F735" t="s">
        <v>1310</v>
      </c>
      <c r="G735">
        <v>0</v>
      </c>
      <c r="H735" s="3">
        <v>1802588</v>
      </c>
      <c r="I735" s="3">
        <v>360518</v>
      </c>
      <c r="J735" s="3">
        <v>901294</v>
      </c>
      <c r="K735" s="3">
        <v>360517.6</v>
      </c>
      <c r="L735" t="s">
        <v>1191</v>
      </c>
      <c r="M735">
        <v>551708</v>
      </c>
      <c r="N735" t="s">
        <v>1528</v>
      </c>
      <c r="P735" t="s">
        <v>1893</v>
      </c>
      <c r="Q735" t="s">
        <v>1264</v>
      </c>
      <c r="R735">
        <v>2806</v>
      </c>
      <c r="S735" t="s">
        <v>1894</v>
      </c>
      <c r="T735" t="s">
        <v>979</v>
      </c>
      <c r="U735">
        <v>0</v>
      </c>
      <c r="V735">
        <v>9</v>
      </c>
      <c r="W735" t="s">
        <v>1194</v>
      </c>
      <c r="X735" t="s">
        <v>973</v>
      </c>
      <c r="Y735">
        <v>10000</v>
      </c>
      <c r="Z735" s="2" t="s">
        <v>1194</v>
      </c>
      <c r="AA735" s="2" t="s">
        <v>1238</v>
      </c>
      <c r="AB735" t="s">
        <v>1238</v>
      </c>
      <c r="AC735">
        <v>690</v>
      </c>
      <c r="AD735" t="s">
        <v>1279</v>
      </c>
      <c r="AE735">
        <v>3</v>
      </c>
      <c r="AF735" t="s">
        <v>1290</v>
      </c>
      <c r="AG735">
        <v>0</v>
      </c>
      <c r="AH735">
        <v>0</v>
      </c>
      <c r="AI735">
        <v>0</v>
      </c>
      <c r="AJ735">
        <v>1875</v>
      </c>
      <c r="AK735">
        <v>2015</v>
      </c>
      <c r="AL735">
        <v>2015</v>
      </c>
      <c r="AM735" s="4" t="s">
        <v>1304</v>
      </c>
      <c r="AN735">
        <v>0</v>
      </c>
      <c r="AO735" t="s">
        <v>1315</v>
      </c>
      <c r="AP735">
        <f t="shared" si="22"/>
        <v>0</v>
      </c>
      <c r="AQ735">
        <v>1</v>
      </c>
      <c r="AR735" t="s">
        <v>1992</v>
      </c>
      <c r="AS735" t="s">
        <v>1996</v>
      </c>
      <c r="AT735" t="s">
        <v>1996</v>
      </c>
      <c r="AU735" t="s">
        <v>1995</v>
      </c>
      <c r="AV735" t="s">
        <v>1995</v>
      </c>
      <c r="AW735" t="s">
        <v>1996</v>
      </c>
      <c r="AX735" t="s">
        <v>2003</v>
      </c>
      <c r="AY735" t="s">
        <v>1996</v>
      </c>
      <c r="AZ735">
        <v>3754</v>
      </c>
      <c r="BA735" t="s">
        <v>1194</v>
      </c>
      <c r="BB735" t="s">
        <v>1194</v>
      </c>
      <c r="BC735" s="3">
        <v>0</v>
      </c>
      <c r="BD735" s="3">
        <v>4421.72</v>
      </c>
      <c r="BE735" s="3">
        <v>0</v>
      </c>
      <c r="BF735" s="3">
        <v>0</v>
      </c>
      <c r="BG735" s="3">
        <v>130</v>
      </c>
      <c r="BH735" s="3">
        <v>0</v>
      </c>
      <c r="BI735" s="3">
        <v>0</v>
      </c>
      <c r="BJ735" s="3">
        <v>9817.94</v>
      </c>
      <c r="BK735" s="3">
        <v>360</v>
      </c>
      <c r="BL735" s="3">
        <v>10177.94</v>
      </c>
      <c r="BM735" s="2">
        <f t="shared" ca="1" si="23"/>
        <v>1</v>
      </c>
      <c r="BN735" s="3">
        <v>250000</v>
      </c>
      <c r="BO735" s="3">
        <v>500000</v>
      </c>
      <c r="BP735" s="3" t="s">
        <v>2922</v>
      </c>
      <c r="BQ735" s="3">
        <v>250000</v>
      </c>
      <c r="BR735" s="3">
        <v>50000</v>
      </c>
      <c r="BS735">
        <v>500000</v>
      </c>
      <c r="BT735">
        <v>0</v>
      </c>
      <c r="BU735">
        <v>0</v>
      </c>
      <c r="BV735">
        <v>1</v>
      </c>
      <c r="BW735">
        <v>0</v>
      </c>
      <c r="BX735">
        <v>0</v>
      </c>
      <c r="BY735">
        <v>0</v>
      </c>
      <c r="BZ735" t="s">
        <v>2949</v>
      </c>
      <c r="CA735" t="s">
        <v>1194</v>
      </c>
      <c r="CB735" t="s">
        <v>2949</v>
      </c>
    </row>
    <row r="736" spans="1:80" x14ac:dyDescent="0.25">
      <c r="A736">
        <v>735</v>
      </c>
      <c r="B736" t="s">
        <v>2749</v>
      </c>
      <c r="C736" s="1">
        <v>44662</v>
      </c>
      <c r="D736">
        <v>12</v>
      </c>
      <c r="E736" t="s">
        <v>6</v>
      </c>
      <c r="F736" t="s">
        <v>1310</v>
      </c>
      <c r="G736">
        <v>0</v>
      </c>
      <c r="H736" s="3">
        <v>0</v>
      </c>
      <c r="I736" s="3">
        <v>0</v>
      </c>
      <c r="J736" s="3">
        <v>10000000</v>
      </c>
      <c r="K736" s="3">
        <v>2000000</v>
      </c>
      <c r="L736" t="s">
        <v>1192</v>
      </c>
      <c r="M736">
        <v>1888816</v>
      </c>
      <c r="N736" t="s">
        <v>1529</v>
      </c>
      <c r="O736" t="s">
        <v>1530</v>
      </c>
      <c r="P736" t="s">
        <v>1882</v>
      </c>
      <c r="Q736" t="s">
        <v>1263</v>
      </c>
      <c r="R736">
        <v>19103</v>
      </c>
      <c r="S736" t="s">
        <v>1882</v>
      </c>
      <c r="T736" t="s">
        <v>965</v>
      </c>
      <c r="U736">
        <v>0</v>
      </c>
      <c r="V736">
        <v>11</v>
      </c>
      <c r="W736" t="s">
        <v>1194</v>
      </c>
      <c r="X736" t="s">
        <v>973</v>
      </c>
      <c r="Y736">
        <v>10000</v>
      </c>
      <c r="Z736" s="2" t="s">
        <v>1194</v>
      </c>
      <c r="AA736" s="2">
        <v>1</v>
      </c>
      <c r="AB736">
        <v>5.0000000000000001E-3</v>
      </c>
      <c r="AC736">
        <v>866</v>
      </c>
      <c r="AD736" t="s">
        <v>1281</v>
      </c>
      <c r="AE736">
        <v>1</v>
      </c>
      <c r="AF736" t="s">
        <v>1290</v>
      </c>
      <c r="AG736">
        <v>0</v>
      </c>
      <c r="AH736">
        <v>0</v>
      </c>
      <c r="AI736">
        <v>0</v>
      </c>
      <c r="AJ736">
        <v>2009</v>
      </c>
      <c r="AK736">
        <v>2022</v>
      </c>
      <c r="AL736" t="s">
        <v>1194</v>
      </c>
      <c r="AM736" s="4" t="s">
        <v>1304</v>
      </c>
      <c r="AN736">
        <v>1</v>
      </c>
      <c r="AO736" t="s">
        <v>1316</v>
      </c>
      <c r="AP736">
        <f t="shared" si="22"/>
        <v>0</v>
      </c>
      <c r="AQ736">
        <v>0</v>
      </c>
      <c r="AR736" t="s">
        <v>1993</v>
      </c>
      <c r="AS736" t="s">
        <v>1995</v>
      </c>
      <c r="AT736" t="s">
        <v>1996</v>
      </c>
      <c r="AU736" t="s">
        <v>1995</v>
      </c>
      <c r="AV736" t="s">
        <v>1996</v>
      </c>
      <c r="AW736" t="s">
        <v>1995</v>
      </c>
      <c r="AX736" t="s">
        <v>1194</v>
      </c>
      <c r="AY736" t="s">
        <v>1996</v>
      </c>
      <c r="AZ736">
        <v>9000</v>
      </c>
      <c r="BA736" t="s">
        <v>1194</v>
      </c>
      <c r="BB736" t="s">
        <v>1194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16543.55</v>
      </c>
      <c r="BK736" s="3">
        <v>0</v>
      </c>
      <c r="BL736" s="3">
        <v>16543.55</v>
      </c>
      <c r="BM736" s="2">
        <f t="shared" ca="1" si="23"/>
        <v>3</v>
      </c>
      <c r="BN736" s="3">
        <v>50000</v>
      </c>
      <c r="BO736" s="3">
        <v>500000</v>
      </c>
      <c r="BP736" s="3">
        <v>200000</v>
      </c>
      <c r="BQ736" s="3">
        <v>1000000</v>
      </c>
      <c r="BR736" s="3">
        <v>50000</v>
      </c>
      <c r="BS736">
        <v>250000</v>
      </c>
      <c r="BT736">
        <v>0</v>
      </c>
      <c r="BU736">
        <v>0</v>
      </c>
      <c r="BV736">
        <v>0</v>
      </c>
      <c r="BW736">
        <v>1</v>
      </c>
      <c r="BX736">
        <v>1</v>
      </c>
      <c r="BY736">
        <v>0</v>
      </c>
      <c r="BZ736" t="s">
        <v>1194</v>
      </c>
      <c r="CA736" t="s">
        <v>1194</v>
      </c>
      <c r="CB736" t="s">
        <v>1194</v>
      </c>
    </row>
    <row r="737" spans="1:80" x14ac:dyDescent="0.25">
      <c r="A737">
        <v>736</v>
      </c>
      <c r="B737" t="s">
        <v>2750</v>
      </c>
      <c r="C737" s="1">
        <v>44779</v>
      </c>
      <c r="D737">
        <v>12</v>
      </c>
      <c r="E737" t="s">
        <v>4</v>
      </c>
      <c r="F737" t="s">
        <v>1311</v>
      </c>
      <c r="G737">
        <v>1</v>
      </c>
      <c r="H737" s="3">
        <v>3449850</v>
      </c>
      <c r="I737" s="3">
        <v>613340</v>
      </c>
      <c r="J737" s="3">
        <v>1228726</v>
      </c>
      <c r="K737" s="3">
        <v>0</v>
      </c>
      <c r="L737" t="s">
        <v>1191</v>
      </c>
      <c r="M737">
        <v>1057679</v>
      </c>
      <c r="N737" t="s">
        <v>1531</v>
      </c>
      <c r="P737" t="s">
        <v>1895</v>
      </c>
      <c r="Q737" t="s">
        <v>1240</v>
      </c>
      <c r="R737">
        <v>6854</v>
      </c>
      <c r="S737" t="s">
        <v>1706</v>
      </c>
      <c r="T737" t="s">
        <v>979</v>
      </c>
      <c r="U737">
        <v>0</v>
      </c>
      <c r="V737">
        <v>51</v>
      </c>
      <c r="W737" t="s">
        <v>1194</v>
      </c>
      <c r="X737" t="s">
        <v>973</v>
      </c>
      <c r="Y737">
        <v>25000</v>
      </c>
      <c r="Z737" s="2">
        <v>5.0000144930000001</v>
      </c>
      <c r="AA737" s="2" t="s">
        <v>1238</v>
      </c>
      <c r="AB737" t="s">
        <v>1238</v>
      </c>
      <c r="AC737">
        <v>770</v>
      </c>
      <c r="AD737" t="s">
        <v>1279</v>
      </c>
      <c r="AE737">
        <v>3</v>
      </c>
      <c r="AF737" t="s">
        <v>1290</v>
      </c>
      <c r="AG737">
        <v>0</v>
      </c>
      <c r="AH737">
        <v>0</v>
      </c>
      <c r="AI737">
        <v>0</v>
      </c>
      <c r="AJ737">
        <v>1934</v>
      </c>
      <c r="AK737">
        <v>2010</v>
      </c>
      <c r="AL737">
        <v>2003</v>
      </c>
      <c r="AM737" s="4" t="s">
        <v>1238</v>
      </c>
      <c r="AN737">
        <v>0</v>
      </c>
      <c r="AO737" t="s">
        <v>1316</v>
      </c>
      <c r="AP737">
        <f t="shared" si="22"/>
        <v>0</v>
      </c>
      <c r="AQ737">
        <v>0</v>
      </c>
      <c r="AR737" t="s">
        <v>1993</v>
      </c>
      <c r="AS737" t="s">
        <v>1996</v>
      </c>
      <c r="AT737" t="s">
        <v>1995</v>
      </c>
      <c r="AU737" t="s">
        <v>1995</v>
      </c>
      <c r="AV737" t="s">
        <v>1996</v>
      </c>
      <c r="AW737" t="s">
        <v>1995</v>
      </c>
      <c r="AX737" t="s">
        <v>2003</v>
      </c>
      <c r="AY737" t="s">
        <v>1996</v>
      </c>
      <c r="AZ737">
        <v>4587</v>
      </c>
      <c r="BA737" t="s">
        <v>1194</v>
      </c>
      <c r="BB737" t="s">
        <v>1194</v>
      </c>
      <c r="BC737" s="3">
        <v>0</v>
      </c>
      <c r="BD737" s="3">
        <v>1262.04</v>
      </c>
      <c r="BE737" s="3">
        <v>0</v>
      </c>
      <c r="BF737" s="3">
        <v>0</v>
      </c>
      <c r="BG737" s="3">
        <v>130</v>
      </c>
      <c r="BH737" s="3">
        <v>0</v>
      </c>
      <c r="BI737" s="3">
        <v>0</v>
      </c>
      <c r="BJ737" s="3">
        <v>12177</v>
      </c>
      <c r="BK737" s="3">
        <v>240</v>
      </c>
      <c r="BL737" s="3">
        <v>12417</v>
      </c>
      <c r="BM737" s="2">
        <f t="shared" ca="1" si="23"/>
        <v>1</v>
      </c>
      <c r="BN737" s="3" t="s">
        <v>2916</v>
      </c>
      <c r="BO737" s="3">
        <v>25000</v>
      </c>
      <c r="BP737" s="3">
        <v>50000</v>
      </c>
      <c r="BQ737" s="3">
        <v>25000</v>
      </c>
      <c r="BR737" s="3">
        <v>250000</v>
      </c>
      <c r="BS737">
        <v>50000</v>
      </c>
      <c r="BT737">
        <v>0</v>
      </c>
      <c r="BU737">
        <v>0</v>
      </c>
      <c r="BV737">
        <v>0</v>
      </c>
      <c r="BW737">
        <v>1</v>
      </c>
      <c r="BX737">
        <v>0</v>
      </c>
      <c r="BY737">
        <v>0</v>
      </c>
      <c r="BZ737" t="s">
        <v>2949</v>
      </c>
      <c r="CA737" t="s">
        <v>1194</v>
      </c>
      <c r="CB737" t="s">
        <v>2949</v>
      </c>
    </row>
    <row r="738" spans="1:80" x14ac:dyDescent="0.25">
      <c r="A738">
        <v>737</v>
      </c>
      <c r="B738" t="s">
        <v>2751</v>
      </c>
      <c r="C738" s="1">
        <v>44749</v>
      </c>
      <c r="D738">
        <v>6</v>
      </c>
      <c r="E738" t="s">
        <v>4</v>
      </c>
      <c r="F738" t="s">
        <v>1310</v>
      </c>
      <c r="G738">
        <v>0</v>
      </c>
      <c r="H738" s="3">
        <v>1892000</v>
      </c>
      <c r="I738" s="3">
        <v>150202</v>
      </c>
      <c r="J738" s="3">
        <v>946000</v>
      </c>
      <c r="K738" s="3">
        <v>378400</v>
      </c>
      <c r="L738" t="s">
        <v>1191</v>
      </c>
      <c r="M738">
        <v>1505645</v>
      </c>
      <c r="N738" t="s">
        <v>1532</v>
      </c>
      <c r="P738" t="s">
        <v>1896</v>
      </c>
      <c r="Q738" t="s">
        <v>1239</v>
      </c>
      <c r="R738">
        <v>80108</v>
      </c>
      <c r="S738" t="s">
        <v>1897</v>
      </c>
      <c r="T738" t="s">
        <v>965</v>
      </c>
      <c r="U738">
        <v>0</v>
      </c>
      <c r="V738">
        <v>99</v>
      </c>
      <c r="W738" t="s">
        <v>1194</v>
      </c>
      <c r="X738" t="s">
        <v>973</v>
      </c>
      <c r="Y738">
        <v>10000</v>
      </c>
      <c r="Z738" s="2" t="s">
        <v>1194</v>
      </c>
      <c r="AA738" s="2">
        <v>1</v>
      </c>
      <c r="AB738">
        <v>0.02</v>
      </c>
      <c r="AC738">
        <v>845</v>
      </c>
      <c r="AD738" t="s">
        <v>1279</v>
      </c>
      <c r="AE738">
        <v>1</v>
      </c>
      <c r="AF738" t="s">
        <v>1290</v>
      </c>
      <c r="AG738">
        <v>0</v>
      </c>
      <c r="AH738">
        <v>0</v>
      </c>
      <c r="AI738">
        <v>0</v>
      </c>
      <c r="AJ738">
        <v>2006</v>
      </c>
      <c r="AK738" t="s">
        <v>1194</v>
      </c>
      <c r="AL738">
        <v>2006</v>
      </c>
      <c r="AM738" s="4" t="s">
        <v>1305</v>
      </c>
      <c r="AN738">
        <v>1</v>
      </c>
      <c r="AO738" t="s">
        <v>1317</v>
      </c>
      <c r="AP738">
        <f t="shared" si="22"/>
        <v>0</v>
      </c>
      <c r="AQ738">
        <v>0</v>
      </c>
      <c r="AR738" t="s">
        <v>1993</v>
      </c>
      <c r="AS738" t="s">
        <v>1995</v>
      </c>
      <c r="AT738" t="s">
        <v>1996</v>
      </c>
      <c r="AU738" t="s">
        <v>1995</v>
      </c>
      <c r="AV738" t="s">
        <v>1996</v>
      </c>
      <c r="AW738" t="s">
        <v>1996</v>
      </c>
      <c r="AX738" t="s">
        <v>1194</v>
      </c>
      <c r="AY738" t="s">
        <v>1996</v>
      </c>
      <c r="AZ738">
        <v>4503</v>
      </c>
      <c r="BA738">
        <v>1</v>
      </c>
      <c r="BB738" t="s">
        <v>2017</v>
      </c>
      <c r="BC738" s="3">
        <v>0</v>
      </c>
      <c r="BD738" s="3">
        <v>0</v>
      </c>
      <c r="BE738" s="3">
        <v>0</v>
      </c>
      <c r="BF738" s="3">
        <v>1176.27</v>
      </c>
      <c r="BG738" s="3">
        <v>175</v>
      </c>
      <c r="BH738" s="3">
        <v>0</v>
      </c>
      <c r="BI738" s="3">
        <v>0</v>
      </c>
      <c r="BJ738" s="3">
        <v>4927.97</v>
      </c>
      <c r="BK738" s="3">
        <v>-15</v>
      </c>
      <c r="BL738" s="3">
        <v>4912.97</v>
      </c>
      <c r="BM738" s="2">
        <f t="shared" ca="1" si="23"/>
        <v>1</v>
      </c>
      <c r="BN738" s="3">
        <v>1000000</v>
      </c>
      <c r="BO738" s="3">
        <v>2000000</v>
      </c>
      <c r="BP738" s="3">
        <v>50000</v>
      </c>
      <c r="BQ738" s="3">
        <v>500000</v>
      </c>
      <c r="BR738" s="3">
        <v>50000</v>
      </c>
      <c r="BS738">
        <v>500000</v>
      </c>
      <c r="BT738">
        <v>0</v>
      </c>
      <c r="BU738">
        <v>0</v>
      </c>
      <c r="BV738">
        <v>1</v>
      </c>
      <c r="BW738">
        <v>0</v>
      </c>
      <c r="BX738">
        <v>0</v>
      </c>
      <c r="BY738">
        <v>0</v>
      </c>
      <c r="BZ738" t="s">
        <v>2967</v>
      </c>
      <c r="CA738" t="s">
        <v>1194</v>
      </c>
      <c r="CB738" t="s">
        <v>2941</v>
      </c>
    </row>
    <row r="739" spans="1:80" x14ac:dyDescent="0.25">
      <c r="A739">
        <v>738</v>
      </c>
      <c r="B739" t="s">
        <v>2752</v>
      </c>
      <c r="C739" s="1">
        <v>44862</v>
      </c>
      <c r="D739">
        <v>12</v>
      </c>
      <c r="E739" t="s">
        <v>4</v>
      </c>
      <c r="F739" t="s">
        <v>1311</v>
      </c>
      <c r="G739">
        <v>1</v>
      </c>
      <c r="H739" s="3">
        <v>3250000</v>
      </c>
      <c r="I739" s="3">
        <v>501752</v>
      </c>
      <c r="J739" s="3">
        <v>0</v>
      </c>
      <c r="K739" s="3">
        <v>0</v>
      </c>
      <c r="L739" t="s">
        <v>1191</v>
      </c>
      <c r="M739">
        <v>1728709</v>
      </c>
      <c r="N739" t="s">
        <v>1533</v>
      </c>
      <c r="P739" t="s">
        <v>1822</v>
      </c>
      <c r="Q739" t="s">
        <v>1263</v>
      </c>
      <c r="R739">
        <v>19010</v>
      </c>
      <c r="S739" t="s">
        <v>1823</v>
      </c>
      <c r="T739" t="s">
        <v>965</v>
      </c>
      <c r="U739">
        <v>0</v>
      </c>
      <c r="V739">
        <v>6</v>
      </c>
      <c r="W739" t="s">
        <v>1194</v>
      </c>
      <c r="X739" t="s">
        <v>973</v>
      </c>
      <c r="Y739">
        <v>10000</v>
      </c>
      <c r="Z739" s="2" t="s">
        <v>1194</v>
      </c>
      <c r="AA739" s="2">
        <v>1</v>
      </c>
      <c r="AB739">
        <v>2.5000000000000001E-3</v>
      </c>
      <c r="AC739">
        <v>703</v>
      </c>
      <c r="AD739" t="s">
        <v>1284</v>
      </c>
      <c r="AE739">
        <v>3</v>
      </c>
      <c r="AF739" t="s">
        <v>1290</v>
      </c>
      <c r="AG739">
        <v>0</v>
      </c>
      <c r="AH739">
        <v>0</v>
      </c>
      <c r="AI739">
        <v>0</v>
      </c>
      <c r="AJ739">
        <v>1981</v>
      </c>
      <c r="AK739" t="s">
        <v>1194</v>
      </c>
      <c r="AL739" t="s">
        <v>1194</v>
      </c>
      <c r="AM739" s="4" t="s">
        <v>1238</v>
      </c>
      <c r="AN739">
        <v>0</v>
      </c>
      <c r="AO739" t="s">
        <v>1315</v>
      </c>
      <c r="AP739">
        <f t="shared" si="22"/>
        <v>0</v>
      </c>
      <c r="AQ739">
        <v>0</v>
      </c>
      <c r="AR739" t="s">
        <v>1993</v>
      </c>
      <c r="AS739" t="s">
        <v>1995</v>
      </c>
      <c r="AT739" t="s">
        <v>1996</v>
      </c>
      <c r="AU739" t="s">
        <v>1995</v>
      </c>
      <c r="AV739" t="s">
        <v>1996</v>
      </c>
      <c r="AW739" t="s">
        <v>1995</v>
      </c>
      <c r="AX739" t="s">
        <v>2003</v>
      </c>
      <c r="AY739" t="s">
        <v>1996</v>
      </c>
      <c r="AZ739">
        <v>8139</v>
      </c>
      <c r="BA739" t="s">
        <v>1194</v>
      </c>
      <c r="BB739" t="s">
        <v>1194</v>
      </c>
      <c r="BC739" s="3">
        <v>0</v>
      </c>
      <c r="BD739" s="3">
        <v>0</v>
      </c>
      <c r="BE739" s="3">
        <v>0</v>
      </c>
      <c r="BF739" s="3">
        <v>0</v>
      </c>
      <c r="BG739" s="3">
        <v>200</v>
      </c>
      <c r="BH739" s="3">
        <v>0</v>
      </c>
      <c r="BI739" s="3">
        <v>0</v>
      </c>
      <c r="BJ739" s="3">
        <v>10904.33</v>
      </c>
      <c r="BK739" s="3">
        <v>235</v>
      </c>
      <c r="BL739" s="3">
        <v>11139.33</v>
      </c>
      <c r="BM739" s="2">
        <f t="shared" ca="1" si="23"/>
        <v>5</v>
      </c>
      <c r="BN739" s="3">
        <v>1000000</v>
      </c>
      <c r="BO739" s="3">
        <v>250000</v>
      </c>
      <c r="BP739" s="3">
        <v>200000</v>
      </c>
      <c r="BQ739" s="3">
        <v>250000</v>
      </c>
      <c r="BR739" s="3">
        <v>500000</v>
      </c>
      <c r="BS739">
        <v>1000000</v>
      </c>
      <c r="BT739">
        <v>0</v>
      </c>
      <c r="BU739">
        <v>0</v>
      </c>
      <c r="BV739">
        <v>1</v>
      </c>
      <c r="BW739">
        <v>0</v>
      </c>
      <c r="BX739">
        <v>0</v>
      </c>
      <c r="BY739">
        <v>0</v>
      </c>
      <c r="BZ739" t="s">
        <v>2949</v>
      </c>
      <c r="CA739" t="s">
        <v>1194</v>
      </c>
      <c r="CB739" t="s">
        <v>2941</v>
      </c>
    </row>
    <row r="740" spans="1:80" x14ac:dyDescent="0.25">
      <c r="A740">
        <v>739</v>
      </c>
      <c r="B740" t="s">
        <v>2753</v>
      </c>
      <c r="C740" s="1">
        <v>44954</v>
      </c>
      <c r="D740">
        <v>12</v>
      </c>
      <c r="E740" t="s">
        <v>4</v>
      </c>
      <c r="F740" t="s">
        <v>1311</v>
      </c>
      <c r="G740">
        <v>1</v>
      </c>
      <c r="H740" s="3">
        <v>1780726</v>
      </c>
      <c r="I740" s="3">
        <v>321986</v>
      </c>
      <c r="J740" s="3">
        <v>574975</v>
      </c>
      <c r="K740" s="3">
        <v>356145.2</v>
      </c>
      <c r="L740" t="s">
        <v>1191</v>
      </c>
      <c r="M740">
        <v>1621632</v>
      </c>
      <c r="N740" t="s">
        <v>1534</v>
      </c>
      <c r="P740" t="s">
        <v>1898</v>
      </c>
      <c r="Q740" t="s">
        <v>1246</v>
      </c>
      <c r="R740">
        <v>60022</v>
      </c>
      <c r="S740" t="s">
        <v>1734</v>
      </c>
      <c r="T740" t="s">
        <v>965</v>
      </c>
      <c r="U740">
        <v>0</v>
      </c>
      <c r="V740">
        <v>7</v>
      </c>
      <c r="W740" t="s">
        <v>1194</v>
      </c>
      <c r="X740" t="s">
        <v>973</v>
      </c>
      <c r="Y740">
        <v>10000</v>
      </c>
      <c r="Z740" s="2" t="s">
        <v>1194</v>
      </c>
      <c r="AA740" s="2">
        <v>0</v>
      </c>
      <c r="AB740" t="s">
        <v>1238</v>
      </c>
      <c r="AC740">
        <v>863</v>
      </c>
      <c r="AD740" t="s">
        <v>1279</v>
      </c>
      <c r="AE740">
        <v>2</v>
      </c>
      <c r="AF740" t="s">
        <v>1290</v>
      </c>
      <c r="AG740">
        <v>0</v>
      </c>
      <c r="AH740">
        <v>0</v>
      </c>
      <c r="AI740">
        <v>0</v>
      </c>
      <c r="AJ740">
        <v>1955</v>
      </c>
      <c r="AK740">
        <v>2004</v>
      </c>
      <c r="AL740">
        <v>2008</v>
      </c>
      <c r="AM740" s="4" t="s">
        <v>1238</v>
      </c>
      <c r="AN740">
        <v>1</v>
      </c>
      <c r="AO740" t="s">
        <v>1315</v>
      </c>
      <c r="AP740">
        <f t="shared" si="22"/>
        <v>0</v>
      </c>
      <c r="AQ740">
        <v>0</v>
      </c>
      <c r="AR740" t="s">
        <v>1993</v>
      </c>
      <c r="AS740" t="s">
        <v>1996</v>
      </c>
      <c r="AT740" t="s">
        <v>1996</v>
      </c>
      <c r="AU740" t="s">
        <v>1996</v>
      </c>
      <c r="AV740" t="s">
        <v>1995</v>
      </c>
      <c r="AW740" t="s">
        <v>1996</v>
      </c>
      <c r="AX740" t="s">
        <v>1194</v>
      </c>
      <c r="AY740" t="s">
        <v>1996</v>
      </c>
      <c r="AZ740">
        <v>4648</v>
      </c>
      <c r="BA740" t="s">
        <v>1194</v>
      </c>
      <c r="BB740" t="s">
        <v>1194</v>
      </c>
      <c r="BC740" s="3">
        <v>0</v>
      </c>
      <c r="BD740" s="3">
        <v>0</v>
      </c>
      <c r="BE740" s="3">
        <v>0</v>
      </c>
      <c r="BF740" s="3">
        <v>0</v>
      </c>
      <c r="BG740" s="3">
        <v>175</v>
      </c>
      <c r="BH740" s="3">
        <v>0</v>
      </c>
      <c r="BI740" s="3">
        <v>0</v>
      </c>
      <c r="BJ740" s="3">
        <v>6099.52</v>
      </c>
      <c r="BK740" s="3">
        <v>235</v>
      </c>
      <c r="BL740" s="3">
        <v>6334.52</v>
      </c>
      <c r="BM740" s="2">
        <f t="shared" ca="1" si="23"/>
        <v>3</v>
      </c>
      <c r="BN740" s="3">
        <v>50000</v>
      </c>
      <c r="BO740" s="3">
        <v>20000</v>
      </c>
      <c r="BP740" s="3">
        <v>50000</v>
      </c>
      <c r="BQ740" s="3">
        <v>2000000</v>
      </c>
      <c r="BR740" s="3">
        <v>100000</v>
      </c>
      <c r="BS740">
        <v>50000</v>
      </c>
      <c r="BT740">
        <v>0</v>
      </c>
      <c r="BU740">
        <v>0</v>
      </c>
      <c r="BV740">
        <v>0</v>
      </c>
      <c r="BW740">
        <v>1</v>
      </c>
      <c r="BX740">
        <v>1</v>
      </c>
      <c r="BY740">
        <v>1</v>
      </c>
      <c r="BZ740" t="s">
        <v>2960</v>
      </c>
      <c r="CA740" t="s">
        <v>1194</v>
      </c>
      <c r="CB740" t="s">
        <v>2941</v>
      </c>
    </row>
    <row r="741" spans="1:80" x14ac:dyDescent="0.25">
      <c r="A741">
        <v>740</v>
      </c>
      <c r="B741" t="s">
        <v>2754</v>
      </c>
      <c r="C741" s="1">
        <v>44817</v>
      </c>
      <c r="D741">
        <v>12</v>
      </c>
      <c r="E741" t="s">
        <v>4</v>
      </c>
      <c r="F741" t="s">
        <v>1311</v>
      </c>
      <c r="G741">
        <v>0</v>
      </c>
      <c r="H741" s="3">
        <v>1038566</v>
      </c>
      <c r="I741" s="3">
        <v>207714</v>
      </c>
      <c r="J741" s="3">
        <v>519283</v>
      </c>
      <c r="K741" s="3">
        <v>0</v>
      </c>
      <c r="L741" t="s">
        <v>1191</v>
      </c>
      <c r="M741">
        <v>1130619</v>
      </c>
      <c r="N741" t="s">
        <v>1535</v>
      </c>
      <c r="P741" t="s">
        <v>1800</v>
      </c>
      <c r="Q741" t="s">
        <v>1270</v>
      </c>
      <c r="R741">
        <v>98199</v>
      </c>
      <c r="S741" t="s">
        <v>1796</v>
      </c>
      <c r="T741" t="s">
        <v>965</v>
      </c>
      <c r="U741">
        <v>0</v>
      </c>
      <c r="V741">
        <v>53</v>
      </c>
      <c r="W741" t="s">
        <v>1194</v>
      </c>
      <c r="X741" t="s">
        <v>973</v>
      </c>
      <c r="Y741">
        <v>2500</v>
      </c>
      <c r="Z741" s="2" t="s">
        <v>1194</v>
      </c>
      <c r="AA741" s="2" t="s">
        <v>1238</v>
      </c>
      <c r="AB741" t="s">
        <v>1238</v>
      </c>
      <c r="AC741" t="s">
        <v>1194</v>
      </c>
      <c r="AD741" t="s">
        <v>1284</v>
      </c>
      <c r="AE741">
        <v>2</v>
      </c>
      <c r="AF741" t="s">
        <v>1290</v>
      </c>
      <c r="AG741">
        <v>0</v>
      </c>
      <c r="AH741">
        <v>0</v>
      </c>
      <c r="AI741">
        <v>0</v>
      </c>
      <c r="AJ741">
        <v>1939</v>
      </c>
      <c r="AK741">
        <v>2011</v>
      </c>
      <c r="AL741">
        <v>2011</v>
      </c>
      <c r="AM741" s="4" t="s">
        <v>1238</v>
      </c>
      <c r="AN741">
        <v>0</v>
      </c>
      <c r="AO741" t="s">
        <v>1315</v>
      </c>
      <c r="AP741">
        <f t="shared" si="22"/>
        <v>0</v>
      </c>
      <c r="AQ741">
        <v>0</v>
      </c>
      <c r="AR741" t="s">
        <v>1993</v>
      </c>
      <c r="AS741" t="s">
        <v>1996</v>
      </c>
      <c r="AT741" t="s">
        <v>1996</v>
      </c>
      <c r="AU741" t="s">
        <v>1995</v>
      </c>
      <c r="AV741" t="s">
        <v>1996</v>
      </c>
      <c r="AW741" t="s">
        <v>1996</v>
      </c>
      <c r="AX741" t="s">
        <v>1194</v>
      </c>
      <c r="AY741" t="s">
        <v>1996</v>
      </c>
      <c r="AZ741">
        <v>2560</v>
      </c>
      <c r="BA741" t="s">
        <v>1194</v>
      </c>
      <c r="BB741" t="s">
        <v>2014</v>
      </c>
      <c r="BC741" s="3">
        <v>0</v>
      </c>
      <c r="BD741" s="3">
        <v>0</v>
      </c>
      <c r="BE741" s="3">
        <v>0</v>
      </c>
      <c r="BF741" s="3">
        <v>0</v>
      </c>
      <c r="BG741" s="3">
        <v>140</v>
      </c>
      <c r="BH741" s="3">
        <v>0</v>
      </c>
      <c r="BI741" s="3">
        <v>0</v>
      </c>
      <c r="BJ741" s="3">
        <v>5480.06</v>
      </c>
      <c r="BK741" s="3">
        <v>-10</v>
      </c>
      <c r="BL741" s="3">
        <v>5470.06</v>
      </c>
      <c r="BM741" s="2">
        <f t="shared" ca="1" si="23"/>
        <v>3</v>
      </c>
      <c r="BN741" s="3" t="s">
        <v>2916</v>
      </c>
      <c r="BO741" s="3">
        <v>50000</v>
      </c>
      <c r="BP741" s="3">
        <v>100000</v>
      </c>
      <c r="BQ741" s="3">
        <v>500000</v>
      </c>
      <c r="BR741" s="3">
        <v>1000000</v>
      </c>
      <c r="BS741">
        <v>1000000</v>
      </c>
      <c r="BT741">
        <v>0</v>
      </c>
      <c r="BU741">
        <v>0</v>
      </c>
      <c r="BV741">
        <v>1</v>
      </c>
      <c r="BW741">
        <v>0</v>
      </c>
      <c r="BX741">
        <v>0</v>
      </c>
      <c r="BY741">
        <v>0</v>
      </c>
      <c r="BZ741" t="s">
        <v>2949</v>
      </c>
      <c r="CA741" t="s">
        <v>1194</v>
      </c>
      <c r="CB741" t="s">
        <v>2949</v>
      </c>
    </row>
    <row r="742" spans="1:80" x14ac:dyDescent="0.25">
      <c r="A742">
        <v>741</v>
      </c>
      <c r="B742" t="s">
        <v>2755</v>
      </c>
      <c r="C742" s="1">
        <v>44641</v>
      </c>
      <c r="D742">
        <v>12</v>
      </c>
      <c r="E742" t="s">
        <v>4</v>
      </c>
      <c r="F742" t="s">
        <v>1311</v>
      </c>
      <c r="G742">
        <v>1</v>
      </c>
      <c r="H742" s="3">
        <v>2950000</v>
      </c>
      <c r="I742" s="3">
        <v>500000</v>
      </c>
      <c r="J742" s="3">
        <v>500000</v>
      </c>
      <c r="K742" s="3">
        <v>0</v>
      </c>
      <c r="L742" t="s">
        <v>1191</v>
      </c>
      <c r="M742">
        <v>1874154</v>
      </c>
      <c r="N742" t="s">
        <v>1536</v>
      </c>
      <c r="P742" t="s">
        <v>1899</v>
      </c>
      <c r="Q742" t="s">
        <v>1262</v>
      </c>
      <c r="R742">
        <v>97221</v>
      </c>
      <c r="S742" t="s">
        <v>1900</v>
      </c>
      <c r="T742" t="s">
        <v>965</v>
      </c>
      <c r="U742">
        <v>0</v>
      </c>
      <c r="V742">
        <v>1</v>
      </c>
      <c r="W742" t="s">
        <v>1194</v>
      </c>
      <c r="X742" t="s">
        <v>973</v>
      </c>
      <c r="Y742">
        <v>10000</v>
      </c>
      <c r="Z742" s="2" t="s">
        <v>1194</v>
      </c>
      <c r="AA742" s="2" t="s">
        <v>1238</v>
      </c>
      <c r="AB742" t="s">
        <v>1238</v>
      </c>
      <c r="AC742">
        <v>856</v>
      </c>
      <c r="AD742" t="s">
        <v>1279</v>
      </c>
      <c r="AE742">
        <v>2</v>
      </c>
      <c r="AF742" t="s">
        <v>1290</v>
      </c>
      <c r="AG742">
        <v>0</v>
      </c>
      <c r="AH742">
        <v>0</v>
      </c>
      <c r="AI742">
        <v>0</v>
      </c>
      <c r="AJ742">
        <v>1937</v>
      </c>
      <c r="AK742" t="s">
        <v>1194</v>
      </c>
      <c r="AL742">
        <v>2002</v>
      </c>
      <c r="AM742" s="4" t="s">
        <v>1238</v>
      </c>
      <c r="AN742">
        <v>0</v>
      </c>
      <c r="AO742" t="s">
        <v>1315</v>
      </c>
      <c r="AP742">
        <f t="shared" si="22"/>
        <v>0</v>
      </c>
      <c r="AQ742">
        <v>0</v>
      </c>
      <c r="AR742" t="s">
        <v>1993</v>
      </c>
      <c r="AS742" t="s">
        <v>1995</v>
      </c>
      <c r="AT742" t="s">
        <v>1995</v>
      </c>
      <c r="AU742" t="s">
        <v>1995</v>
      </c>
      <c r="AV742" t="s">
        <v>1995</v>
      </c>
      <c r="AW742" t="s">
        <v>1996</v>
      </c>
      <c r="AX742" t="s">
        <v>1194</v>
      </c>
      <c r="AY742" t="s">
        <v>1996</v>
      </c>
      <c r="AZ742">
        <v>4662</v>
      </c>
      <c r="BA742" t="s">
        <v>1194</v>
      </c>
      <c r="BB742" t="s">
        <v>2016</v>
      </c>
      <c r="BC742" s="3">
        <v>0</v>
      </c>
      <c r="BD742" s="3">
        <v>681.76</v>
      </c>
      <c r="BE742" s="3">
        <v>0</v>
      </c>
      <c r="BF742" s="3">
        <v>681.76</v>
      </c>
      <c r="BG742" s="3">
        <v>175</v>
      </c>
      <c r="BH742" s="3">
        <v>0</v>
      </c>
      <c r="BI742" s="3">
        <v>0</v>
      </c>
      <c r="BJ742" s="3">
        <v>6117.11</v>
      </c>
      <c r="BK742" s="3">
        <v>-15</v>
      </c>
      <c r="BL742" s="3">
        <v>6102.11</v>
      </c>
      <c r="BM742" s="2">
        <f t="shared" ca="1" si="23"/>
        <v>3</v>
      </c>
      <c r="BN742" s="3">
        <v>50000</v>
      </c>
      <c r="BO742" s="3">
        <v>1000000</v>
      </c>
      <c r="BP742" s="3">
        <v>100000</v>
      </c>
      <c r="BQ742" s="3">
        <v>250000</v>
      </c>
      <c r="BR742" s="3">
        <v>500000</v>
      </c>
      <c r="BS742">
        <v>50000</v>
      </c>
      <c r="BT742">
        <v>0</v>
      </c>
      <c r="BU742">
        <v>0</v>
      </c>
      <c r="BV742">
        <v>0</v>
      </c>
      <c r="BW742">
        <v>1</v>
      </c>
      <c r="BX742">
        <v>1</v>
      </c>
      <c r="BY742">
        <v>1</v>
      </c>
      <c r="BZ742" t="s">
        <v>2958</v>
      </c>
      <c r="CA742" t="s">
        <v>1194</v>
      </c>
      <c r="CB742" t="s">
        <v>2945</v>
      </c>
    </row>
    <row r="743" spans="1:80" x14ac:dyDescent="0.25">
      <c r="A743">
        <v>742</v>
      </c>
      <c r="B743" t="s">
        <v>2756</v>
      </c>
      <c r="C743" s="1">
        <v>44685</v>
      </c>
      <c r="D743">
        <v>12</v>
      </c>
      <c r="E743" t="s">
        <v>4</v>
      </c>
      <c r="F743" t="s">
        <v>1311</v>
      </c>
      <c r="G743">
        <v>0</v>
      </c>
      <c r="H743" s="3">
        <v>1270000</v>
      </c>
      <c r="I743" s="3">
        <v>254000</v>
      </c>
      <c r="J743" s="3">
        <v>635000</v>
      </c>
      <c r="K743" s="3">
        <v>0</v>
      </c>
      <c r="L743" t="s">
        <v>1191</v>
      </c>
      <c r="M743">
        <v>1677858</v>
      </c>
      <c r="N743" t="s">
        <v>1537</v>
      </c>
      <c r="P743" t="s">
        <v>1872</v>
      </c>
      <c r="Q743" t="s">
        <v>1267</v>
      </c>
      <c r="R743">
        <v>84098</v>
      </c>
      <c r="S743" t="s">
        <v>1854</v>
      </c>
      <c r="T743" t="s">
        <v>965</v>
      </c>
      <c r="U743">
        <v>0</v>
      </c>
      <c r="V743">
        <v>1</v>
      </c>
      <c r="W743" t="s">
        <v>1194</v>
      </c>
      <c r="X743" t="s">
        <v>973</v>
      </c>
      <c r="Y743">
        <v>10000</v>
      </c>
      <c r="Z743" s="2" t="s">
        <v>1194</v>
      </c>
      <c r="AA743" s="2" t="s">
        <v>1238</v>
      </c>
      <c r="AB743" t="s">
        <v>1238</v>
      </c>
      <c r="AC743">
        <v>836</v>
      </c>
      <c r="AD743" t="s">
        <v>1279</v>
      </c>
      <c r="AE743">
        <v>3</v>
      </c>
      <c r="AF743" t="s">
        <v>1290</v>
      </c>
      <c r="AG743">
        <v>0</v>
      </c>
      <c r="AH743">
        <v>0</v>
      </c>
      <c r="AI743">
        <v>0</v>
      </c>
      <c r="AJ743">
        <v>1993</v>
      </c>
      <c r="AK743" t="s">
        <v>1194</v>
      </c>
      <c r="AL743">
        <v>2021</v>
      </c>
      <c r="AM743" s="4" t="s">
        <v>1238</v>
      </c>
      <c r="AN743">
        <v>0</v>
      </c>
      <c r="AO743" t="s">
        <v>1316</v>
      </c>
      <c r="AP743">
        <f t="shared" si="22"/>
        <v>0</v>
      </c>
      <c r="AQ743">
        <v>0</v>
      </c>
      <c r="AR743" t="s">
        <v>1993</v>
      </c>
      <c r="AS743" t="s">
        <v>1995</v>
      </c>
      <c r="AT743" t="s">
        <v>1996</v>
      </c>
      <c r="AU743" t="s">
        <v>1995</v>
      </c>
      <c r="AV743" t="s">
        <v>1995</v>
      </c>
      <c r="AW743" t="s">
        <v>1995</v>
      </c>
      <c r="AX743" t="s">
        <v>1194</v>
      </c>
      <c r="AY743" t="s">
        <v>1996</v>
      </c>
      <c r="AZ743">
        <v>2211</v>
      </c>
      <c r="BA743">
        <v>3</v>
      </c>
      <c r="BB743" t="s">
        <v>2016</v>
      </c>
      <c r="BC743" s="3">
        <v>0</v>
      </c>
      <c r="BD743" s="3">
        <v>490.26</v>
      </c>
      <c r="BE743" s="3">
        <v>0</v>
      </c>
      <c r="BF743" s="3">
        <v>490.26</v>
      </c>
      <c r="BG743" s="3">
        <v>150</v>
      </c>
      <c r="BH743" s="3">
        <v>0</v>
      </c>
      <c r="BI743" s="3">
        <v>0</v>
      </c>
      <c r="BJ743" s="3">
        <v>3920.04</v>
      </c>
      <c r="BK743" s="3">
        <v>-10</v>
      </c>
      <c r="BL743" s="3">
        <v>3910.04</v>
      </c>
      <c r="BM743" s="2">
        <f t="shared" ca="1" si="23"/>
        <v>6</v>
      </c>
      <c r="BN743" s="3">
        <v>100000</v>
      </c>
      <c r="BO743" s="3">
        <v>2000000</v>
      </c>
      <c r="BP743" s="3">
        <v>100000</v>
      </c>
      <c r="BQ743" s="3">
        <v>250000</v>
      </c>
      <c r="BR743" s="3">
        <v>2000000</v>
      </c>
      <c r="BS743">
        <v>250000</v>
      </c>
      <c r="BT743">
        <v>0</v>
      </c>
      <c r="BU743">
        <v>0</v>
      </c>
      <c r="BV743">
        <v>0</v>
      </c>
      <c r="BW743">
        <v>1</v>
      </c>
      <c r="BX743">
        <v>1</v>
      </c>
      <c r="BY743">
        <v>0</v>
      </c>
      <c r="BZ743" t="s">
        <v>2958</v>
      </c>
      <c r="CA743" t="s">
        <v>1194</v>
      </c>
      <c r="CB743" t="s">
        <v>2949</v>
      </c>
    </row>
    <row r="744" spans="1:80" x14ac:dyDescent="0.25">
      <c r="A744">
        <v>743</v>
      </c>
      <c r="B744" t="s">
        <v>2757</v>
      </c>
      <c r="C744" s="1">
        <v>44827</v>
      </c>
      <c r="D744">
        <v>12</v>
      </c>
      <c r="E744" t="s">
        <v>4</v>
      </c>
      <c r="F744" t="s">
        <v>1311</v>
      </c>
      <c r="G744">
        <v>1</v>
      </c>
      <c r="H744" s="3">
        <v>1405800</v>
      </c>
      <c r="I744" s="3">
        <v>310000</v>
      </c>
      <c r="J744" s="3">
        <v>0</v>
      </c>
      <c r="K744" s="3">
        <v>281160</v>
      </c>
      <c r="L744" t="s">
        <v>1191</v>
      </c>
      <c r="M744">
        <v>1896634</v>
      </c>
      <c r="N744" t="s">
        <v>1538</v>
      </c>
      <c r="P744" t="s">
        <v>1901</v>
      </c>
      <c r="Q744" t="s">
        <v>1259</v>
      </c>
      <c r="R744">
        <v>89451</v>
      </c>
      <c r="S744" t="s">
        <v>1902</v>
      </c>
      <c r="T744" t="s">
        <v>965</v>
      </c>
      <c r="U744">
        <v>0</v>
      </c>
      <c r="V744">
        <v>2</v>
      </c>
      <c r="W744" t="s">
        <v>1194</v>
      </c>
      <c r="X744" t="s">
        <v>973</v>
      </c>
      <c r="Y744">
        <v>10000</v>
      </c>
      <c r="Z744" s="2" t="s">
        <v>1194</v>
      </c>
      <c r="AA744" s="2" t="s">
        <v>1238</v>
      </c>
      <c r="AB744" t="s">
        <v>1238</v>
      </c>
      <c r="AC744">
        <v>829</v>
      </c>
      <c r="AD744" t="s">
        <v>1279</v>
      </c>
      <c r="AE744">
        <v>1</v>
      </c>
      <c r="AF744" t="s">
        <v>1290</v>
      </c>
      <c r="AG744">
        <v>0</v>
      </c>
      <c r="AH744">
        <v>0</v>
      </c>
      <c r="AI744">
        <v>0</v>
      </c>
      <c r="AJ744">
        <v>1959</v>
      </c>
      <c r="AK744">
        <v>2022</v>
      </c>
      <c r="AL744">
        <v>2022</v>
      </c>
      <c r="AM744" s="4" t="s">
        <v>1238</v>
      </c>
      <c r="AN744">
        <v>0</v>
      </c>
      <c r="AO744" t="s">
        <v>1315</v>
      </c>
      <c r="AP744">
        <f t="shared" si="22"/>
        <v>0</v>
      </c>
      <c r="AQ744">
        <v>0</v>
      </c>
      <c r="AR744" t="s">
        <v>1993</v>
      </c>
      <c r="AS744" t="s">
        <v>1995</v>
      </c>
      <c r="AT744" t="s">
        <v>1996</v>
      </c>
      <c r="AU744" t="s">
        <v>1996</v>
      </c>
      <c r="AV744" t="s">
        <v>1995</v>
      </c>
      <c r="AW744" t="s">
        <v>1995</v>
      </c>
      <c r="AX744" t="s">
        <v>1194</v>
      </c>
      <c r="AY744" t="s">
        <v>1996</v>
      </c>
      <c r="AZ744">
        <v>1704</v>
      </c>
      <c r="BA744">
        <v>5</v>
      </c>
      <c r="BB744" t="s">
        <v>2018</v>
      </c>
      <c r="BC744" s="3">
        <v>0</v>
      </c>
      <c r="BD744" s="3">
        <v>166.46</v>
      </c>
      <c r="BE744" s="3">
        <v>0</v>
      </c>
      <c r="BF744" s="3">
        <v>166.46</v>
      </c>
      <c r="BG744" s="3">
        <v>175</v>
      </c>
      <c r="BH744" s="3">
        <v>0</v>
      </c>
      <c r="BI744" s="3">
        <v>0</v>
      </c>
      <c r="BJ744" s="3">
        <v>2403.8200000000002</v>
      </c>
      <c r="BK744" s="3">
        <v>-15</v>
      </c>
      <c r="BL744" s="3">
        <v>2388.8200000000002</v>
      </c>
      <c r="BM744" s="2">
        <f t="shared" ca="1" si="23"/>
        <v>1</v>
      </c>
      <c r="BN744" s="3" t="s">
        <v>2916</v>
      </c>
      <c r="BO744" s="3">
        <v>500000</v>
      </c>
      <c r="BP744" s="3">
        <v>50000</v>
      </c>
      <c r="BQ744" s="3">
        <v>1000000</v>
      </c>
      <c r="BR744" s="3">
        <v>1000000</v>
      </c>
      <c r="BS744">
        <v>1000000</v>
      </c>
      <c r="BT744">
        <v>0</v>
      </c>
      <c r="BU744">
        <v>0</v>
      </c>
      <c r="BV744">
        <v>0</v>
      </c>
      <c r="BW744">
        <v>1</v>
      </c>
      <c r="BX744">
        <v>1</v>
      </c>
      <c r="BY744">
        <v>0</v>
      </c>
      <c r="BZ744" t="s">
        <v>2958</v>
      </c>
      <c r="CA744" t="s">
        <v>1194</v>
      </c>
      <c r="CB744" t="s">
        <v>2945</v>
      </c>
    </row>
    <row r="745" spans="1:80" x14ac:dyDescent="0.25">
      <c r="A745">
        <v>744</v>
      </c>
      <c r="B745" t="s">
        <v>2758</v>
      </c>
      <c r="C745" s="1">
        <v>44650</v>
      </c>
      <c r="D745">
        <v>12</v>
      </c>
      <c r="E745" t="s">
        <v>4</v>
      </c>
      <c r="F745" t="s">
        <v>1311</v>
      </c>
      <c r="G745">
        <v>1</v>
      </c>
      <c r="H745" s="3">
        <v>2226870</v>
      </c>
      <c r="I745" s="3">
        <v>215820</v>
      </c>
      <c r="J745" s="3">
        <v>0</v>
      </c>
      <c r="K745" s="3">
        <v>0</v>
      </c>
      <c r="L745" t="s">
        <v>1191</v>
      </c>
      <c r="M745">
        <v>1648281</v>
      </c>
      <c r="N745" t="s">
        <v>1539</v>
      </c>
      <c r="O745" t="s">
        <v>1540</v>
      </c>
      <c r="P745" t="s">
        <v>1704</v>
      </c>
      <c r="Q745" t="s">
        <v>1237</v>
      </c>
      <c r="R745">
        <v>85255</v>
      </c>
      <c r="S745" t="s">
        <v>1705</v>
      </c>
      <c r="T745" t="s">
        <v>965</v>
      </c>
      <c r="U745">
        <v>0</v>
      </c>
      <c r="V745">
        <v>3</v>
      </c>
      <c r="W745" t="s">
        <v>1194</v>
      </c>
      <c r="X745" t="s">
        <v>973</v>
      </c>
      <c r="Y745">
        <v>10000</v>
      </c>
      <c r="Z745" s="2" t="s">
        <v>1194</v>
      </c>
      <c r="AA745" s="2" t="s">
        <v>1238</v>
      </c>
      <c r="AB745" t="s">
        <v>1238</v>
      </c>
      <c r="AC745">
        <v>897</v>
      </c>
      <c r="AD745" t="s">
        <v>1279</v>
      </c>
      <c r="AE745">
        <v>2</v>
      </c>
      <c r="AF745" t="s">
        <v>1293</v>
      </c>
      <c r="AG745">
        <v>0</v>
      </c>
      <c r="AH745">
        <v>0</v>
      </c>
      <c r="AI745">
        <v>0</v>
      </c>
      <c r="AJ745">
        <v>2001</v>
      </c>
      <c r="AK745" t="s">
        <v>1194</v>
      </c>
      <c r="AL745" t="s">
        <v>1194</v>
      </c>
      <c r="AM745" s="4" t="s">
        <v>1238</v>
      </c>
      <c r="AN745">
        <v>0</v>
      </c>
      <c r="AO745" t="s">
        <v>1315</v>
      </c>
      <c r="AP745">
        <f t="shared" si="22"/>
        <v>0</v>
      </c>
      <c r="AQ745">
        <v>0</v>
      </c>
      <c r="AR745" t="s">
        <v>1993</v>
      </c>
      <c r="AS745" t="s">
        <v>1995</v>
      </c>
      <c r="AT745" t="s">
        <v>1995</v>
      </c>
      <c r="AU745" t="s">
        <v>1996</v>
      </c>
      <c r="AV745" t="s">
        <v>1996</v>
      </c>
      <c r="AW745" t="s">
        <v>1996</v>
      </c>
      <c r="AX745" t="s">
        <v>1194</v>
      </c>
      <c r="AY745" t="s">
        <v>1996</v>
      </c>
      <c r="AZ745">
        <v>3964</v>
      </c>
      <c r="BA745" t="s">
        <v>1194</v>
      </c>
      <c r="BB745" t="s">
        <v>2014</v>
      </c>
      <c r="BC745" s="3">
        <v>0</v>
      </c>
      <c r="BD745" s="3">
        <v>0</v>
      </c>
      <c r="BE745" s="3">
        <v>0</v>
      </c>
      <c r="BF745" s="3">
        <v>0</v>
      </c>
      <c r="BG745" s="3">
        <v>175</v>
      </c>
      <c r="BH745" s="3">
        <v>0</v>
      </c>
      <c r="BI745" s="3">
        <v>0</v>
      </c>
      <c r="BJ745" s="3">
        <v>3768.96</v>
      </c>
      <c r="BK745" s="3">
        <v>-15</v>
      </c>
      <c r="BL745" s="3">
        <v>3754</v>
      </c>
      <c r="BM745" s="2">
        <f t="shared" ca="1" si="23"/>
        <v>4</v>
      </c>
      <c r="BN745" s="3">
        <v>500000</v>
      </c>
      <c r="BO745" s="3">
        <v>25000</v>
      </c>
      <c r="BP745" s="3">
        <v>100000</v>
      </c>
      <c r="BQ745" s="3">
        <v>500000</v>
      </c>
      <c r="BR745" s="3">
        <v>50000</v>
      </c>
      <c r="BS745">
        <v>2000000</v>
      </c>
      <c r="BT745">
        <v>0</v>
      </c>
      <c r="BU745">
        <v>0</v>
      </c>
      <c r="BV745">
        <v>0</v>
      </c>
      <c r="BW745">
        <v>1</v>
      </c>
      <c r="BX745">
        <v>1</v>
      </c>
      <c r="BY745">
        <v>0</v>
      </c>
      <c r="BZ745" t="s">
        <v>2961</v>
      </c>
      <c r="CA745" t="s">
        <v>1194</v>
      </c>
      <c r="CB745" t="s">
        <v>2941</v>
      </c>
    </row>
    <row r="746" spans="1:80" x14ac:dyDescent="0.25">
      <c r="A746">
        <v>745</v>
      </c>
      <c r="B746" t="s">
        <v>2759</v>
      </c>
      <c r="C746" s="1">
        <v>44681</v>
      </c>
      <c r="D746">
        <v>12</v>
      </c>
      <c r="E746" t="s">
        <v>4</v>
      </c>
      <c r="F746" t="s">
        <v>1311</v>
      </c>
      <c r="G746">
        <v>0</v>
      </c>
      <c r="H746" s="3">
        <v>3000000</v>
      </c>
      <c r="I746" s="3">
        <v>218000</v>
      </c>
      <c r="J746" s="3">
        <v>872000</v>
      </c>
      <c r="K746" s="3">
        <v>600000</v>
      </c>
      <c r="L746" t="s">
        <v>1191</v>
      </c>
      <c r="M746">
        <v>1531940</v>
      </c>
      <c r="N746" t="s">
        <v>1541</v>
      </c>
      <c r="P746" t="s">
        <v>1903</v>
      </c>
      <c r="Q746" t="s">
        <v>1267</v>
      </c>
      <c r="R746">
        <v>84098</v>
      </c>
      <c r="S746" t="s">
        <v>1854</v>
      </c>
      <c r="T746" t="s">
        <v>965</v>
      </c>
      <c r="U746">
        <v>0</v>
      </c>
      <c r="V746">
        <v>1</v>
      </c>
      <c r="W746" t="s">
        <v>1194</v>
      </c>
      <c r="X746" t="s">
        <v>973</v>
      </c>
      <c r="Y746">
        <v>10000</v>
      </c>
      <c r="Z746" s="2" t="s">
        <v>1194</v>
      </c>
      <c r="AA746" s="2" t="s">
        <v>1238</v>
      </c>
      <c r="AB746" t="s">
        <v>1238</v>
      </c>
      <c r="AC746">
        <v>873</v>
      </c>
      <c r="AD746" t="s">
        <v>1279</v>
      </c>
      <c r="AE746">
        <v>3</v>
      </c>
      <c r="AF746" t="s">
        <v>1290</v>
      </c>
      <c r="AG746">
        <v>0</v>
      </c>
      <c r="AH746">
        <v>0</v>
      </c>
      <c r="AI746">
        <v>0</v>
      </c>
      <c r="AJ746">
        <v>2004</v>
      </c>
      <c r="AK746" t="s">
        <v>1194</v>
      </c>
      <c r="AL746" t="s">
        <v>1194</v>
      </c>
      <c r="AM746" s="4" t="s">
        <v>1238</v>
      </c>
      <c r="AN746">
        <v>1</v>
      </c>
      <c r="AO746" t="s">
        <v>1315</v>
      </c>
      <c r="AP746">
        <f t="shared" si="22"/>
        <v>0</v>
      </c>
      <c r="AQ746">
        <v>0</v>
      </c>
      <c r="AR746" t="s">
        <v>1993</v>
      </c>
      <c r="AS746" t="s">
        <v>1996</v>
      </c>
      <c r="AT746" t="s">
        <v>1996</v>
      </c>
      <c r="AU746" t="s">
        <v>1995</v>
      </c>
      <c r="AV746" t="s">
        <v>1995</v>
      </c>
      <c r="AW746" t="s">
        <v>1995</v>
      </c>
      <c r="AX746" t="s">
        <v>1194</v>
      </c>
      <c r="AY746" t="s">
        <v>1996</v>
      </c>
      <c r="AZ746">
        <v>5457</v>
      </c>
      <c r="BA746">
        <v>3</v>
      </c>
      <c r="BB746" t="s">
        <v>2014</v>
      </c>
      <c r="BC746" s="3">
        <v>0</v>
      </c>
      <c r="BD746" s="3">
        <v>481.6</v>
      </c>
      <c r="BE746" s="3">
        <v>0</v>
      </c>
      <c r="BF746" s="3">
        <v>481.6</v>
      </c>
      <c r="BG746" s="3">
        <v>120</v>
      </c>
      <c r="BH746" s="3">
        <v>0</v>
      </c>
      <c r="BI746" s="3">
        <v>0</v>
      </c>
      <c r="BJ746" s="3">
        <v>7696.27</v>
      </c>
      <c r="BK746" s="3">
        <v>110</v>
      </c>
      <c r="BL746" s="3">
        <v>7806.27</v>
      </c>
      <c r="BM746" s="2">
        <f t="shared" ca="1" si="23"/>
        <v>3</v>
      </c>
      <c r="BN746" s="3">
        <v>50000</v>
      </c>
      <c r="BO746" s="3">
        <v>25000</v>
      </c>
      <c r="BP746" s="3">
        <v>50000</v>
      </c>
      <c r="BQ746" s="3">
        <v>50000</v>
      </c>
      <c r="BR746" s="3">
        <v>50000</v>
      </c>
      <c r="BS746">
        <v>100000</v>
      </c>
      <c r="BT746">
        <v>0</v>
      </c>
      <c r="BU746">
        <v>0</v>
      </c>
      <c r="BV746">
        <v>0</v>
      </c>
      <c r="BW746">
        <v>1</v>
      </c>
      <c r="BX746">
        <v>0</v>
      </c>
      <c r="BY746">
        <v>0</v>
      </c>
      <c r="BZ746" t="s">
        <v>2949</v>
      </c>
      <c r="CA746" t="s">
        <v>1194</v>
      </c>
      <c r="CB746" t="s">
        <v>2949</v>
      </c>
    </row>
    <row r="747" spans="1:80" x14ac:dyDescent="0.25">
      <c r="A747">
        <v>746</v>
      </c>
      <c r="B747" t="s">
        <v>2760</v>
      </c>
      <c r="C747" s="1">
        <v>44849</v>
      </c>
      <c r="D747">
        <v>6</v>
      </c>
      <c r="E747" t="s">
        <v>4</v>
      </c>
      <c r="F747" t="s">
        <v>1310</v>
      </c>
      <c r="G747">
        <v>0</v>
      </c>
      <c r="H747" s="3">
        <v>1924875</v>
      </c>
      <c r="I747" s="3">
        <v>384975</v>
      </c>
      <c r="J747" s="3">
        <v>962437</v>
      </c>
      <c r="K747" s="3">
        <v>384975</v>
      </c>
      <c r="L747" t="s">
        <v>1191</v>
      </c>
      <c r="M747">
        <v>1779930</v>
      </c>
      <c r="N747" t="s">
        <v>1542</v>
      </c>
      <c r="P747" t="s">
        <v>1904</v>
      </c>
      <c r="Q747" t="s">
        <v>1239</v>
      </c>
      <c r="R747">
        <v>80108</v>
      </c>
      <c r="S747" t="s">
        <v>1897</v>
      </c>
      <c r="T747" t="s">
        <v>965</v>
      </c>
      <c r="U747">
        <v>0</v>
      </c>
      <c r="V747">
        <v>99</v>
      </c>
      <c r="W747" t="s">
        <v>1194</v>
      </c>
      <c r="X747" t="s">
        <v>973</v>
      </c>
      <c r="Y747">
        <v>25000</v>
      </c>
      <c r="Z747" s="2" t="s">
        <v>1194</v>
      </c>
      <c r="AA747" s="2">
        <v>1</v>
      </c>
      <c r="AB747" t="s">
        <v>1277</v>
      </c>
      <c r="AC747">
        <v>923</v>
      </c>
      <c r="AD747" t="s">
        <v>1279</v>
      </c>
      <c r="AE747">
        <v>1</v>
      </c>
      <c r="AF747" t="s">
        <v>1290</v>
      </c>
      <c r="AG747">
        <v>0</v>
      </c>
      <c r="AH747">
        <v>0</v>
      </c>
      <c r="AI747">
        <v>0</v>
      </c>
      <c r="AJ747">
        <v>1995</v>
      </c>
      <c r="AK747" t="s">
        <v>1194</v>
      </c>
      <c r="AL747">
        <v>1995</v>
      </c>
      <c r="AM747" s="4" t="s">
        <v>1306</v>
      </c>
      <c r="AN747">
        <v>0</v>
      </c>
      <c r="AO747" t="s">
        <v>1317</v>
      </c>
      <c r="AP747">
        <f t="shared" si="22"/>
        <v>0</v>
      </c>
      <c r="AQ747">
        <v>0</v>
      </c>
      <c r="AR747" t="s">
        <v>1993</v>
      </c>
      <c r="AS747" t="s">
        <v>1996</v>
      </c>
      <c r="AT747" t="s">
        <v>1995</v>
      </c>
      <c r="AU747" t="s">
        <v>1996</v>
      </c>
      <c r="AV747" t="s">
        <v>1996</v>
      </c>
      <c r="AW747" t="s">
        <v>1996</v>
      </c>
      <c r="AX747" t="s">
        <v>1194</v>
      </c>
      <c r="AY747" t="s">
        <v>1996</v>
      </c>
      <c r="AZ747">
        <v>4600</v>
      </c>
      <c r="BA747">
        <v>1</v>
      </c>
      <c r="BB747" t="s">
        <v>2017</v>
      </c>
      <c r="BC747" s="3">
        <v>0</v>
      </c>
      <c r="BD747" s="3">
        <v>0</v>
      </c>
      <c r="BE747" s="3">
        <v>0</v>
      </c>
      <c r="BF747" s="3">
        <v>1547.92</v>
      </c>
      <c r="BG747" s="3">
        <v>175</v>
      </c>
      <c r="BH747" s="3">
        <v>0</v>
      </c>
      <c r="BI747" s="3">
        <v>0</v>
      </c>
      <c r="BJ747" s="3">
        <v>7810.2</v>
      </c>
      <c r="BK747" s="3">
        <v>1102.58</v>
      </c>
      <c r="BL747" s="3">
        <v>8912.7800000000007</v>
      </c>
      <c r="BM747" s="2">
        <f t="shared" ca="1" si="23"/>
        <v>0</v>
      </c>
      <c r="BN747" s="3">
        <v>1000000</v>
      </c>
      <c r="BO747" s="3">
        <v>250000</v>
      </c>
      <c r="BP747" s="3" t="s">
        <v>2922</v>
      </c>
      <c r="BQ747" s="3">
        <v>50000</v>
      </c>
      <c r="BR747" s="3">
        <v>1000000</v>
      </c>
      <c r="BS747">
        <v>50000</v>
      </c>
      <c r="BT747">
        <v>0</v>
      </c>
      <c r="BU747">
        <v>0</v>
      </c>
      <c r="BV747">
        <v>1</v>
      </c>
      <c r="BW747">
        <v>0</v>
      </c>
      <c r="BX747">
        <v>0</v>
      </c>
      <c r="BY747">
        <v>0</v>
      </c>
      <c r="BZ747" t="s">
        <v>2967</v>
      </c>
      <c r="CA747" t="s">
        <v>1194</v>
      </c>
      <c r="CB747" t="s">
        <v>2949</v>
      </c>
    </row>
    <row r="748" spans="1:80" x14ac:dyDescent="0.25">
      <c r="A748">
        <v>747</v>
      </c>
      <c r="B748" t="s">
        <v>2761</v>
      </c>
      <c r="C748" s="1">
        <v>44822</v>
      </c>
      <c r="D748">
        <v>18</v>
      </c>
      <c r="E748" t="s">
        <v>4</v>
      </c>
      <c r="F748" t="s">
        <v>1311</v>
      </c>
      <c r="G748">
        <v>0</v>
      </c>
      <c r="H748" s="3">
        <v>11380690</v>
      </c>
      <c r="I748" s="3">
        <v>577700</v>
      </c>
      <c r="J748" s="3">
        <v>2000000</v>
      </c>
      <c r="K748" s="3">
        <v>0</v>
      </c>
      <c r="L748" t="s">
        <v>1191</v>
      </c>
      <c r="M748">
        <v>1534789</v>
      </c>
      <c r="N748" t="s">
        <v>1543</v>
      </c>
      <c r="P748" t="s">
        <v>1905</v>
      </c>
      <c r="Q748" t="s">
        <v>1239</v>
      </c>
      <c r="R748">
        <v>81657</v>
      </c>
      <c r="S748" t="s">
        <v>1906</v>
      </c>
      <c r="T748" t="s">
        <v>965</v>
      </c>
      <c r="U748">
        <v>0</v>
      </c>
      <c r="V748">
        <v>105</v>
      </c>
      <c r="W748" t="s">
        <v>1194</v>
      </c>
      <c r="X748" t="s">
        <v>973</v>
      </c>
      <c r="Y748">
        <v>25000</v>
      </c>
      <c r="Z748" s="2">
        <v>2.0000017570000002</v>
      </c>
      <c r="AA748" s="2">
        <v>1</v>
      </c>
      <c r="AB748">
        <v>0.01</v>
      </c>
      <c r="AC748">
        <v>766</v>
      </c>
      <c r="AD748" t="s">
        <v>1279</v>
      </c>
      <c r="AE748">
        <v>2</v>
      </c>
      <c r="AF748" t="s">
        <v>1290</v>
      </c>
      <c r="AG748">
        <v>0</v>
      </c>
      <c r="AH748">
        <v>0</v>
      </c>
      <c r="AI748">
        <v>0</v>
      </c>
      <c r="AJ748">
        <v>1965</v>
      </c>
      <c r="AK748" t="s">
        <v>1194</v>
      </c>
      <c r="AL748" t="s">
        <v>1194</v>
      </c>
      <c r="AM748" s="4" t="s">
        <v>1238</v>
      </c>
      <c r="AN748">
        <v>1</v>
      </c>
      <c r="AO748" t="s">
        <v>1315</v>
      </c>
      <c r="AP748">
        <f t="shared" si="22"/>
        <v>0</v>
      </c>
      <c r="AQ748">
        <v>1</v>
      </c>
      <c r="AR748" t="s">
        <v>1992</v>
      </c>
      <c r="AS748" t="s">
        <v>1996</v>
      </c>
      <c r="AT748" t="s">
        <v>1995</v>
      </c>
      <c r="AU748" t="s">
        <v>1996</v>
      </c>
      <c r="AV748" t="s">
        <v>1995</v>
      </c>
      <c r="AW748" t="s">
        <v>1995</v>
      </c>
      <c r="AX748" t="s">
        <v>1194</v>
      </c>
      <c r="AY748" t="s">
        <v>1996</v>
      </c>
      <c r="AZ748">
        <v>4822</v>
      </c>
      <c r="BA748">
        <v>3</v>
      </c>
      <c r="BB748" t="s">
        <v>2016</v>
      </c>
      <c r="BC748" s="3">
        <v>0</v>
      </c>
      <c r="BD748" s="3">
        <v>0</v>
      </c>
      <c r="BE748" s="3">
        <v>0</v>
      </c>
      <c r="BF748" s="3">
        <v>1590.22</v>
      </c>
      <c r="BG748" s="3">
        <v>0</v>
      </c>
      <c r="BH748" s="3">
        <v>0</v>
      </c>
      <c r="BI748" s="3">
        <v>0</v>
      </c>
      <c r="BJ748" s="3">
        <v>24557.66</v>
      </c>
      <c r="BK748" s="3">
        <v>-15</v>
      </c>
      <c r="BL748" s="3">
        <v>24542.66</v>
      </c>
      <c r="BM748" s="2">
        <f t="shared" ca="1" si="23"/>
        <v>1</v>
      </c>
      <c r="BN748" s="3">
        <v>250000</v>
      </c>
      <c r="BO748" s="3">
        <v>25000</v>
      </c>
      <c r="BP748" s="3">
        <v>100000</v>
      </c>
      <c r="BQ748" s="3">
        <v>500000</v>
      </c>
      <c r="BR748" s="3" t="s">
        <v>2916</v>
      </c>
      <c r="BS748">
        <v>50000</v>
      </c>
      <c r="BT748">
        <v>0</v>
      </c>
      <c r="BU748">
        <v>0</v>
      </c>
      <c r="BV748">
        <v>0</v>
      </c>
      <c r="BW748">
        <v>1</v>
      </c>
      <c r="BX748">
        <v>0</v>
      </c>
      <c r="BY748">
        <v>0</v>
      </c>
      <c r="BZ748" t="s">
        <v>2958</v>
      </c>
      <c r="CA748" t="s">
        <v>1194</v>
      </c>
      <c r="CB748" t="s">
        <v>2941</v>
      </c>
    </row>
    <row r="749" spans="1:80" x14ac:dyDescent="0.25">
      <c r="A749">
        <v>748</v>
      </c>
      <c r="B749" t="s">
        <v>2762</v>
      </c>
      <c r="C749" s="1">
        <v>44896</v>
      </c>
      <c r="D749">
        <v>39</v>
      </c>
      <c r="E749" t="s">
        <v>4</v>
      </c>
      <c r="F749" t="s">
        <v>1311</v>
      </c>
      <c r="G749">
        <v>1</v>
      </c>
      <c r="H749" s="3">
        <v>2271863</v>
      </c>
      <c r="I749" s="3">
        <v>112944</v>
      </c>
      <c r="J749" s="3">
        <v>908745</v>
      </c>
      <c r="K749" s="3">
        <v>454372.6</v>
      </c>
      <c r="L749" t="s">
        <v>1191</v>
      </c>
      <c r="M749">
        <v>1122974</v>
      </c>
      <c r="N749" t="s">
        <v>1544</v>
      </c>
      <c r="P749" t="s">
        <v>1907</v>
      </c>
      <c r="Q749" t="s">
        <v>1239</v>
      </c>
      <c r="R749">
        <v>80126</v>
      </c>
      <c r="S749" t="s">
        <v>1897</v>
      </c>
      <c r="T749" t="s">
        <v>965</v>
      </c>
      <c r="U749">
        <v>0</v>
      </c>
      <c r="V749">
        <v>100</v>
      </c>
      <c r="W749" t="s">
        <v>1194</v>
      </c>
      <c r="X749" t="s">
        <v>973</v>
      </c>
      <c r="Y749">
        <v>25000</v>
      </c>
      <c r="Z749" s="2" t="s">
        <v>1194</v>
      </c>
      <c r="AA749" s="2">
        <v>1</v>
      </c>
      <c r="AB749">
        <v>0.01</v>
      </c>
      <c r="AC749">
        <v>665</v>
      </c>
      <c r="AD749" t="s">
        <v>1279</v>
      </c>
      <c r="AE749">
        <v>2</v>
      </c>
      <c r="AF749" t="s">
        <v>1290</v>
      </c>
      <c r="AG749">
        <v>0</v>
      </c>
      <c r="AH749">
        <v>0</v>
      </c>
      <c r="AI749">
        <v>0</v>
      </c>
      <c r="AJ749">
        <v>2002</v>
      </c>
      <c r="AK749" t="s">
        <v>1194</v>
      </c>
      <c r="AL749" t="s">
        <v>1194</v>
      </c>
      <c r="AM749" s="4" t="s">
        <v>1238</v>
      </c>
      <c r="AN749">
        <v>1</v>
      </c>
      <c r="AO749" t="s">
        <v>1315</v>
      </c>
      <c r="AP749">
        <f t="shared" si="22"/>
        <v>0</v>
      </c>
      <c r="AQ749">
        <v>0</v>
      </c>
      <c r="AR749" t="s">
        <v>1993</v>
      </c>
      <c r="AS749" t="s">
        <v>1995</v>
      </c>
      <c r="AT749" t="s">
        <v>1996</v>
      </c>
      <c r="AU749" t="s">
        <v>1996</v>
      </c>
      <c r="AV749" t="s">
        <v>1996</v>
      </c>
      <c r="AW749" t="s">
        <v>1996</v>
      </c>
      <c r="AX749" t="s">
        <v>1194</v>
      </c>
      <c r="AY749" t="s">
        <v>1996</v>
      </c>
      <c r="AZ749">
        <v>6852</v>
      </c>
      <c r="BA749">
        <v>3</v>
      </c>
      <c r="BB749" t="s">
        <v>2014</v>
      </c>
      <c r="BC749" s="3">
        <v>0</v>
      </c>
      <c r="BD749" s="3">
        <v>0</v>
      </c>
      <c r="BE749" s="3">
        <v>0</v>
      </c>
      <c r="BF749" s="3">
        <v>634.83000000000004</v>
      </c>
      <c r="BG749" s="3">
        <v>175</v>
      </c>
      <c r="BH749" s="3">
        <v>0</v>
      </c>
      <c r="BI749" s="3">
        <v>0</v>
      </c>
      <c r="BJ749" s="3">
        <v>9044.74</v>
      </c>
      <c r="BK749" s="3">
        <v>235</v>
      </c>
      <c r="BL749" s="3">
        <v>9279.74</v>
      </c>
      <c r="BM749" s="2">
        <f t="shared" ca="1" si="23"/>
        <v>3</v>
      </c>
      <c r="BN749" s="3" t="s">
        <v>2916</v>
      </c>
      <c r="BO749" s="3">
        <v>25000</v>
      </c>
      <c r="BP749" s="3" t="s">
        <v>2922</v>
      </c>
      <c r="BQ749" s="3">
        <v>2000000</v>
      </c>
      <c r="BR749" s="3" t="s">
        <v>2916</v>
      </c>
      <c r="BS749">
        <v>1000000</v>
      </c>
      <c r="BT749">
        <v>0</v>
      </c>
      <c r="BU749">
        <v>0</v>
      </c>
      <c r="BV749">
        <v>1</v>
      </c>
      <c r="BW749">
        <v>0</v>
      </c>
      <c r="BX749">
        <v>0</v>
      </c>
      <c r="BY749">
        <v>0</v>
      </c>
      <c r="BZ749" t="s">
        <v>2967</v>
      </c>
      <c r="CA749" t="s">
        <v>1194</v>
      </c>
      <c r="CB749" t="s">
        <v>2941</v>
      </c>
    </row>
    <row r="750" spans="1:80" x14ac:dyDescent="0.25">
      <c r="A750">
        <v>749</v>
      </c>
      <c r="B750" t="s">
        <v>2763</v>
      </c>
      <c r="C750" s="1">
        <v>44842</v>
      </c>
      <c r="D750">
        <v>12</v>
      </c>
      <c r="E750" t="s">
        <v>5</v>
      </c>
      <c r="F750" t="s">
        <v>1310</v>
      </c>
      <c r="G750">
        <v>0</v>
      </c>
      <c r="H750" s="3">
        <v>2774050</v>
      </c>
      <c r="I750" s="3">
        <v>629658</v>
      </c>
      <c r="J750" s="3">
        <v>832215</v>
      </c>
      <c r="K750" s="3">
        <v>554810</v>
      </c>
      <c r="L750" t="s">
        <v>1191</v>
      </c>
      <c r="M750">
        <v>1566532</v>
      </c>
      <c r="N750" t="s">
        <v>1545</v>
      </c>
      <c r="P750" t="s">
        <v>1908</v>
      </c>
      <c r="Q750" t="s">
        <v>1239</v>
      </c>
      <c r="R750">
        <v>80465</v>
      </c>
      <c r="S750" t="s">
        <v>1736</v>
      </c>
      <c r="T750" t="s">
        <v>965</v>
      </c>
      <c r="U750">
        <v>0</v>
      </c>
      <c r="V750">
        <v>90</v>
      </c>
      <c r="W750" t="s">
        <v>1194</v>
      </c>
      <c r="X750" t="s">
        <v>973</v>
      </c>
      <c r="Y750">
        <v>10000</v>
      </c>
      <c r="Z750" s="2" t="s">
        <v>1194</v>
      </c>
      <c r="AA750" s="2">
        <v>1</v>
      </c>
      <c r="AB750">
        <v>0.02</v>
      </c>
      <c r="AC750">
        <v>684</v>
      </c>
      <c r="AD750" t="s">
        <v>1279</v>
      </c>
      <c r="AE750">
        <v>1</v>
      </c>
      <c r="AF750" t="s">
        <v>1290</v>
      </c>
      <c r="AG750">
        <v>0</v>
      </c>
      <c r="AH750">
        <v>0</v>
      </c>
      <c r="AI750">
        <v>0</v>
      </c>
      <c r="AJ750">
        <v>2020</v>
      </c>
      <c r="AK750" t="s">
        <v>1194</v>
      </c>
      <c r="AL750">
        <v>2020</v>
      </c>
      <c r="AM750" s="4" t="s">
        <v>1304</v>
      </c>
      <c r="AN750">
        <v>0</v>
      </c>
      <c r="AO750" t="s">
        <v>1315</v>
      </c>
      <c r="AP750">
        <f t="shared" si="22"/>
        <v>0</v>
      </c>
      <c r="AQ750">
        <v>0</v>
      </c>
      <c r="AR750" t="s">
        <v>1993</v>
      </c>
      <c r="AS750" t="s">
        <v>1996</v>
      </c>
      <c r="AT750" t="s">
        <v>1996</v>
      </c>
      <c r="AU750" t="s">
        <v>1995</v>
      </c>
      <c r="AV750" t="s">
        <v>1996</v>
      </c>
      <c r="AW750" t="s">
        <v>1995</v>
      </c>
      <c r="AX750" t="s">
        <v>1194</v>
      </c>
      <c r="AY750" t="s">
        <v>1996</v>
      </c>
      <c r="AZ750">
        <v>3904</v>
      </c>
      <c r="BA750">
        <v>3</v>
      </c>
      <c r="BB750" t="s">
        <v>2018</v>
      </c>
      <c r="BC750" s="3">
        <v>0</v>
      </c>
      <c r="BD750" s="3">
        <v>0</v>
      </c>
      <c r="BE750" s="3">
        <v>0</v>
      </c>
      <c r="BF750" s="3">
        <v>1261.1099999999999</v>
      </c>
      <c r="BG750" s="3">
        <v>175</v>
      </c>
      <c r="BH750" s="3">
        <v>0</v>
      </c>
      <c r="BI750" s="3">
        <v>0</v>
      </c>
      <c r="BJ750" s="3">
        <v>8536.82</v>
      </c>
      <c r="BK750" s="3">
        <v>235</v>
      </c>
      <c r="BL750" s="3">
        <v>8771.82</v>
      </c>
      <c r="BM750" s="2">
        <f t="shared" ca="1" si="23"/>
        <v>1</v>
      </c>
      <c r="BN750" s="3" t="s">
        <v>2916</v>
      </c>
      <c r="BO750" s="3">
        <v>100000</v>
      </c>
      <c r="BP750" s="3">
        <v>50000</v>
      </c>
      <c r="BQ750" s="3">
        <v>250000</v>
      </c>
      <c r="BR750" s="3">
        <v>50000</v>
      </c>
      <c r="BS750">
        <v>250000</v>
      </c>
      <c r="BT750">
        <v>0</v>
      </c>
      <c r="BU750">
        <v>0</v>
      </c>
      <c r="BV750">
        <v>1</v>
      </c>
      <c r="BW750">
        <v>0</v>
      </c>
      <c r="BX750">
        <v>0</v>
      </c>
      <c r="BY750">
        <v>0</v>
      </c>
      <c r="BZ750" t="s">
        <v>2958</v>
      </c>
      <c r="CA750" t="s">
        <v>1194</v>
      </c>
      <c r="CB750" t="s">
        <v>2949</v>
      </c>
    </row>
    <row r="751" spans="1:80" x14ac:dyDescent="0.25">
      <c r="A751">
        <v>750</v>
      </c>
      <c r="B751" t="s">
        <v>2764</v>
      </c>
      <c r="C751" s="1">
        <v>44898</v>
      </c>
      <c r="D751">
        <v>12</v>
      </c>
      <c r="E751" t="s">
        <v>5</v>
      </c>
      <c r="F751" t="s">
        <v>1310</v>
      </c>
      <c r="G751">
        <v>1</v>
      </c>
      <c r="H751" s="3">
        <v>1414540</v>
      </c>
      <c r="I751" s="3">
        <v>282908</v>
      </c>
      <c r="J751" s="3">
        <v>565816</v>
      </c>
      <c r="K751" s="3">
        <v>282908</v>
      </c>
      <c r="L751" t="s">
        <v>1191</v>
      </c>
      <c r="M751">
        <v>1134119</v>
      </c>
      <c r="N751" t="s">
        <v>1546</v>
      </c>
      <c r="P751" t="s">
        <v>1849</v>
      </c>
      <c r="Q751" t="s">
        <v>1240</v>
      </c>
      <c r="R751">
        <v>6820</v>
      </c>
      <c r="S751" t="s">
        <v>1706</v>
      </c>
      <c r="T751" t="s">
        <v>972</v>
      </c>
      <c r="U751">
        <v>0</v>
      </c>
      <c r="V751">
        <v>53</v>
      </c>
      <c r="W751" t="s">
        <v>1194</v>
      </c>
      <c r="X751" t="s">
        <v>973</v>
      </c>
      <c r="Y751">
        <v>2500</v>
      </c>
      <c r="Z751" s="2" t="s">
        <v>1194</v>
      </c>
      <c r="AA751" s="2" t="s">
        <v>1238</v>
      </c>
      <c r="AB751" t="s">
        <v>1238</v>
      </c>
      <c r="AC751">
        <v>846</v>
      </c>
      <c r="AD751" t="s">
        <v>1279</v>
      </c>
      <c r="AE751">
        <v>5</v>
      </c>
      <c r="AF751" t="s">
        <v>1290</v>
      </c>
      <c r="AG751">
        <v>0</v>
      </c>
      <c r="AH751">
        <v>0</v>
      </c>
      <c r="AI751">
        <v>0</v>
      </c>
      <c r="AJ751">
        <v>1949</v>
      </c>
      <c r="AK751">
        <v>2003</v>
      </c>
      <c r="AL751" t="s">
        <v>1194</v>
      </c>
      <c r="AM751" s="4" t="s">
        <v>1305</v>
      </c>
      <c r="AN751">
        <v>0</v>
      </c>
      <c r="AO751" t="s">
        <v>1315</v>
      </c>
      <c r="AP751">
        <f t="shared" si="22"/>
        <v>0</v>
      </c>
      <c r="AQ751">
        <v>1</v>
      </c>
      <c r="AR751" t="s">
        <v>1992</v>
      </c>
      <c r="AS751" t="s">
        <v>1996</v>
      </c>
      <c r="AT751" t="s">
        <v>1996</v>
      </c>
      <c r="AU751" t="s">
        <v>1995</v>
      </c>
      <c r="AV751" t="s">
        <v>1995</v>
      </c>
      <c r="AW751" t="s">
        <v>1996</v>
      </c>
      <c r="AX751" t="s">
        <v>2003</v>
      </c>
      <c r="AY751" t="s">
        <v>1996</v>
      </c>
      <c r="AZ751">
        <v>2766</v>
      </c>
      <c r="BA751" t="s">
        <v>1194</v>
      </c>
      <c r="BB751" t="s">
        <v>1194</v>
      </c>
      <c r="BC751" s="3">
        <v>0</v>
      </c>
      <c r="BD751" s="3">
        <v>365.46</v>
      </c>
      <c r="BE751" s="3">
        <v>0</v>
      </c>
      <c r="BF751" s="3">
        <v>0</v>
      </c>
      <c r="BG751" s="3">
        <v>160</v>
      </c>
      <c r="BH751" s="3">
        <v>0</v>
      </c>
      <c r="BI751" s="3">
        <v>0</v>
      </c>
      <c r="BJ751" s="3">
        <v>5418</v>
      </c>
      <c r="BK751" s="3">
        <v>5</v>
      </c>
      <c r="BL751" s="3">
        <v>5423</v>
      </c>
      <c r="BM751" s="2">
        <f t="shared" ca="1" si="23"/>
        <v>5</v>
      </c>
      <c r="BN751" s="3">
        <v>100000</v>
      </c>
      <c r="BO751" s="3">
        <v>500000</v>
      </c>
      <c r="BP751" s="3">
        <v>50000</v>
      </c>
      <c r="BQ751" s="3">
        <v>100000</v>
      </c>
      <c r="BR751" s="3">
        <v>500000</v>
      </c>
      <c r="BS751">
        <v>50000</v>
      </c>
      <c r="BT751">
        <v>0</v>
      </c>
      <c r="BU751">
        <v>0</v>
      </c>
      <c r="BV751">
        <v>1</v>
      </c>
      <c r="BW751">
        <v>0</v>
      </c>
      <c r="BX751">
        <v>0</v>
      </c>
      <c r="BY751">
        <v>0</v>
      </c>
      <c r="BZ751" t="s">
        <v>2949</v>
      </c>
      <c r="CA751" t="s">
        <v>1194</v>
      </c>
      <c r="CB751" t="s">
        <v>2949</v>
      </c>
    </row>
    <row r="752" spans="1:80" x14ac:dyDescent="0.25">
      <c r="A752">
        <v>751</v>
      </c>
      <c r="B752" t="s">
        <v>2765</v>
      </c>
      <c r="C752" s="1">
        <v>44756</v>
      </c>
      <c r="D752">
        <v>12</v>
      </c>
      <c r="E752" t="s">
        <v>4</v>
      </c>
      <c r="F752" t="s">
        <v>1311</v>
      </c>
      <c r="G752">
        <v>0</v>
      </c>
      <c r="H752" s="3">
        <v>724619</v>
      </c>
      <c r="I752" s="3">
        <v>160660</v>
      </c>
      <c r="J752" s="3">
        <v>151650</v>
      </c>
      <c r="K752" s="3">
        <v>144923.79999999999</v>
      </c>
      <c r="L752" t="s">
        <v>1191</v>
      </c>
      <c r="M752">
        <v>1726494</v>
      </c>
      <c r="N752" t="s">
        <v>1547</v>
      </c>
      <c r="P752" t="s">
        <v>98</v>
      </c>
      <c r="Q752" t="s">
        <v>1240</v>
      </c>
      <c r="R752">
        <v>6763</v>
      </c>
      <c r="S752" t="s">
        <v>1702</v>
      </c>
      <c r="T752" t="s">
        <v>965</v>
      </c>
      <c r="U752">
        <v>0</v>
      </c>
      <c r="V752">
        <v>11</v>
      </c>
      <c r="W752" t="s">
        <v>1194</v>
      </c>
      <c r="X752" t="s">
        <v>973</v>
      </c>
      <c r="Y752">
        <v>10000</v>
      </c>
      <c r="Z752" s="2" t="s">
        <v>1194</v>
      </c>
      <c r="AA752" s="2" t="s">
        <v>1238</v>
      </c>
      <c r="AB752" t="s">
        <v>1238</v>
      </c>
      <c r="AC752">
        <v>825</v>
      </c>
      <c r="AD752" t="s">
        <v>1279</v>
      </c>
      <c r="AE752">
        <v>8</v>
      </c>
      <c r="AF752" t="s">
        <v>1290</v>
      </c>
      <c r="AG752">
        <v>0</v>
      </c>
      <c r="AH752">
        <v>0</v>
      </c>
      <c r="AI752">
        <v>0</v>
      </c>
      <c r="AJ752">
        <v>1937</v>
      </c>
      <c r="AK752">
        <v>2018</v>
      </c>
      <c r="AL752" t="s">
        <v>1194</v>
      </c>
      <c r="AM752" s="4" t="s">
        <v>1238</v>
      </c>
      <c r="AN752">
        <v>0</v>
      </c>
      <c r="AO752" t="s">
        <v>1315</v>
      </c>
      <c r="AP752">
        <f t="shared" si="22"/>
        <v>0</v>
      </c>
      <c r="AQ752">
        <v>0</v>
      </c>
      <c r="AR752" t="s">
        <v>1993</v>
      </c>
      <c r="AS752" t="s">
        <v>1995</v>
      </c>
      <c r="AT752" t="s">
        <v>1995</v>
      </c>
      <c r="AU752" t="s">
        <v>1995</v>
      </c>
      <c r="AV752" t="s">
        <v>1996</v>
      </c>
      <c r="AW752" t="s">
        <v>1996</v>
      </c>
      <c r="AX752" t="s">
        <v>2003</v>
      </c>
      <c r="AY752" t="s">
        <v>1996</v>
      </c>
      <c r="AZ752">
        <v>1096</v>
      </c>
      <c r="BA752" t="s">
        <v>1194</v>
      </c>
      <c r="BB752" t="s">
        <v>1194</v>
      </c>
      <c r="BC752" s="3">
        <v>0</v>
      </c>
      <c r="BD752" s="3">
        <v>0</v>
      </c>
      <c r="BE752" s="3">
        <v>0</v>
      </c>
      <c r="BF752" s="3">
        <v>0</v>
      </c>
      <c r="BG752" s="3">
        <v>130</v>
      </c>
      <c r="BH752" s="3">
        <v>0</v>
      </c>
      <c r="BI752" s="3">
        <v>0</v>
      </c>
      <c r="BJ752" s="3">
        <v>3751</v>
      </c>
      <c r="BK752" s="3">
        <v>-5</v>
      </c>
      <c r="BL752" s="3">
        <v>3746</v>
      </c>
      <c r="BM752" s="2">
        <f t="shared" ca="1" si="23"/>
        <v>2</v>
      </c>
      <c r="BN752" s="3">
        <v>100000</v>
      </c>
      <c r="BO752" s="3">
        <v>1000000</v>
      </c>
      <c r="BP752" s="3">
        <v>100000</v>
      </c>
      <c r="BQ752" s="3">
        <v>500000</v>
      </c>
      <c r="BR752" s="3">
        <v>100000</v>
      </c>
      <c r="BS752">
        <v>50000</v>
      </c>
      <c r="BT752">
        <v>0</v>
      </c>
      <c r="BU752">
        <v>0</v>
      </c>
      <c r="BV752">
        <v>0</v>
      </c>
      <c r="BW752">
        <v>1</v>
      </c>
      <c r="BX752">
        <v>1</v>
      </c>
      <c r="BY752">
        <v>0</v>
      </c>
      <c r="BZ752" t="s">
        <v>2949</v>
      </c>
      <c r="CA752" t="s">
        <v>1194</v>
      </c>
      <c r="CB752" t="s">
        <v>2949</v>
      </c>
    </row>
    <row r="753" spans="1:80" x14ac:dyDescent="0.25">
      <c r="A753">
        <v>752</v>
      </c>
      <c r="B753" t="s">
        <v>2766</v>
      </c>
      <c r="C753" s="1">
        <v>44721</v>
      </c>
      <c r="D753">
        <v>18</v>
      </c>
      <c r="E753" t="s">
        <v>4</v>
      </c>
      <c r="F753" t="s">
        <v>1311</v>
      </c>
      <c r="G753">
        <v>0</v>
      </c>
      <c r="H753" s="3">
        <v>2750000</v>
      </c>
      <c r="I753" s="3">
        <v>250000</v>
      </c>
      <c r="J753" s="3">
        <v>1250000</v>
      </c>
      <c r="K753" s="3">
        <v>0</v>
      </c>
      <c r="L753" t="s">
        <v>1191</v>
      </c>
      <c r="M753">
        <v>1930117</v>
      </c>
      <c r="N753" t="s">
        <v>1548</v>
      </c>
      <c r="P753" t="s">
        <v>1909</v>
      </c>
      <c r="Q753" t="s">
        <v>1252</v>
      </c>
      <c r="R753">
        <v>48236</v>
      </c>
      <c r="S753" t="s">
        <v>1910</v>
      </c>
      <c r="T753" t="s">
        <v>965</v>
      </c>
      <c r="U753">
        <v>0</v>
      </c>
      <c r="V753">
        <v>9</v>
      </c>
      <c r="W753" t="s">
        <v>1194</v>
      </c>
      <c r="X753" t="s">
        <v>973</v>
      </c>
      <c r="Y753">
        <v>10000</v>
      </c>
      <c r="Z753" s="2" t="s">
        <v>1194</v>
      </c>
      <c r="AA753" s="2">
        <v>1</v>
      </c>
      <c r="AB753">
        <v>5.0000000000000001E-3</v>
      </c>
      <c r="AC753">
        <v>659</v>
      </c>
      <c r="AD753" t="s">
        <v>1284</v>
      </c>
      <c r="AE753">
        <v>5</v>
      </c>
      <c r="AF753" t="s">
        <v>1290</v>
      </c>
      <c r="AG753">
        <v>0</v>
      </c>
      <c r="AH753">
        <v>0</v>
      </c>
      <c r="AI753">
        <v>0</v>
      </c>
      <c r="AJ753">
        <v>1941</v>
      </c>
      <c r="AK753" t="s">
        <v>1194</v>
      </c>
      <c r="AL753">
        <v>2000</v>
      </c>
      <c r="AM753" s="4" t="s">
        <v>1238</v>
      </c>
      <c r="AN753">
        <v>1</v>
      </c>
      <c r="AO753" t="s">
        <v>1315</v>
      </c>
      <c r="AP753">
        <f t="shared" si="22"/>
        <v>0</v>
      </c>
      <c r="AQ753">
        <v>0</v>
      </c>
      <c r="AR753" t="s">
        <v>1993</v>
      </c>
      <c r="AS753" t="s">
        <v>1996</v>
      </c>
      <c r="AT753" t="s">
        <v>1995</v>
      </c>
      <c r="AU753" t="s">
        <v>1996</v>
      </c>
      <c r="AV753" t="s">
        <v>1996</v>
      </c>
      <c r="AW753" t="s">
        <v>1996</v>
      </c>
      <c r="AX753" t="s">
        <v>1194</v>
      </c>
      <c r="AY753" t="s">
        <v>1996</v>
      </c>
      <c r="AZ753">
        <v>4418</v>
      </c>
      <c r="BA753" t="s">
        <v>1194</v>
      </c>
      <c r="BB753" t="s">
        <v>1194</v>
      </c>
      <c r="BC753" s="3">
        <v>0</v>
      </c>
      <c r="BD753" s="3">
        <v>0</v>
      </c>
      <c r="BE753" s="3">
        <v>0</v>
      </c>
      <c r="BF753" s="3">
        <v>0</v>
      </c>
      <c r="BG753" s="3">
        <v>150</v>
      </c>
      <c r="BH753" s="3">
        <v>0</v>
      </c>
      <c r="BI753" s="3">
        <v>0</v>
      </c>
      <c r="BJ753" s="3">
        <v>16044.49</v>
      </c>
      <c r="BK753" s="3">
        <v>295</v>
      </c>
      <c r="BL753" s="3">
        <v>16339.49</v>
      </c>
      <c r="BM753" s="2">
        <f t="shared" ca="1" si="23"/>
        <v>6</v>
      </c>
      <c r="BN753" s="3">
        <v>100000</v>
      </c>
      <c r="BO753" s="3">
        <v>1000000</v>
      </c>
      <c r="BP753" s="3">
        <v>50000</v>
      </c>
      <c r="BQ753" s="3">
        <v>1000000</v>
      </c>
      <c r="BR753" s="3">
        <v>100000</v>
      </c>
      <c r="BS753">
        <v>100000</v>
      </c>
      <c r="BT753">
        <v>0</v>
      </c>
      <c r="BU753">
        <v>0</v>
      </c>
      <c r="BV753">
        <v>0</v>
      </c>
      <c r="BW753">
        <v>1</v>
      </c>
      <c r="BX753">
        <v>0</v>
      </c>
      <c r="BY753">
        <v>0</v>
      </c>
      <c r="BZ753" t="s">
        <v>2958</v>
      </c>
      <c r="CA753" t="s">
        <v>1194</v>
      </c>
      <c r="CB753" t="s">
        <v>2941</v>
      </c>
    </row>
    <row r="754" spans="1:80" x14ac:dyDescent="0.25">
      <c r="A754">
        <v>753</v>
      </c>
      <c r="B754" t="s">
        <v>2767</v>
      </c>
      <c r="C754" s="1">
        <v>44814</v>
      </c>
      <c r="D754">
        <v>12</v>
      </c>
      <c r="E754" t="s">
        <v>4</v>
      </c>
      <c r="F754" t="s">
        <v>1311</v>
      </c>
      <c r="G754">
        <v>1</v>
      </c>
      <c r="H754" s="3">
        <v>4621600</v>
      </c>
      <c r="I754" s="3">
        <v>0</v>
      </c>
      <c r="J754" s="3">
        <v>0</v>
      </c>
      <c r="K754" s="3">
        <v>0</v>
      </c>
      <c r="L754" t="s">
        <v>1191</v>
      </c>
      <c r="M754">
        <v>1527375</v>
      </c>
      <c r="N754" t="s">
        <v>1549</v>
      </c>
      <c r="P754" t="s">
        <v>1911</v>
      </c>
      <c r="Q754" t="s">
        <v>1251</v>
      </c>
      <c r="R754">
        <v>4046</v>
      </c>
      <c r="S754" t="s">
        <v>1912</v>
      </c>
      <c r="T754" t="s">
        <v>1238</v>
      </c>
      <c r="U754">
        <v>1</v>
      </c>
      <c r="V754">
        <v>1</v>
      </c>
      <c r="W754" t="s">
        <v>1194</v>
      </c>
      <c r="X754" t="s">
        <v>1309</v>
      </c>
      <c r="Y754">
        <v>25000</v>
      </c>
      <c r="Z754" s="2" t="s">
        <v>1194</v>
      </c>
      <c r="AA754" s="2">
        <v>1</v>
      </c>
      <c r="AB754">
        <v>2500</v>
      </c>
      <c r="AC754">
        <v>817</v>
      </c>
      <c r="AD754" t="s">
        <v>1279</v>
      </c>
      <c r="AE754">
        <v>5</v>
      </c>
      <c r="AF754" t="s">
        <v>1290</v>
      </c>
      <c r="AG754">
        <v>0</v>
      </c>
      <c r="AH754">
        <v>0</v>
      </c>
      <c r="AI754">
        <v>0</v>
      </c>
      <c r="AJ754">
        <v>1978</v>
      </c>
      <c r="AK754" t="s">
        <v>1194</v>
      </c>
      <c r="AL754">
        <v>2016</v>
      </c>
      <c r="AM754" s="4" t="s">
        <v>1238</v>
      </c>
      <c r="AN754">
        <v>0</v>
      </c>
      <c r="AO754" t="s">
        <v>1315</v>
      </c>
      <c r="AP754">
        <f t="shared" si="22"/>
        <v>0</v>
      </c>
      <c r="AQ754">
        <v>0</v>
      </c>
      <c r="AR754" t="s">
        <v>1993</v>
      </c>
      <c r="AS754" t="s">
        <v>1996</v>
      </c>
      <c r="AT754" t="s">
        <v>1996</v>
      </c>
      <c r="AU754" t="s">
        <v>1996</v>
      </c>
      <c r="AV754" t="s">
        <v>1995</v>
      </c>
      <c r="AW754" t="s">
        <v>1996</v>
      </c>
      <c r="AX754" t="s">
        <v>1194</v>
      </c>
      <c r="AY754" t="s">
        <v>1996</v>
      </c>
      <c r="AZ754">
        <v>3723</v>
      </c>
      <c r="BA754" t="s">
        <v>1194</v>
      </c>
      <c r="BB754" t="s">
        <v>1194</v>
      </c>
      <c r="BC754" s="3">
        <v>0</v>
      </c>
      <c r="BD754" s="3">
        <v>0</v>
      </c>
      <c r="BE754" s="3">
        <v>0</v>
      </c>
      <c r="BF754" s="3">
        <v>0</v>
      </c>
      <c r="BG754" s="3">
        <v>80</v>
      </c>
      <c r="BH754" s="3">
        <v>0</v>
      </c>
      <c r="BI754" s="3">
        <v>0</v>
      </c>
      <c r="BJ754" s="3">
        <v>10527.65</v>
      </c>
      <c r="BK754" s="3">
        <v>-15</v>
      </c>
      <c r="BL754" s="3">
        <v>9086.56</v>
      </c>
      <c r="BM754" s="2">
        <f t="shared" ca="1" si="23"/>
        <v>1</v>
      </c>
      <c r="BN754" s="3">
        <v>100000</v>
      </c>
      <c r="BO754" s="3">
        <v>500000</v>
      </c>
      <c r="BP754" s="3">
        <v>50000</v>
      </c>
      <c r="BQ754" s="3">
        <v>250000</v>
      </c>
      <c r="BR754" s="3">
        <v>2000000</v>
      </c>
      <c r="BS754">
        <v>500000</v>
      </c>
      <c r="BT754">
        <v>0</v>
      </c>
      <c r="BU754">
        <v>0</v>
      </c>
      <c r="BV754">
        <v>0</v>
      </c>
      <c r="BW754">
        <v>1</v>
      </c>
      <c r="BX754">
        <v>0</v>
      </c>
      <c r="BY754">
        <v>0</v>
      </c>
      <c r="BZ754" t="s">
        <v>2949</v>
      </c>
      <c r="CA754" t="s">
        <v>1194</v>
      </c>
      <c r="CB754" t="s">
        <v>2949</v>
      </c>
    </row>
    <row r="755" spans="1:80" x14ac:dyDescent="0.25">
      <c r="A755">
        <v>754</v>
      </c>
      <c r="B755" t="s">
        <v>2768</v>
      </c>
      <c r="C755" s="1">
        <v>44689</v>
      </c>
      <c r="D755">
        <v>12</v>
      </c>
      <c r="E755" t="s">
        <v>4</v>
      </c>
      <c r="F755" t="s">
        <v>1311</v>
      </c>
      <c r="G755">
        <v>1</v>
      </c>
      <c r="H755" s="3">
        <v>0</v>
      </c>
      <c r="I755" s="3">
        <v>0</v>
      </c>
      <c r="J755" s="3">
        <v>1149950</v>
      </c>
      <c r="K755" s="3">
        <v>229990</v>
      </c>
      <c r="L755" t="s">
        <v>1192</v>
      </c>
      <c r="M755">
        <v>1552821</v>
      </c>
      <c r="N755" t="s">
        <v>1550</v>
      </c>
      <c r="P755" t="s">
        <v>1913</v>
      </c>
      <c r="Q755" t="s">
        <v>1252</v>
      </c>
      <c r="R755">
        <v>48009</v>
      </c>
      <c r="S755" t="s">
        <v>1914</v>
      </c>
      <c r="T755" t="s">
        <v>965</v>
      </c>
      <c r="U755">
        <v>0</v>
      </c>
      <c r="V755">
        <v>5</v>
      </c>
      <c r="W755" t="s">
        <v>1194</v>
      </c>
      <c r="X755" t="s">
        <v>973</v>
      </c>
      <c r="Y755">
        <v>25000</v>
      </c>
      <c r="Z755" s="2" t="s">
        <v>1194</v>
      </c>
      <c r="AA755" s="2">
        <v>1</v>
      </c>
      <c r="AB755">
        <v>2.5000000000000001E-3</v>
      </c>
      <c r="AC755">
        <v>837</v>
      </c>
      <c r="AD755" t="s">
        <v>1284</v>
      </c>
      <c r="AE755">
        <v>3</v>
      </c>
      <c r="AF755" t="s">
        <v>1290</v>
      </c>
      <c r="AG755">
        <v>0</v>
      </c>
      <c r="AH755">
        <v>0</v>
      </c>
      <c r="AI755">
        <v>0</v>
      </c>
      <c r="AJ755">
        <v>2002</v>
      </c>
      <c r="AK755" t="s">
        <v>1194</v>
      </c>
      <c r="AL755" t="s">
        <v>1194</v>
      </c>
      <c r="AM755" s="4" t="s">
        <v>1238</v>
      </c>
      <c r="AN755">
        <v>1</v>
      </c>
      <c r="AO755" t="s">
        <v>1315</v>
      </c>
      <c r="AP755">
        <f t="shared" si="22"/>
        <v>0</v>
      </c>
      <c r="AQ755">
        <v>1</v>
      </c>
      <c r="AR755" t="s">
        <v>1992</v>
      </c>
      <c r="AS755" t="s">
        <v>1995</v>
      </c>
      <c r="AT755" t="s">
        <v>1996</v>
      </c>
      <c r="AU755" t="s">
        <v>1995</v>
      </c>
      <c r="AV755" t="s">
        <v>1996</v>
      </c>
      <c r="AW755" t="s">
        <v>1996</v>
      </c>
      <c r="AX755" t="s">
        <v>1194</v>
      </c>
      <c r="AY755" t="s">
        <v>1996</v>
      </c>
      <c r="AZ755">
        <v>4000</v>
      </c>
      <c r="BA755" t="s">
        <v>1194</v>
      </c>
      <c r="BB755" t="s">
        <v>1194</v>
      </c>
      <c r="BC755" s="3">
        <v>0</v>
      </c>
      <c r="BD755" s="3">
        <v>0</v>
      </c>
      <c r="BE755" s="3">
        <v>0</v>
      </c>
      <c r="BF755" s="3">
        <v>0</v>
      </c>
      <c r="BG755" s="3">
        <v>200</v>
      </c>
      <c r="BH755" s="3">
        <v>0</v>
      </c>
      <c r="BI755" s="3">
        <v>0</v>
      </c>
      <c r="BJ755" s="3">
        <v>3808.23</v>
      </c>
      <c r="BK755" s="3">
        <v>510</v>
      </c>
      <c r="BL755" s="3">
        <v>4318.2299999999996</v>
      </c>
      <c r="BM755" s="2">
        <f t="shared" ca="1" si="23"/>
        <v>3</v>
      </c>
      <c r="BN755" s="3">
        <v>100000</v>
      </c>
      <c r="BO755" s="3">
        <v>250000</v>
      </c>
      <c r="BP755" s="3">
        <v>50000</v>
      </c>
      <c r="BQ755" s="3">
        <v>50000</v>
      </c>
      <c r="BR755" s="3">
        <v>250000</v>
      </c>
      <c r="BS755" t="s">
        <v>2916</v>
      </c>
      <c r="BT755">
        <v>0</v>
      </c>
      <c r="BU755">
        <v>0</v>
      </c>
      <c r="BV755">
        <v>1</v>
      </c>
      <c r="BW755">
        <v>0</v>
      </c>
      <c r="BX755">
        <v>0</v>
      </c>
      <c r="BY755">
        <v>0</v>
      </c>
      <c r="BZ755" t="s">
        <v>2958</v>
      </c>
      <c r="CA755" t="s">
        <v>1194</v>
      </c>
      <c r="CB755" t="s">
        <v>2945</v>
      </c>
    </row>
    <row r="756" spans="1:80" x14ac:dyDescent="0.25">
      <c r="A756">
        <v>755</v>
      </c>
      <c r="B756" t="s">
        <v>2769</v>
      </c>
      <c r="C756" s="1">
        <v>44714</v>
      </c>
      <c r="D756">
        <v>12</v>
      </c>
      <c r="E756" t="s">
        <v>4</v>
      </c>
      <c r="F756" t="s">
        <v>1311</v>
      </c>
      <c r="G756">
        <v>1</v>
      </c>
      <c r="H756" s="3">
        <v>1379940</v>
      </c>
      <c r="I756" s="3">
        <v>275988</v>
      </c>
      <c r="J756" s="3">
        <v>1457050</v>
      </c>
      <c r="K756" s="3">
        <v>275988</v>
      </c>
      <c r="L756" t="s">
        <v>1191</v>
      </c>
      <c r="M756">
        <v>1478671</v>
      </c>
      <c r="N756" t="s">
        <v>1551</v>
      </c>
      <c r="P756" t="s">
        <v>1777</v>
      </c>
      <c r="Q756" t="s">
        <v>1266</v>
      </c>
      <c r="R756">
        <v>38111</v>
      </c>
      <c r="S756" t="s">
        <v>1778</v>
      </c>
      <c r="T756" t="s">
        <v>965</v>
      </c>
      <c r="U756">
        <v>0</v>
      </c>
      <c r="V756">
        <v>3</v>
      </c>
      <c r="W756" t="s">
        <v>1194</v>
      </c>
      <c r="X756" t="s">
        <v>973</v>
      </c>
      <c r="Y756">
        <v>25000</v>
      </c>
      <c r="Z756" s="2" t="s">
        <v>1194</v>
      </c>
      <c r="AA756" s="2" t="s">
        <v>1238</v>
      </c>
      <c r="AB756" t="s">
        <v>1238</v>
      </c>
      <c r="AC756">
        <v>865</v>
      </c>
      <c r="AD756" t="s">
        <v>1284</v>
      </c>
      <c r="AE756">
        <v>1</v>
      </c>
      <c r="AF756" t="s">
        <v>1290</v>
      </c>
      <c r="AG756">
        <v>0</v>
      </c>
      <c r="AH756">
        <v>0</v>
      </c>
      <c r="AI756">
        <v>0</v>
      </c>
      <c r="AJ756">
        <v>1964</v>
      </c>
      <c r="AK756" t="s">
        <v>1194</v>
      </c>
      <c r="AL756">
        <v>2015</v>
      </c>
      <c r="AM756" s="4" t="s">
        <v>1238</v>
      </c>
      <c r="AN756">
        <v>1</v>
      </c>
      <c r="AO756" t="s">
        <v>1316</v>
      </c>
      <c r="AP756">
        <f t="shared" si="22"/>
        <v>0</v>
      </c>
      <c r="AQ756">
        <v>1</v>
      </c>
      <c r="AR756" t="s">
        <v>1992</v>
      </c>
      <c r="AS756" t="s">
        <v>1995</v>
      </c>
      <c r="AT756" t="s">
        <v>1995</v>
      </c>
      <c r="AU756" t="s">
        <v>1995</v>
      </c>
      <c r="AV756" t="s">
        <v>1996</v>
      </c>
      <c r="AW756" t="s">
        <v>1996</v>
      </c>
      <c r="AX756" t="s">
        <v>1194</v>
      </c>
      <c r="AY756" t="s">
        <v>1996</v>
      </c>
      <c r="AZ756">
        <v>5229</v>
      </c>
      <c r="BA756" t="s">
        <v>1194</v>
      </c>
      <c r="BB756" t="s">
        <v>1194</v>
      </c>
      <c r="BC756" s="3">
        <v>0</v>
      </c>
      <c r="BD756" s="3">
        <v>1254.8699999999999</v>
      </c>
      <c r="BE756" s="3">
        <v>0</v>
      </c>
      <c r="BF756" s="3">
        <v>0</v>
      </c>
      <c r="BG756" s="3">
        <v>175</v>
      </c>
      <c r="BH756" s="3">
        <v>0</v>
      </c>
      <c r="BI756" s="3">
        <v>0</v>
      </c>
      <c r="BJ756" s="3">
        <v>6685.8</v>
      </c>
      <c r="BK756" s="3">
        <v>610</v>
      </c>
      <c r="BL756" s="3">
        <v>7295.8</v>
      </c>
      <c r="BM756" s="2">
        <f t="shared" ca="1" si="23"/>
        <v>5</v>
      </c>
      <c r="BN756" s="3">
        <v>250000</v>
      </c>
      <c r="BO756" s="3">
        <v>25000</v>
      </c>
      <c r="BP756" s="3">
        <v>200000</v>
      </c>
      <c r="BQ756" s="3">
        <v>100000</v>
      </c>
      <c r="BR756" s="3">
        <v>250000</v>
      </c>
      <c r="BS756" t="s">
        <v>2916</v>
      </c>
      <c r="BT756">
        <v>0</v>
      </c>
      <c r="BU756">
        <v>0</v>
      </c>
      <c r="BV756">
        <v>1</v>
      </c>
      <c r="BW756">
        <v>0</v>
      </c>
      <c r="BX756">
        <v>0</v>
      </c>
      <c r="BY756">
        <v>0</v>
      </c>
      <c r="BZ756" t="s">
        <v>2958</v>
      </c>
      <c r="CA756" t="s">
        <v>1194</v>
      </c>
      <c r="CB756" t="s">
        <v>2941</v>
      </c>
    </row>
    <row r="757" spans="1:80" x14ac:dyDescent="0.25">
      <c r="A757">
        <v>756</v>
      </c>
      <c r="B757" t="s">
        <v>2770</v>
      </c>
      <c r="C757" s="1">
        <v>44622</v>
      </c>
      <c r="D757">
        <v>36</v>
      </c>
      <c r="E757" t="s">
        <v>4</v>
      </c>
      <c r="F757" t="s">
        <v>1311</v>
      </c>
      <c r="G757">
        <v>1</v>
      </c>
      <c r="H757" s="3">
        <v>8000000</v>
      </c>
      <c r="I757" s="3">
        <v>1500000</v>
      </c>
      <c r="J757" s="3">
        <v>2500000</v>
      </c>
      <c r="K757" s="3">
        <v>1600000</v>
      </c>
      <c r="L757" t="s">
        <v>1191</v>
      </c>
      <c r="M757">
        <v>480033</v>
      </c>
      <c r="N757" t="s">
        <v>1552</v>
      </c>
      <c r="P757" t="s">
        <v>1915</v>
      </c>
      <c r="Q757" t="s">
        <v>1252</v>
      </c>
      <c r="R757">
        <v>48304</v>
      </c>
      <c r="S757" t="s">
        <v>1914</v>
      </c>
      <c r="T757" t="s">
        <v>965</v>
      </c>
      <c r="U757">
        <v>0</v>
      </c>
      <c r="V757">
        <v>5</v>
      </c>
      <c r="W757" t="s">
        <v>1194</v>
      </c>
      <c r="X757" t="s">
        <v>973</v>
      </c>
      <c r="Y757">
        <v>10000</v>
      </c>
      <c r="Z757" s="2" t="s">
        <v>1194</v>
      </c>
      <c r="AA757" s="2">
        <v>1</v>
      </c>
      <c r="AB757">
        <v>0.01</v>
      </c>
      <c r="AC757">
        <v>711</v>
      </c>
      <c r="AD757" t="s">
        <v>1279</v>
      </c>
      <c r="AE757">
        <v>3</v>
      </c>
      <c r="AF757" t="s">
        <v>1290</v>
      </c>
      <c r="AG757">
        <v>0</v>
      </c>
      <c r="AH757">
        <v>0</v>
      </c>
      <c r="AI757">
        <v>0</v>
      </c>
      <c r="AJ757">
        <v>1931</v>
      </c>
      <c r="AK757">
        <v>2022</v>
      </c>
      <c r="AL757">
        <v>2022</v>
      </c>
      <c r="AM757" s="4" t="s">
        <v>1238</v>
      </c>
      <c r="AN757">
        <v>1</v>
      </c>
      <c r="AO757" t="s">
        <v>1315</v>
      </c>
      <c r="AP757">
        <f t="shared" si="22"/>
        <v>0</v>
      </c>
      <c r="AQ757">
        <v>0</v>
      </c>
      <c r="AR757" t="s">
        <v>1993</v>
      </c>
      <c r="AS757" t="s">
        <v>1995</v>
      </c>
      <c r="AT757" t="s">
        <v>1995</v>
      </c>
      <c r="AU757" t="s">
        <v>1995</v>
      </c>
      <c r="AV757" t="s">
        <v>1996</v>
      </c>
      <c r="AW757" t="s">
        <v>1996</v>
      </c>
      <c r="AX757" t="s">
        <v>1194</v>
      </c>
      <c r="AY757" t="s">
        <v>1996</v>
      </c>
      <c r="AZ757">
        <v>6500</v>
      </c>
      <c r="BA757" t="s">
        <v>1194</v>
      </c>
      <c r="BB757" t="s">
        <v>1194</v>
      </c>
      <c r="BC757" s="3">
        <v>0</v>
      </c>
      <c r="BD757" s="3">
        <v>0</v>
      </c>
      <c r="BE757" s="3">
        <v>0</v>
      </c>
      <c r="BF757" s="3">
        <v>0</v>
      </c>
      <c r="BG757" s="3">
        <v>150</v>
      </c>
      <c r="BH757" s="3">
        <v>0</v>
      </c>
      <c r="BI757" s="3">
        <v>0</v>
      </c>
      <c r="BJ757" s="3">
        <v>18753.21</v>
      </c>
      <c r="BK757" s="3">
        <v>-15</v>
      </c>
      <c r="BL757" s="3">
        <v>18738.21</v>
      </c>
      <c r="BM757" s="2">
        <f t="shared" ca="1" si="23"/>
        <v>1</v>
      </c>
      <c r="BN757" s="3">
        <v>250000</v>
      </c>
      <c r="BO757" s="3">
        <v>500000</v>
      </c>
      <c r="BP757" s="3">
        <v>100000</v>
      </c>
      <c r="BQ757" s="3">
        <v>2000000</v>
      </c>
      <c r="BR757" s="3">
        <v>1000000</v>
      </c>
      <c r="BS757">
        <v>1000000</v>
      </c>
      <c r="BT757">
        <v>0</v>
      </c>
      <c r="BU757">
        <v>0</v>
      </c>
      <c r="BV757">
        <v>0</v>
      </c>
      <c r="BW757">
        <v>1</v>
      </c>
      <c r="BX757">
        <v>1</v>
      </c>
      <c r="BY757">
        <v>0</v>
      </c>
      <c r="BZ757" t="s">
        <v>2958</v>
      </c>
      <c r="CA757" t="s">
        <v>1194</v>
      </c>
      <c r="CB757" t="s">
        <v>2949</v>
      </c>
    </row>
    <row r="758" spans="1:80" x14ac:dyDescent="0.25">
      <c r="A758">
        <v>757</v>
      </c>
      <c r="B758" t="s">
        <v>2771</v>
      </c>
      <c r="C758" s="1">
        <v>44728</v>
      </c>
      <c r="D758">
        <v>12</v>
      </c>
      <c r="E758" t="s">
        <v>5</v>
      </c>
      <c r="F758" t="s">
        <v>1310</v>
      </c>
      <c r="G758">
        <v>1</v>
      </c>
      <c r="H758" s="3">
        <v>0</v>
      </c>
      <c r="I758" s="3">
        <v>0</v>
      </c>
      <c r="J758" s="3">
        <v>327000</v>
      </c>
      <c r="K758" s="3">
        <v>0</v>
      </c>
      <c r="L758" t="s">
        <v>1192</v>
      </c>
      <c r="M758">
        <v>1672404</v>
      </c>
      <c r="N758" t="s">
        <v>1553</v>
      </c>
      <c r="O758" t="s">
        <v>1554</v>
      </c>
      <c r="P758" t="s">
        <v>1916</v>
      </c>
      <c r="Q758" t="s">
        <v>1262</v>
      </c>
      <c r="R758">
        <v>97415</v>
      </c>
      <c r="S758" t="s">
        <v>1917</v>
      </c>
      <c r="T758" t="s">
        <v>965</v>
      </c>
      <c r="U758">
        <v>0</v>
      </c>
      <c r="V758">
        <v>1</v>
      </c>
      <c r="W758" t="s">
        <v>1194</v>
      </c>
      <c r="X758" t="s">
        <v>973</v>
      </c>
      <c r="Y758">
        <v>10000</v>
      </c>
      <c r="Z758" s="2" t="s">
        <v>1194</v>
      </c>
      <c r="AA758" s="2" t="s">
        <v>1238</v>
      </c>
      <c r="AB758" t="s">
        <v>1238</v>
      </c>
      <c r="AC758">
        <v>707</v>
      </c>
      <c r="AD758" t="s">
        <v>1279</v>
      </c>
      <c r="AE758">
        <v>3</v>
      </c>
      <c r="AF758" t="s">
        <v>1290</v>
      </c>
      <c r="AG758">
        <v>0</v>
      </c>
      <c r="AH758">
        <v>0</v>
      </c>
      <c r="AI758">
        <v>0</v>
      </c>
      <c r="AJ758">
        <v>1994</v>
      </c>
      <c r="AK758">
        <v>2010</v>
      </c>
      <c r="AL758" t="s">
        <v>1194</v>
      </c>
      <c r="AM758" s="4" t="s">
        <v>1305</v>
      </c>
      <c r="AN758">
        <v>1</v>
      </c>
      <c r="AO758" t="s">
        <v>1315</v>
      </c>
      <c r="AP758">
        <f t="shared" si="22"/>
        <v>0</v>
      </c>
      <c r="AQ758">
        <v>1</v>
      </c>
      <c r="AR758" t="s">
        <v>1992</v>
      </c>
      <c r="AS758" t="s">
        <v>1996</v>
      </c>
      <c r="AT758" t="s">
        <v>1995</v>
      </c>
      <c r="AU758" t="s">
        <v>1995</v>
      </c>
      <c r="AV758" t="s">
        <v>1995</v>
      </c>
      <c r="AW758" t="s">
        <v>1995</v>
      </c>
      <c r="AX758" t="s">
        <v>1194</v>
      </c>
      <c r="AY758" t="s">
        <v>1996</v>
      </c>
      <c r="AZ758">
        <v>2107</v>
      </c>
      <c r="BA758">
        <v>3</v>
      </c>
      <c r="BB758" t="s">
        <v>2016</v>
      </c>
      <c r="BC758" s="3">
        <v>0</v>
      </c>
      <c r="BD758" s="3">
        <v>208.7</v>
      </c>
      <c r="BE758" s="3">
        <v>0</v>
      </c>
      <c r="BF758" s="3">
        <v>208.7</v>
      </c>
      <c r="BG758" s="3">
        <v>175</v>
      </c>
      <c r="BH758" s="3">
        <v>0</v>
      </c>
      <c r="BI758" s="3">
        <v>0</v>
      </c>
      <c r="BJ758" s="3">
        <v>1337.98</v>
      </c>
      <c r="BK758" s="3">
        <v>-5</v>
      </c>
      <c r="BL758" s="3">
        <v>1332.98</v>
      </c>
      <c r="BM758" s="2">
        <f t="shared" ca="1" si="23"/>
        <v>3</v>
      </c>
      <c r="BN758" s="3">
        <v>500000</v>
      </c>
      <c r="BO758" s="3">
        <v>100000</v>
      </c>
      <c r="BP758" s="3">
        <v>100000</v>
      </c>
      <c r="BQ758" s="3">
        <v>50000</v>
      </c>
      <c r="BR758" s="3">
        <v>250000</v>
      </c>
      <c r="BS758" t="s">
        <v>2916</v>
      </c>
      <c r="BT758">
        <v>0</v>
      </c>
      <c r="BU758">
        <v>0</v>
      </c>
      <c r="BV758">
        <v>1</v>
      </c>
      <c r="BW758">
        <v>0</v>
      </c>
      <c r="BX758">
        <v>0</v>
      </c>
      <c r="BY758">
        <v>0</v>
      </c>
      <c r="BZ758" t="s">
        <v>1194</v>
      </c>
      <c r="CA758" t="s">
        <v>1194</v>
      </c>
      <c r="CB758" t="s">
        <v>1194</v>
      </c>
    </row>
    <row r="759" spans="1:80" x14ac:dyDescent="0.25">
      <c r="A759">
        <v>758</v>
      </c>
      <c r="B759" t="s">
        <v>2772</v>
      </c>
      <c r="C759" s="1">
        <v>44642</v>
      </c>
      <c r="D759">
        <v>39</v>
      </c>
      <c r="E759" t="s">
        <v>4</v>
      </c>
      <c r="F759" t="s">
        <v>1311</v>
      </c>
      <c r="G759">
        <v>0</v>
      </c>
      <c r="H759" s="3">
        <v>4242698</v>
      </c>
      <c r="I759" s="3">
        <v>778924</v>
      </c>
      <c r="J759" s="3">
        <v>1557849</v>
      </c>
      <c r="K759" s="3">
        <v>0</v>
      </c>
      <c r="L759" t="s">
        <v>1191</v>
      </c>
      <c r="M759">
        <v>1197242</v>
      </c>
      <c r="N759" t="s">
        <v>1555</v>
      </c>
      <c r="P759" t="s">
        <v>1800</v>
      </c>
      <c r="Q759" t="s">
        <v>1270</v>
      </c>
      <c r="R759">
        <v>98119</v>
      </c>
      <c r="S759" t="s">
        <v>1796</v>
      </c>
      <c r="T759" t="s">
        <v>965</v>
      </c>
      <c r="U759">
        <v>0</v>
      </c>
      <c r="V759">
        <v>53</v>
      </c>
      <c r="W759" t="s">
        <v>1194</v>
      </c>
      <c r="X759" t="s">
        <v>973</v>
      </c>
      <c r="Y759">
        <v>10000</v>
      </c>
      <c r="Z759" s="2" t="s">
        <v>1194</v>
      </c>
      <c r="AA759" s="2" t="s">
        <v>1238</v>
      </c>
      <c r="AB759" t="s">
        <v>1238</v>
      </c>
      <c r="AC759" t="s">
        <v>1194</v>
      </c>
      <c r="AD759" t="s">
        <v>1279</v>
      </c>
      <c r="AE759">
        <v>2</v>
      </c>
      <c r="AF759" t="s">
        <v>1290</v>
      </c>
      <c r="AG759">
        <v>0</v>
      </c>
      <c r="AH759">
        <v>0</v>
      </c>
      <c r="AI759">
        <v>0</v>
      </c>
      <c r="AJ759">
        <v>1904</v>
      </c>
      <c r="AK759" t="s">
        <v>1194</v>
      </c>
      <c r="AL759" t="s">
        <v>1194</v>
      </c>
      <c r="AM759" s="4" t="s">
        <v>1238</v>
      </c>
      <c r="AN759">
        <v>0</v>
      </c>
      <c r="AO759" t="s">
        <v>1315</v>
      </c>
      <c r="AP759">
        <f t="shared" si="22"/>
        <v>0</v>
      </c>
      <c r="AQ759">
        <v>1</v>
      </c>
      <c r="AR759" t="s">
        <v>1992</v>
      </c>
      <c r="AS759" t="s">
        <v>1995</v>
      </c>
      <c r="AT759" t="s">
        <v>1995</v>
      </c>
      <c r="AU759" t="s">
        <v>1996</v>
      </c>
      <c r="AV759" t="s">
        <v>1996</v>
      </c>
      <c r="AW759" t="s">
        <v>1995</v>
      </c>
      <c r="AX759" t="s">
        <v>1194</v>
      </c>
      <c r="AY759" t="s">
        <v>1996</v>
      </c>
      <c r="AZ759">
        <v>4290</v>
      </c>
      <c r="BA759" t="s">
        <v>1194</v>
      </c>
      <c r="BB759" t="s">
        <v>1194</v>
      </c>
      <c r="BC759" s="3">
        <v>0</v>
      </c>
      <c r="BD759" s="3">
        <v>0</v>
      </c>
      <c r="BE759" s="3">
        <v>0</v>
      </c>
      <c r="BF759" s="3">
        <v>0</v>
      </c>
      <c r="BG759" s="3">
        <v>110</v>
      </c>
      <c r="BH759" s="3">
        <v>0</v>
      </c>
      <c r="BI759" s="3">
        <v>0</v>
      </c>
      <c r="BJ759" s="3">
        <v>12347.43</v>
      </c>
      <c r="BK759" s="3">
        <v>228</v>
      </c>
      <c r="BL759" s="3">
        <v>12575.43</v>
      </c>
      <c r="BM759" s="2">
        <f t="shared" ca="1" si="23"/>
        <v>5</v>
      </c>
      <c r="BN759" s="3" t="s">
        <v>2916</v>
      </c>
      <c r="BO759" s="3">
        <v>500000</v>
      </c>
      <c r="BP759" s="3">
        <v>50000</v>
      </c>
      <c r="BQ759" s="3">
        <v>1000000</v>
      </c>
      <c r="BR759" s="3">
        <v>2000000</v>
      </c>
      <c r="BS759">
        <v>100000</v>
      </c>
      <c r="BT759">
        <v>0</v>
      </c>
      <c r="BU759">
        <v>0</v>
      </c>
      <c r="BV759">
        <v>1</v>
      </c>
      <c r="BW759">
        <v>0</v>
      </c>
      <c r="BX759">
        <v>0</v>
      </c>
      <c r="BY759">
        <v>0</v>
      </c>
      <c r="BZ759" t="s">
        <v>2949</v>
      </c>
      <c r="CA759" t="s">
        <v>1194</v>
      </c>
      <c r="CB759" t="s">
        <v>2949</v>
      </c>
    </row>
    <row r="760" spans="1:80" x14ac:dyDescent="0.25">
      <c r="A760">
        <v>759</v>
      </c>
      <c r="B760" t="s">
        <v>2773</v>
      </c>
      <c r="C760" s="1">
        <v>44674</v>
      </c>
      <c r="D760">
        <v>12</v>
      </c>
      <c r="E760" t="s">
        <v>4</v>
      </c>
      <c r="F760" t="s">
        <v>1311</v>
      </c>
      <c r="G760">
        <v>1</v>
      </c>
      <c r="H760" s="3">
        <v>3032994</v>
      </c>
      <c r="I760" s="3">
        <v>485279</v>
      </c>
      <c r="J760" s="3">
        <v>60660</v>
      </c>
      <c r="K760" s="3">
        <v>606598.80000000005</v>
      </c>
      <c r="L760" t="s">
        <v>1191</v>
      </c>
      <c r="M760">
        <v>1199976</v>
      </c>
      <c r="N760" t="s">
        <v>1556</v>
      </c>
      <c r="P760" t="s">
        <v>1733</v>
      </c>
      <c r="Q760" t="s">
        <v>1246</v>
      </c>
      <c r="R760">
        <v>60614</v>
      </c>
      <c r="S760" t="s">
        <v>1734</v>
      </c>
      <c r="T760" t="s">
        <v>965</v>
      </c>
      <c r="U760">
        <v>0</v>
      </c>
      <c r="V760">
        <v>13</v>
      </c>
      <c r="W760" t="s">
        <v>1194</v>
      </c>
      <c r="X760" t="s">
        <v>973</v>
      </c>
      <c r="Y760">
        <v>10000</v>
      </c>
      <c r="Z760" s="2" t="s">
        <v>1194</v>
      </c>
      <c r="AA760" s="2">
        <v>0</v>
      </c>
      <c r="AB760" t="s">
        <v>1238</v>
      </c>
      <c r="AC760">
        <v>842</v>
      </c>
      <c r="AD760" t="s">
        <v>1284</v>
      </c>
      <c r="AE760">
        <v>1</v>
      </c>
      <c r="AF760" t="s">
        <v>1290</v>
      </c>
      <c r="AG760">
        <v>0</v>
      </c>
      <c r="AH760">
        <v>0</v>
      </c>
      <c r="AI760">
        <v>0</v>
      </c>
      <c r="AJ760">
        <v>2007</v>
      </c>
      <c r="AK760" t="s">
        <v>1194</v>
      </c>
      <c r="AL760" t="s">
        <v>1194</v>
      </c>
      <c r="AM760" s="4" t="s">
        <v>1238</v>
      </c>
      <c r="AN760">
        <v>0</v>
      </c>
      <c r="AO760" t="s">
        <v>1315</v>
      </c>
      <c r="AP760">
        <f t="shared" si="22"/>
        <v>0</v>
      </c>
      <c r="AQ760">
        <v>0</v>
      </c>
      <c r="AR760" t="s">
        <v>1993</v>
      </c>
      <c r="AS760" t="s">
        <v>1996</v>
      </c>
      <c r="AT760" t="s">
        <v>1995</v>
      </c>
      <c r="AU760" t="s">
        <v>1995</v>
      </c>
      <c r="AV760" t="s">
        <v>1996</v>
      </c>
      <c r="AW760" t="s">
        <v>1995</v>
      </c>
      <c r="AX760" t="s">
        <v>1194</v>
      </c>
      <c r="AY760" t="s">
        <v>1996</v>
      </c>
      <c r="AZ760">
        <v>5000</v>
      </c>
      <c r="BA760" t="s">
        <v>1194</v>
      </c>
      <c r="BB760" t="s">
        <v>1194</v>
      </c>
      <c r="BC760" s="3">
        <v>0</v>
      </c>
      <c r="BD760" s="3">
        <v>0</v>
      </c>
      <c r="BE760" s="3">
        <v>0</v>
      </c>
      <c r="BF760" s="3">
        <v>0</v>
      </c>
      <c r="BG760" s="3">
        <v>175</v>
      </c>
      <c r="BH760" s="3">
        <v>0</v>
      </c>
      <c r="BI760" s="3">
        <v>0</v>
      </c>
      <c r="BJ760" s="3">
        <v>8078.62</v>
      </c>
      <c r="BK760" s="3">
        <v>235</v>
      </c>
      <c r="BL760" s="3">
        <v>7889</v>
      </c>
      <c r="BM760" s="2">
        <f t="shared" ca="1" si="23"/>
        <v>0</v>
      </c>
      <c r="BN760" s="3" t="s">
        <v>2916</v>
      </c>
      <c r="BO760" s="3">
        <v>50000</v>
      </c>
      <c r="BP760" s="3">
        <v>50000</v>
      </c>
      <c r="BQ760" s="3">
        <v>50000</v>
      </c>
      <c r="BR760" s="3">
        <v>500000</v>
      </c>
      <c r="BS760">
        <v>2000000</v>
      </c>
      <c r="BT760">
        <v>0</v>
      </c>
      <c r="BU760">
        <v>0</v>
      </c>
      <c r="BV760">
        <v>1</v>
      </c>
      <c r="BW760">
        <v>0</v>
      </c>
      <c r="BX760">
        <v>0</v>
      </c>
      <c r="BY760">
        <v>0</v>
      </c>
      <c r="BZ760" t="s">
        <v>2958</v>
      </c>
      <c r="CA760" t="s">
        <v>1194</v>
      </c>
      <c r="CB760" t="s">
        <v>2952</v>
      </c>
    </row>
    <row r="761" spans="1:80" x14ac:dyDescent="0.25">
      <c r="A761">
        <v>760</v>
      </c>
      <c r="B761" t="s">
        <v>2774</v>
      </c>
      <c r="C761" s="1">
        <v>44665</v>
      </c>
      <c r="D761">
        <v>12</v>
      </c>
      <c r="E761" t="s">
        <v>4</v>
      </c>
      <c r="F761" t="s">
        <v>1311</v>
      </c>
      <c r="G761">
        <v>1</v>
      </c>
      <c r="H761" s="3">
        <v>2561182</v>
      </c>
      <c r="I761" s="3">
        <v>655428</v>
      </c>
      <c r="J761" s="3">
        <v>1090000</v>
      </c>
      <c r="K761" s="3">
        <v>0</v>
      </c>
      <c r="L761" t="s">
        <v>1191</v>
      </c>
      <c r="M761">
        <v>1667401</v>
      </c>
      <c r="N761" t="s">
        <v>1557</v>
      </c>
      <c r="P761" t="s">
        <v>1918</v>
      </c>
      <c r="Q761" t="s">
        <v>1268</v>
      </c>
      <c r="R761">
        <v>23451</v>
      </c>
      <c r="S761" t="s">
        <v>1829</v>
      </c>
      <c r="T761" t="s">
        <v>1986</v>
      </c>
      <c r="U761">
        <v>0</v>
      </c>
      <c r="V761">
        <v>304</v>
      </c>
      <c r="W761" t="s">
        <v>1194</v>
      </c>
      <c r="X761" t="s">
        <v>973</v>
      </c>
      <c r="Y761">
        <v>10000</v>
      </c>
      <c r="Z761" s="2">
        <v>1.000007028</v>
      </c>
      <c r="AA761" s="2" t="s">
        <v>1238</v>
      </c>
      <c r="AB761" t="s">
        <v>1238</v>
      </c>
      <c r="AC761">
        <v>882</v>
      </c>
      <c r="AD761" t="s">
        <v>1279</v>
      </c>
      <c r="AE761">
        <v>2</v>
      </c>
      <c r="AF761" t="s">
        <v>1290</v>
      </c>
      <c r="AG761">
        <v>0</v>
      </c>
      <c r="AH761">
        <v>0</v>
      </c>
      <c r="AI761">
        <v>0</v>
      </c>
      <c r="AJ761">
        <v>1952</v>
      </c>
      <c r="AK761">
        <v>2016</v>
      </c>
      <c r="AL761">
        <v>2018</v>
      </c>
      <c r="AM761" s="4" t="s">
        <v>1238</v>
      </c>
      <c r="AN761">
        <v>1</v>
      </c>
      <c r="AO761" t="s">
        <v>1316</v>
      </c>
      <c r="AP761">
        <f t="shared" si="22"/>
        <v>0</v>
      </c>
      <c r="AQ761">
        <v>0</v>
      </c>
      <c r="AR761" t="s">
        <v>1993</v>
      </c>
      <c r="AS761" t="s">
        <v>1996</v>
      </c>
      <c r="AT761" t="s">
        <v>1995</v>
      </c>
      <c r="AU761" t="s">
        <v>1996</v>
      </c>
      <c r="AV761" t="s">
        <v>1995</v>
      </c>
      <c r="AW761" t="s">
        <v>1996</v>
      </c>
      <c r="AX761" t="s">
        <v>2003</v>
      </c>
      <c r="AY761" t="s">
        <v>1996</v>
      </c>
      <c r="AZ761">
        <v>4945</v>
      </c>
      <c r="BA761" t="s">
        <v>1194</v>
      </c>
      <c r="BB761" t="s">
        <v>1194</v>
      </c>
      <c r="BC761" s="3">
        <v>0</v>
      </c>
      <c r="BD761" s="3">
        <v>2687.59</v>
      </c>
      <c r="BE761" s="3">
        <v>0</v>
      </c>
      <c r="BF761" s="3">
        <v>0</v>
      </c>
      <c r="BG761" s="3">
        <v>175</v>
      </c>
      <c r="BH761" s="3">
        <v>0</v>
      </c>
      <c r="BI761" s="3">
        <v>0</v>
      </c>
      <c r="BJ761" s="3">
        <v>9185.07</v>
      </c>
      <c r="BK761" s="3">
        <v>-15</v>
      </c>
      <c r="BL761" s="3">
        <v>9170.07</v>
      </c>
      <c r="BM761" s="2">
        <f t="shared" ca="1" si="23"/>
        <v>0</v>
      </c>
      <c r="BN761" s="3">
        <v>1000000</v>
      </c>
      <c r="BO761" s="3">
        <v>2000000</v>
      </c>
      <c r="BP761" s="3">
        <v>50000</v>
      </c>
      <c r="BQ761" s="3">
        <v>500000</v>
      </c>
      <c r="BR761" s="3">
        <v>500000</v>
      </c>
      <c r="BS761" t="s">
        <v>2916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1</v>
      </c>
      <c r="BZ761" t="s">
        <v>2949</v>
      </c>
      <c r="CA761" t="s">
        <v>1194</v>
      </c>
      <c r="CB761" t="s">
        <v>2949</v>
      </c>
    </row>
    <row r="762" spans="1:80" x14ac:dyDescent="0.25">
      <c r="A762">
        <v>761</v>
      </c>
      <c r="B762" t="s">
        <v>2775</v>
      </c>
      <c r="C762" s="1">
        <v>44750</v>
      </c>
      <c r="D762">
        <v>12</v>
      </c>
      <c r="E762" t="s">
        <v>5</v>
      </c>
      <c r="F762" t="s">
        <v>1310</v>
      </c>
      <c r="G762">
        <v>1</v>
      </c>
      <c r="H762" s="3">
        <v>4003551</v>
      </c>
      <c r="I762" s="3">
        <v>1175299</v>
      </c>
      <c r="J762" s="3">
        <v>2502220</v>
      </c>
      <c r="K762" s="3">
        <v>800710.2</v>
      </c>
      <c r="L762" t="s">
        <v>1191</v>
      </c>
      <c r="M762">
        <v>1210335</v>
      </c>
      <c r="N762" t="s">
        <v>1558</v>
      </c>
      <c r="P762" t="s">
        <v>1919</v>
      </c>
      <c r="Q762" t="s">
        <v>1253</v>
      </c>
      <c r="R762">
        <v>55391</v>
      </c>
      <c r="S762" t="s">
        <v>1714</v>
      </c>
      <c r="T762" t="s">
        <v>965</v>
      </c>
      <c r="U762">
        <v>0</v>
      </c>
      <c r="V762">
        <v>1</v>
      </c>
      <c r="W762" t="s">
        <v>1194</v>
      </c>
      <c r="X762" t="s">
        <v>973</v>
      </c>
      <c r="Y762">
        <v>10000</v>
      </c>
      <c r="Z762" s="2" t="s">
        <v>1194</v>
      </c>
      <c r="AA762" s="2">
        <v>1</v>
      </c>
      <c r="AB762">
        <v>0.01</v>
      </c>
      <c r="AC762">
        <v>723</v>
      </c>
      <c r="AD762" t="s">
        <v>1279</v>
      </c>
      <c r="AE762">
        <v>9</v>
      </c>
      <c r="AF762" t="s">
        <v>1290</v>
      </c>
      <c r="AG762">
        <v>0</v>
      </c>
      <c r="AH762">
        <v>0</v>
      </c>
      <c r="AI762">
        <v>0</v>
      </c>
      <c r="AJ762">
        <v>2019</v>
      </c>
      <c r="AK762" t="s">
        <v>1194</v>
      </c>
      <c r="AL762" t="s">
        <v>1194</v>
      </c>
      <c r="AM762" s="4" t="s">
        <v>1304</v>
      </c>
      <c r="AN762">
        <v>0</v>
      </c>
      <c r="AO762" t="s">
        <v>1315</v>
      </c>
      <c r="AP762">
        <f t="shared" si="22"/>
        <v>0</v>
      </c>
      <c r="AQ762">
        <v>1</v>
      </c>
      <c r="AR762" t="s">
        <v>1992</v>
      </c>
      <c r="AS762" t="s">
        <v>1996</v>
      </c>
      <c r="AT762" t="s">
        <v>1995</v>
      </c>
      <c r="AU762" t="s">
        <v>1995</v>
      </c>
      <c r="AV762" t="s">
        <v>1995</v>
      </c>
      <c r="AW762" t="s">
        <v>1996</v>
      </c>
      <c r="AX762" t="s">
        <v>1194</v>
      </c>
      <c r="AY762" t="s">
        <v>1996</v>
      </c>
      <c r="AZ762">
        <v>6765</v>
      </c>
      <c r="BA762" t="s">
        <v>1194</v>
      </c>
      <c r="BB762" t="s">
        <v>1194</v>
      </c>
      <c r="BC762" s="3">
        <v>0</v>
      </c>
      <c r="BD762" s="3">
        <v>0</v>
      </c>
      <c r="BE762" s="3">
        <v>0</v>
      </c>
      <c r="BF762" s="3">
        <v>0</v>
      </c>
      <c r="BG762" s="3">
        <v>175</v>
      </c>
      <c r="BH762" s="3">
        <v>0</v>
      </c>
      <c r="BI762" s="3">
        <v>0</v>
      </c>
      <c r="BJ762" s="3">
        <v>14528.36</v>
      </c>
      <c r="BK762" s="3">
        <v>696</v>
      </c>
      <c r="BL762" s="3">
        <v>15224.36</v>
      </c>
      <c r="BM762" s="2">
        <f t="shared" ca="1" si="23"/>
        <v>1</v>
      </c>
      <c r="BN762" s="3">
        <v>2000000</v>
      </c>
      <c r="BO762" s="3">
        <v>25000</v>
      </c>
      <c r="BP762" s="3">
        <v>200000</v>
      </c>
      <c r="BQ762" s="3">
        <v>25000</v>
      </c>
      <c r="BR762" s="3">
        <v>250000</v>
      </c>
      <c r="BS762">
        <v>50000</v>
      </c>
      <c r="BT762">
        <v>0</v>
      </c>
      <c r="BU762">
        <v>0</v>
      </c>
      <c r="BV762">
        <v>1</v>
      </c>
      <c r="BW762">
        <v>0</v>
      </c>
      <c r="BX762">
        <v>0</v>
      </c>
      <c r="BY762">
        <v>0</v>
      </c>
      <c r="BZ762" t="s">
        <v>2958</v>
      </c>
      <c r="CA762" t="s">
        <v>1194</v>
      </c>
      <c r="CB762" t="s">
        <v>2941</v>
      </c>
    </row>
    <row r="763" spans="1:80" x14ac:dyDescent="0.25">
      <c r="A763">
        <v>762</v>
      </c>
      <c r="B763" t="s">
        <v>2776</v>
      </c>
      <c r="C763" s="1">
        <v>44677</v>
      </c>
      <c r="D763">
        <v>12</v>
      </c>
      <c r="E763" t="s">
        <v>4</v>
      </c>
      <c r="F763" t="s">
        <v>1311</v>
      </c>
      <c r="G763">
        <v>1</v>
      </c>
      <c r="H763" s="3">
        <v>381500</v>
      </c>
      <c r="I763" s="3">
        <v>573557</v>
      </c>
      <c r="J763" s="3">
        <v>139518</v>
      </c>
      <c r="K763" s="3">
        <v>76300</v>
      </c>
      <c r="L763" t="s">
        <v>1191</v>
      </c>
      <c r="M763">
        <v>1211022</v>
      </c>
      <c r="N763" t="s">
        <v>1559</v>
      </c>
      <c r="P763" t="s">
        <v>1920</v>
      </c>
      <c r="Q763" t="s">
        <v>1253</v>
      </c>
      <c r="R763">
        <v>56575</v>
      </c>
      <c r="S763" t="s">
        <v>1921</v>
      </c>
      <c r="T763" t="s">
        <v>965</v>
      </c>
      <c r="U763">
        <v>0</v>
      </c>
      <c r="V763">
        <v>2</v>
      </c>
      <c r="W763" t="s">
        <v>1194</v>
      </c>
      <c r="X763" t="s">
        <v>973</v>
      </c>
      <c r="Y763">
        <v>10000</v>
      </c>
      <c r="Z763" s="2" t="s">
        <v>1194</v>
      </c>
      <c r="AA763" s="2">
        <v>1</v>
      </c>
      <c r="AB763">
        <v>2.5000000000000001E-3</v>
      </c>
      <c r="AC763">
        <v>703</v>
      </c>
      <c r="AD763" t="s">
        <v>1279</v>
      </c>
      <c r="AE763">
        <v>10</v>
      </c>
      <c r="AF763" t="s">
        <v>1290</v>
      </c>
      <c r="AG763">
        <v>0</v>
      </c>
      <c r="AH763">
        <v>0</v>
      </c>
      <c r="AI763">
        <v>0</v>
      </c>
      <c r="AJ763">
        <v>1964</v>
      </c>
      <c r="AK763">
        <v>2010</v>
      </c>
      <c r="AL763">
        <v>2007</v>
      </c>
      <c r="AM763" s="4" t="s">
        <v>1238</v>
      </c>
      <c r="AN763">
        <v>1</v>
      </c>
      <c r="AO763" t="s">
        <v>1315</v>
      </c>
      <c r="AP763">
        <f t="shared" si="22"/>
        <v>0</v>
      </c>
      <c r="AQ763">
        <v>1</v>
      </c>
      <c r="AR763" t="s">
        <v>1992</v>
      </c>
      <c r="AS763" t="s">
        <v>1996</v>
      </c>
      <c r="AT763" t="s">
        <v>1995</v>
      </c>
      <c r="AU763" t="s">
        <v>1995</v>
      </c>
      <c r="AV763" t="s">
        <v>1995</v>
      </c>
      <c r="AW763" t="s">
        <v>1995</v>
      </c>
      <c r="AX763" t="s">
        <v>1194</v>
      </c>
      <c r="AY763" t="s">
        <v>1996</v>
      </c>
      <c r="AZ763">
        <v>1040</v>
      </c>
      <c r="BA763" t="s">
        <v>1194</v>
      </c>
      <c r="BB763" t="s">
        <v>1194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7061.71</v>
      </c>
      <c r="BK763" s="3">
        <v>-15</v>
      </c>
      <c r="BL763" s="3">
        <v>7046.71</v>
      </c>
      <c r="BM763" s="2">
        <f t="shared" ca="1" si="23"/>
        <v>4</v>
      </c>
      <c r="BN763" s="3" t="s">
        <v>2916</v>
      </c>
      <c r="BO763" s="3">
        <v>50000</v>
      </c>
      <c r="BP763" s="3">
        <v>50000</v>
      </c>
      <c r="BQ763" s="3">
        <v>50000</v>
      </c>
      <c r="BR763" s="3">
        <v>100000</v>
      </c>
      <c r="BS763">
        <v>500000</v>
      </c>
      <c r="BT763">
        <v>0</v>
      </c>
      <c r="BU763">
        <v>0</v>
      </c>
      <c r="BV763">
        <v>0</v>
      </c>
      <c r="BW763">
        <v>1</v>
      </c>
      <c r="BX763">
        <v>1</v>
      </c>
      <c r="BY763">
        <v>0</v>
      </c>
      <c r="BZ763" t="s">
        <v>2958</v>
      </c>
      <c r="CA763" t="s">
        <v>1194</v>
      </c>
      <c r="CB763" t="s">
        <v>2945</v>
      </c>
    </row>
    <row r="764" spans="1:80" x14ac:dyDescent="0.25">
      <c r="A764">
        <v>763</v>
      </c>
      <c r="B764" t="s">
        <v>2777</v>
      </c>
      <c r="C764" s="1">
        <v>44659</v>
      </c>
      <c r="D764">
        <v>12</v>
      </c>
      <c r="E764" t="s">
        <v>4</v>
      </c>
      <c r="F764" t="s">
        <v>1311</v>
      </c>
      <c r="G764">
        <v>1</v>
      </c>
      <c r="H764" s="3">
        <v>1442070</v>
      </c>
      <c r="I764" s="3">
        <v>288414</v>
      </c>
      <c r="J764" s="3">
        <v>721035</v>
      </c>
      <c r="K764" s="3">
        <v>0</v>
      </c>
      <c r="L764" t="s">
        <v>1191</v>
      </c>
      <c r="M764">
        <v>1212890</v>
      </c>
      <c r="N764" t="s">
        <v>1560</v>
      </c>
      <c r="P764" t="s">
        <v>1704</v>
      </c>
      <c r="Q764" t="s">
        <v>1237</v>
      </c>
      <c r="R764">
        <v>85262</v>
      </c>
      <c r="S764" t="s">
        <v>1705</v>
      </c>
      <c r="T764" t="s">
        <v>965</v>
      </c>
      <c r="U764">
        <v>0</v>
      </c>
      <c r="V764">
        <v>3</v>
      </c>
      <c r="W764" t="s">
        <v>1194</v>
      </c>
      <c r="X764" t="s">
        <v>973</v>
      </c>
      <c r="Y764">
        <v>10000</v>
      </c>
      <c r="Z764" s="2" t="s">
        <v>1194</v>
      </c>
      <c r="AA764" s="2" t="s">
        <v>1238</v>
      </c>
      <c r="AB764" t="s">
        <v>1238</v>
      </c>
      <c r="AC764">
        <v>824</v>
      </c>
      <c r="AD764" t="s">
        <v>1279</v>
      </c>
      <c r="AE764">
        <v>2</v>
      </c>
      <c r="AF764" t="s">
        <v>1294</v>
      </c>
      <c r="AG764">
        <v>0</v>
      </c>
      <c r="AH764">
        <v>0</v>
      </c>
      <c r="AI764">
        <v>0</v>
      </c>
      <c r="AJ764">
        <v>1995</v>
      </c>
      <c r="AK764" t="s">
        <v>1194</v>
      </c>
      <c r="AL764" t="s">
        <v>1194</v>
      </c>
      <c r="AM764" s="4" t="s">
        <v>1238</v>
      </c>
      <c r="AN764">
        <v>0</v>
      </c>
      <c r="AO764" t="s">
        <v>1316</v>
      </c>
      <c r="AP764">
        <f t="shared" si="22"/>
        <v>0</v>
      </c>
      <c r="AQ764">
        <v>0</v>
      </c>
      <c r="AR764" t="s">
        <v>1993</v>
      </c>
      <c r="AS764" t="s">
        <v>1996</v>
      </c>
      <c r="AT764" t="s">
        <v>1996</v>
      </c>
      <c r="AU764" t="s">
        <v>1995</v>
      </c>
      <c r="AV764" t="s">
        <v>1996</v>
      </c>
      <c r="AW764" t="s">
        <v>1995</v>
      </c>
      <c r="AX764" t="s">
        <v>2003</v>
      </c>
      <c r="AY764" t="s">
        <v>1996</v>
      </c>
      <c r="AZ764">
        <v>3924</v>
      </c>
      <c r="BA764">
        <v>3</v>
      </c>
      <c r="BB764" t="s">
        <v>2016</v>
      </c>
      <c r="BC764" s="3">
        <v>0</v>
      </c>
      <c r="BD764" s="3">
        <v>0</v>
      </c>
      <c r="BE764" s="3">
        <v>0</v>
      </c>
      <c r="BF764" s="3">
        <v>0</v>
      </c>
      <c r="BG764" s="3">
        <v>175</v>
      </c>
      <c r="BH764" s="3">
        <v>0</v>
      </c>
      <c r="BI764" s="3">
        <v>0</v>
      </c>
      <c r="BJ764" s="3">
        <v>3878.22</v>
      </c>
      <c r="BK764" s="3">
        <v>125</v>
      </c>
      <c r="BL764" s="3">
        <v>4003</v>
      </c>
      <c r="BM764" s="2">
        <f t="shared" ca="1" si="23"/>
        <v>3</v>
      </c>
      <c r="BN764" s="3">
        <v>1000000</v>
      </c>
      <c r="BO764" s="3">
        <v>250000</v>
      </c>
      <c r="BP764" s="3" t="s">
        <v>2922</v>
      </c>
      <c r="BQ764" s="3">
        <v>500000</v>
      </c>
      <c r="BR764" s="3">
        <v>2000000</v>
      </c>
      <c r="BS764">
        <v>1000000</v>
      </c>
      <c r="BT764">
        <v>0</v>
      </c>
      <c r="BU764">
        <v>0</v>
      </c>
      <c r="BV764">
        <v>0</v>
      </c>
      <c r="BW764">
        <v>1</v>
      </c>
      <c r="BX764">
        <v>1</v>
      </c>
      <c r="BY764">
        <v>0</v>
      </c>
      <c r="BZ764" t="s">
        <v>2949</v>
      </c>
      <c r="CA764" t="s">
        <v>1194</v>
      </c>
      <c r="CB764" t="s">
        <v>2952</v>
      </c>
    </row>
    <row r="765" spans="1:80" x14ac:dyDescent="0.25">
      <c r="A765">
        <v>764</v>
      </c>
      <c r="B765" t="s">
        <v>2778</v>
      </c>
      <c r="C765" s="1">
        <v>44690</v>
      </c>
      <c r="D765">
        <v>12</v>
      </c>
      <c r="E765" t="s">
        <v>4</v>
      </c>
      <c r="F765" t="s">
        <v>1311</v>
      </c>
      <c r="G765">
        <v>1</v>
      </c>
      <c r="H765" s="3">
        <v>6322000</v>
      </c>
      <c r="I765" s="3">
        <v>1280750</v>
      </c>
      <c r="J765" s="3">
        <v>0</v>
      </c>
      <c r="K765" s="3">
        <v>0</v>
      </c>
      <c r="L765" t="s">
        <v>1191</v>
      </c>
      <c r="M765">
        <v>1220978</v>
      </c>
      <c r="N765" t="s">
        <v>1561</v>
      </c>
      <c r="P765" t="s">
        <v>1922</v>
      </c>
      <c r="Q765" t="s">
        <v>1271</v>
      </c>
      <c r="R765">
        <v>53029</v>
      </c>
      <c r="S765" t="s">
        <v>1732</v>
      </c>
      <c r="T765" t="s">
        <v>965</v>
      </c>
      <c r="U765">
        <v>0</v>
      </c>
      <c r="V765">
        <v>1</v>
      </c>
      <c r="W765" t="s">
        <v>1194</v>
      </c>
      <c r="X765" t="s">
        <v>973</v>
      </c>
      <c r="Y765">
        <v>25000</v>
      </c>
      <c r="Z765" s="2" t="s">
        <v>1194</v>
      </c>
      <c r="AA765" s="2">
        <v>1</v>
      </c>
      <c r="AB765">
        <v>2.5000000000000001E-3</v>
      </c>
      <c r="AC765">
        <v>757</v>
      </c>
      <c r="AD765" t="s">
        <v>1279</v>
      </c>
      <c r="AE765">
        <v>9</v>
      </c>
      <c r="AF765" t="s">
        <v>1290</v>
      </c>
      <c r="AG765">
        <v>0</v>
      </c>
      <c r="AH765">
        <v>0</v>
      </c>
      <c r="AI765">
        <v>0</v>
      </c>
      <c r="AJ765">
        <v>1950</v>
      </c>
      <c r="AK765" t="s">
        <v>1194</v>
      </c>
      <c r="AL765" t="s">
        <v>1194</v>
      </c>
      <c r="AM765" s="4" t="s">
        <v>1238</v>
      </c>
      <c r="AN765">
        <v>1</v>
      </c>
      <c r="AO765" t="s">
        <v>1316</v>
      </c>
      <c r="AP765">
        <f t="shared" si="22"/>
        <v>0</v>
      </c>
      <c r="AQ765">
        <v>0</v>
      </c>
      <c r="AR765" t="s">
        <v>1993</v>
      </c>
      <c r="AS765" t="s">
        <v>1995</v>
      </c>
      <c r="AT765" t="s">
        <v>1996</v>
      </c>
      <c r="AU765" t="s">
        <v>1995</v>
      </c>
      <c r="AV765" t="s">
        <v>1996</v>
      </c>
      <c r="AW765" t="s">
        <v>1996</v>
      </c>
      <c r="AX765" t="s">
        <v>1194</v>
      </c>
      <c r="AY765" t="s">
        <v>1996</v>
      </c>
      <c r="AZ765">
        <v>7800</v>
      </c>
      <c r="BA765" t="s">
        <v>1194</v>
      </c>
      <c r="BB765" t="s">
        <v>1194</v>
      </c>
      <c r="BC765" s="3">
        <v>0</v>
      </c>
      <c r="BD765" s="3">
        <v>0</v>
      </c>
      <c r="BE765" s="3">
        <v>0</v>
      </c>
      <c r="BF765" s="3">
        <v>0</v>
      </c>
      <c r="BG765" s="3">
        <v>175</v>
      </c>
      <c r="BH765" s="3">
        <v>0</v>
      </c>
      <c r="BI765" s="3">
        <v>0</v>
      </c>
      <c r="BJ765" s="3">
        <v>13326.46</v>
      </c>
      <c r="BK765" s="3">
        <v>-15</v>
      </c>
      <c r="BL765" s="3">
        <v>13311.46</v>
      </c>
      <c r="BM765" s="2">
        <f t="shared" ca="1" si="23"/>
        <v>5</v>
      </c>
      <c r="BN765" s="3" t="s">
        <v>2916</v>
      </c>
      <c r="BO765" s="3">
        <v>50000</v>
      </c>
      <c r="BP765" s="3">
        <v>50000</v>
      </c>
      <c r="BQ765" s="3">
        <v>500000</v>
      </c>
      <c r="BR765" s="3">
        <v>100000</v>
      </c>
      <c r="BS765">
        <v>250000</v>
      </c>
      <c r="BT765">
        <v>0</v>
      </c>
      <c r="BU765">
        <v>0</v>
      </c>
      <c r="BV765">
        <v>0</v>
      </c>
      <c r="BW765">
        <v>1</v>
      </c>
      <c r="BX765">
        <v>0</v>
      </c>
      <c r="BY765">
        <v>0</v>
      </c>
      <c r="BZ765" t="s">
        <v>2958</v>
      </c>
      <c r="CA765" t="s">
        <v>1194</v>
      </c>
      <c r="CB765" t="s">
        <v>2949</v>
      </c>
    </row>
    <row r="766" spans="1:80" x14ac:dyDescent="0.25">
      <c r="A766">
        <v>765</v>
      </c>
      <c r="B766" t="s">
        <v>2779</v>
      </c>
      <c r="C766" s="1">
        <v>44704</v>
      </c>
      <c r="D766">
        <v>12</v>
      </c>
      <c r="E766" t="s">
        <v>4</v>
      </c>
      <c r="F766" t="s">
        <v>1311</v>
      </c>
      <c r="G766">
        <v>1</v>
      </c>
      <c r="H766" s="3">
        <v>6932400</v>
      </c>
      <c r="I766" s="3">
        <v>1386480</v>
      </c>
      <c r="J766" s="3">
        <v>115540</v>
      </c>
      <c r="K766" s="3">
        <v>1386480</v>
      </c>
      <c r="L766" t="s">
        <v>1191</v>
      </c>
      <c r="M766">
        <v>1215200</v>
      </c>
      <c r="N766" t="s">
        <v>1562</v>
      </c>
      <c r="P766" t="s">
        <v>1795</v>
      </c>
      <c r="Q766" t="s">
        <v>1270</v>
      </c>
      <c r="R766">
        <v>98040</v>
      </c>
      <c r="S766" t="s">
        <v>1796</v>
      </c>
      <c r="T766" t="s">
        <v>1194</v>
      </c>
      <c r="U766">
        <v>1</v>
      </c>
      <c r="V766">
        <v>52</v>
      </c>
      <c r="W766" t="s">
        <v>1194</v>
      </c>
      <c r="X766" t="s">
        <v>1309</v>
      </c>
      <c r="Y766">
        <v>10000</v>
      </c>
      <c r="Z766" s="2" t="s">
        <v>1194</v>
      </c>
      <c r="AA766" s="2" t="s">
        <v>1238</v>
      </c>
      <c r="AB766" t="s">
        <v>1238</v>
      </c>
      <c r="AC766" t="s">
        <v>1194</v>
      </c>
      <c r="AD766" t="s">
        <v>1279</v>
      </c>
      <c r="AE766">
        <v>4</v>
      </c>
      <c r="AF766" t="s">
        <v>1194</v>
      </c>
      <c r="AG766">
        <v>0</v>
      </c>
      <c r="AH766">
        <v>0</v>
      </c>
      <c r="AI766">
        <v>0</v>
      </c>
      <c r="AJ766">
        <v>2007</v>
      </c>
      <c r="AK766" t="s">
        <v>1194</v>
      </c>
      <c r="AL766" t="s">
        <v>1194</v>
      </c>
      <c r="AM766" s="4" t="s">
        <v>1238</v>
      </c>
      <c r="AN766">
        <v>0</v>
      </c>
      <c r="AO766" t="s">
        <v>1315</v>
      </c>
      <c r="AP766">
        <f t="shared" si="22"/>
        <v>0</v>
      </c>
      <c r="AQ766">
        <v>1</v>
      </c>
      <c r="AR766" t="s">
        <v>1992</v>
      </c>
      <c r="AS766" t="s">
        <v>1996</v>
      </c>
      <c r="AT766" t="s">
        <v>1995</v>
      </c>
      <c r="AU766" t="s">
        <v>1996</v>
      </c>
      <c r="AV766" t="s">
        <v>1996</v>
      </c>
      <c r="AW766" t="s">
        <v>1996</v>
      </c>
      <c r="AX766" t="s">
        <v>1194</v>
      </c>
      <c r="AY766" t="s">
        <v>1996</v>
      </c>
      <c r="AZ766">
        <v>8610</v>
      </c>
      <c r="BA766" t="s">
        <v>1194</v>
      </c>
      <c r="BB766" t="s">
        <v>2016</v>
      </c>
      <c r="BC766" s="3">
        <v>0</v>
      </c>
      <c r="BD766" s="3">
        <v>0</v>
      </c>
      <c r="BE766" s="3">
        <v>0</v>
      </c>
      <c r="BF766" s="3">
        <v>0</v>
      </c>
      <c r="BG766" s="3">
        <v>110</v>
      </c>
      <c r="BH766" s="3">
        <v>0</v>
      </c>
      <c r="BI766" s="3">
        <v>0</v>
      </c>
      <c r="BJ766" s="3">
        <v>19321.77</v>
      </c>
      <c r="BK766" s="3">
        <v>5130.59</v>
      </c>
      <c r="BL766" s="3">
        <v>24452.36</v>
      </c>
      <c r="BM766" s="2">
        <f t="shared" ca="1" si="23"/>
        <v>5</v>
      </c>
      <c r="BN766" s="3">
        <v>2000000</v>
      </c>
      <c r="BO766" s="3">
        <v>1000000</v>
      </c>
      <c r="BP766" s="3">
        <v>100000</v>
      </c>
      <c r="BQ766" s="3">
        <v>500000</v>
      </c>
      <c r="BR766" s="3">
        <v>50000</v>
      </c>
      <c r="BS766">
        <v>1000000</v>
      </c>
      <c r="BT766">
        <v>0</v>
      </c>
      <c r="BU766">
        <v>1</v>
      </c>
      <c r="BV766">
        <v>0</v>
      </c>
      <c r="BW766">
        <v>1</v>
      </c>
      <c r="BX766">
        <v>0</v>
      </c>
      <c r="BY766">
        <v>0</v>
      </c>
      <c r="BZ766" t="s">
        <v>2966</v>
      </c>
      <c r="CA766" t="s">
        <v>1194</v>
      </c>
      <c r="CB766" t="s">
        <v>2949</v>
      </c>
    </row>
    <row r="767" spans="1:80" x14ac:dyDescent="0.25">
      <c r="A767">
        <v>766</v>
      </c>
      <c r="B767" t="s">
        <v>2780</v>
      </c>
      <c r="C767" s="1">
        <v>44792</v>
      </c>
      <c r="D767">
        <v>3</v>
      </c>
      <c r="E767" t="s">
        <v>4</v>
      </c>
      <c r="F767" t="s">
        <v>1310</v>
      </c>
      <c r="G767">
        <v>1</v>
      </c>
      <c r="H767" s="3">
        <v>5410883</v>
      </c>
      <c r="I767" s="3">
        <v>54500</v>
      </c>
      <c r="J767" s="3">
        <v>0</v>
      </c>
      <c r="K767" s="3">
        <v>0</v>
      </c>
      <c r="L767" t="s">
        <v>1191</v>
      </c>
      <c r="M767">
        <v>1711779</v>
      </c>
      <c r="N767" t="s">
        <v>1563</v>
      </c>
      <c r="P767" t="s">
        <v>1822</v>
      </c>
      <c r="Q767" t="s">
        <v>1263</v>
      </c>
      <c r="R767">
        <v>19010</v>
      </c>
      <c r="S767" t="s">
        <v>1823</v>
      </c>
      <c r="T767" t="s">
        <v>965</v>
      </c>
      <c r="U767">
        <v>0</v>
      </c>
      <c r="V767">
        <v>6</v>
      </c>
      <c r="W767" t="s">
        <v>1194</v>
      </c>
      <c r="X767" t="s">
        <v>973</v>
      </c>
      <c r="Y767">
        <v>10000</v>
      </c>
      <c r="Z767" s="2" t="s">
        <v>1194</v>
      </c>
      <c r="AA767" s="2">
        <v>1</v>
      </c>
      <c r="AB767">
        <v>5.0000000000000001E-3</v>
      </c>
      <c r="AC767">
        <v>740</v>
      </c>
      <c r="AD767" t="s">
        <v>1279</v>
      </c>
      <c r="AE767">
        <v>3</v>
      </c>
      <c r="AF767" t="s">
        <v>1290</v>
      </c>
      <c r="AG767">
        <v>0</v>
      </c>
      <c r="AH767">
        <v>0</v>
      </c>
      <c r="AI767">
        <v>0</v>
      </c>
      <c r="AJ767">
        <v>1974</v>
      </c>
      <c r="AK767" t="s">
        <v>1194</v>
      </c>
      <c r="AL767" t="s">
        <v>1194</v>
      </c>
      <c r="AM767" s="4" t="s">
        <v>1306</v>
      </c>
      <c r="AN767">
        <v>0</v>
      </c>
      <c r="AO767" t="s">
        <v>1317</v>
      </c>
      <c r="AP767">
        <f t="shared" si="22"/>
        <v>0</v>
      </c>
      <c r="AQ767">
        <v>1</v>
      </c>
      <c r="AR767" t="s">
        <v>1992</v>
      </c>
      <c r="AS767" t="s">
        <v>1995</v>
      </c>
      <c r="AT767" t="s">
        <v>1995</v>
      </c>
      <c r="AU767" t="s">
        <v>1996</v>
      </c>
      <c r="AV767" t="s">
        <v>1996</v>
      </c>
      <c r="AW767" t="s">
        <v>1996</v>
      </c>
      <c r="AX767" t="s">
        <v>2003</v>
      </c>
      <c r="AY767" t="s">
        <v>1996</v>
      </c>
      <c r="AZ767">
        <v>10034</v>
      </c>
      <c r="BA767" t="s">
        <v>1194</v>
      </c>
      <c r="BB767" t="s">
        <v>1194</v>
      </c>
      <c r="BC767" s="3">
        <v>0</v>
      </c>
      <c r="BD767" s="3">
        <v>0</v>
      </c>
      <c r="BE767" s="3">
        <v>0</v>
      </c>
      <c r="BF767" s="3">
        <v>0</v>
      </c>
      <c r="BG767" s="3">
        <v>150</v>
      </c>
      <c r="BH767" s="3">
        <v>0</v>
      </c>
      <c r="BI767" s="3">
        <v>0</v>
      </c>
      <c r="BJ767" s="3">
        <v>11894.09</v>
      </c>
      <c r="BK767" s="3">
        <v>20</v>
      </c>
      <c r="BL767" s="3">
        <v>11914.09</v>
      </c>
      <c r="BM767" s="2">
        <f t="shared" ca="1" si="23"/>
        <v>2</v>
      </c>
      <c r="BN767" s="3">
        <v>250000</v>
      </c>
      <c r="BO767" s="3">
        <v>25000</v>
      </c>
      <c r="BP767" s="3">
        <v>100000</v>
      </c>
      <c r="BQ767" s="3">
        <v>250000</v>
      </c>
      <c r="BR767" s="3">
        <v>50000</v>
      </c>
      <c r="BS767">
        <v>100000</v>
      </c>
      <c r="BT767">
        <v>0</v>
      </c>
      <c r="BU767">
        <v>0</v>
      </c>
      <c r="BV767">
        <v>0</v>
      </c>
      <c r="BW767">
        <v>1</v>
      </c>
      <c r="BX767">
        <v>1</v>
      </c>
      <c r="BY767">
        <v>0</v>
      </c>
      <c r="BZ767" t="s">
        <v>2949</v>
      </c>
      <c r="CA767" t="s">
        <v>1194</v>
      </c>
      <c r="CB767" t="s">
        <v>2949</v>
      </c>
    </row>
    <row r="768" spans="1:80" x14ac:dyDescent="0.25">
      <c r="A768">
        <v>767</v>
      </c>
      <c r="B768" t="s">
        <v>2781</v>
      </c>
      <c r="C768" s="1">
        <v>44943</v>
      </c>
      <c r="D768">
        <v>12</v>
      </c>
      <c r="E768" t="s">
        <v>4</v>
      </c>
      <c r="F768" t="s">
        <v>1311</v>
      </c>
      <c r="G768">
        <v>1</v>
      </c>
      <c r="H768" s="3">
        <v>0</v>
      </c>
      <c r="I768" s="3">
        <v>0</v>
      </c>
      <c r="J768" s="3">
        <v>3061810</v>
      </c>
      <c r="K768" s="3">
        <v>0</v>
      </c>
      <c r="L768" t="s">
        <v>1192</v>
      </c>
      <c r="M768">
        <v>1381911</v>
      </c>
      <c r="N768" t="s">
        <v>1564</v>
      </c>
      <c r="P768" t="s">
        <v>1728</v>
      </c>
      <c r="Q768" t="s">
        <v>1239</v>
      </c>
      <c r="R768">
        <v>81611</v>
      </c>
      <c r="S768" t="s">
        <v>1729</v>
      </c>
      <c r="T768" t="s">
        <v>965</v>
      </c>
      <c r="U768">
        <v>0</v>
      </c>
      <c r="V768">
        <v>59</v>
      </c>
      <c r="W768" t="s">
        <v>1194</v>
      </c>
      <c r="X768" t="s">
        <v>973</v>
      </c>
      <c r="Y768">
        <v>100000</v>
      </c>
      <c r="Z768" s="2" t="s">
        <v>1194</v>
      </c>
      <c r="AA768" s="2">
        <v>1</v>
      </c>
      <c r="AB768">
        <v>2500</v>
      </c>
      <c r="AC768">
        <v>604</v>
      </c>
      <c r="AD768" t="s">
        <v>1279</v>
      </c>
      <c r="AE768">
        <v>4</v>
      </c>
      <c r="AF768" t="s">
        <v>1290</v>
      </c>
      <c r="AG768">
        <v>0</v>
      </c>
      <c r="AH768">
        <v>0</v>
      </c>
      <c r="AI768">
        <v>0</v>
      </c>
      <c r="AJ768">
        <v>2017</v>
      </c>
      <c r="AK768" t="s">
        <v>1194</v>
      </c>
      <c r="AL768" t="s">
        <v>1194</v>
      </c>
      <c r="AM768" s="4" t="s">
        <v>1238</v>
      </c>
      <c r="AN768">
        <v>0</v>
      </c>
      <c r="AO768" t="s">
        <v>1317</v>
      </c>
      <c r="AP768">
        <f t="shared" si="22"/>
        <v>0</v>
      </c>
      <c r="AQ768">
        <v>0</v>
      </c>
      <c r="AR768" t="s">
        <v>1993</v>
      </c>
      <c r="AS768" t="s">
        <v>1995</v>
      </c>
      <c r="AT768" t="s">
        <v>1995</v>
      </c>
      <c r="AU768" t="s">
        <v>1995</v>
      </c>
      <c r="AV768" t="s">
        <v>1995</v>
      </c>
      <c r="AW768" t="s">
        <v>1996</v>
      </c>
      <c r="AX768" t="s">
        <v>1194</v>
      </c>
      <c r="AY768" t="s">
        <v>1996</v>
      </c>
      <c r="AZ768">
        <v>4027</v>
      </c>
      <c r="BA768">
        <v>1</v>
      </c>
      <c r="BB768" t="s">
        <v>2017</v>
      </c>
      <c r="BC768" s="3">
        <v>0</v>
      </c>
      <c r="BD768" s="3">
        <v>0</v>
      </c>
      <c r="BE768" s="3">
        <v>0</v>
      </c>
      <c r="BF768" s="3">
        <v>7662.91</v>
      </c>
      <c r="BG768" s="3">
        <v>175</v>
      </c>
      <c r="BH768" s="3">
        <v>0</v>
      </c>
      <c r="BI768" s="3">
        <v>0</v>
      </c>
      <c r="BJ768" s="3">
        <v>23179.43</v>
      </c>
      <c r="BK768" s="3">
        <v>0</v>
      </c>
      <c r="BL768" s="3">
        <v>23179.43</v>
      </c>
      <c r="BM768" s="2">
        <f t="shared" ca="1" si="23"/>
        <v>4</v>
      </c>
      <c r="BN768" s="3">
        <v>100000</v>
      </c>
      <c r="BO768" s="3">
        <v>2000000</v>
      </c>
      <c r="BP768" s="3">
        <v>100000</v>
      </c>
      <c r="BQ768" s="3">
        <v>500000</v>
      </c>
      <c r="BR768" s="3">
        <v>2000000</v>
      </c>
      <c r="BS768">
        <v>250000</v>
      </c>
      <c r="BT768">
        <v>0</v>
      </c>
      <c r="BU768">
        <v>0</v>
      </c>
      <c r="BV768">
        <v>0</v>
      </c>
      <c r="BW768">
        <v>1</v>
      </c>
      <c r="BX768">
        <v>1</v>
      </c>
      <c r="BY768">
        <v>0</v>
      </c>
      <c r="BZ768" t="s">
        <v>1194</v>
      </c>
      <c r="CA768" t="s">
        <v>1194</v>
      </c>
      <c r="CB768" t="s">
        <v>1194</v>
      </c>
    </row>
    <row r="769" spans="1:80" x14ac:dyDescent="0.25">
      <c r="A769">
        <v>768</v>
      </c>
      <c r="B769" t="s">
        <v>2782</v>
      </c>
      <c r="C769" s="1">
        <v>44744</v>
      </c>
      <c r="D769">
        <v>12</v>
      </c>
      <c r="E769" t="s">
        <v>4</v>
      </c>
      <c r="F769" t="s">
        <v>1311</v>
      </c>
      <c r="G769">
        <v>1</v>
      </c>
      <c r="H769" s="3">
        <v>4778606</v>
      </c>
      <c r="I769" s="3">
        <v>0</v>
      </c>
      <c r="J769" s="3">
        <v>1933839</v>
      </c>
      <c r="K769" s="3">
        <v>0</v>
      </c>
      <c r="L769" t="s">
        <v>1191</v>
      </c>
      <c r="M769">
        <v>1241192</v>
      </c>
      <c r="N769" t="s">
        <v>1565</v>
      </c>
      <c r="P769" t="s">
        <v>1716</v>
      </c>
      <c r="Q769" t="s">
        <v>1241</v>
      </c>
      <c r="R769">
        <v>20008</v>
      </c>
      <c r="S769" t="s">
        <v>1815</v>
      </c>
      <c r="T769" t="s">
        <v>1194</v>
      </c>
      <c r="U769">
        <v>0</v>
      </c>
      <c r="V769">
        <v>1</v>
      </c>
      <c r="W769" t="s">
        <v>1194</v>
      </c>
      <c r="X769" t="s">
        <v>973</v>
      </c>
      <c r="Y769">
        <v>10000</v>
      </c>
      <c r="Z769" s="2" t="s">
        <v>1194</v>
      </c>
      <c r="AA769" s="2">
        <v>1</v>
      </c>
      <c r="AB769">
        <v>0.01</v>
      </c>
      <c r="AC769">
        <v>717</v>
      </c>
      <c r="AD769" t="s">
        <v>1280</v>
      </c>
      <c r="AE769">
        <v>2</v>
      </c>
      <c r="AF769" t="s">
        <v>1290</v>
      </c>
      <c r="AG769">
        <v>0</v>
      </c>
      <c r="AH769">
        <v>0</v>
      </c>
      <c r="AI769">
        <v>0</v>
      </c>
      <c r="AJ769">
        <v>1909</v>
      </c>
      <c r="AK769">
        <v>2000</v>
      </c>
      <c r="AL769">
        <v>2005</v>
      </c>
      <c r="AM769" s="4" t="s">
        <v>1238</v>
      </c>
      <c r="AN769">
        <v>0</v>
      </c>
      <c r="AO769" t="s">
        <v>1316</v>
      </c>
      <c r="AP769">
        <f t="shared" si="22"/>
        <v>0</v>
      </c>
      <c r="AQ769">
        <v>1</v>
      </c>
      <c r="AR769" t="s">
        <v>1992</v>
      </c>
      <c r="AS769" t="s">
        <v>1996</v>
      </c>
      <c r="AT769" t="s">
        <v>1995</v>
      </c>
      <c r="AU769" t="s">
        <v>1995</v>
      </c>
      <c r="AV769" t="s">
        <v>1996</v>
      </c>
      <c r="AW769" t="s">
        <v>1996</v>
      </c>
      <c r="AX769" t="s">
        <v>2003</v>
      </c>
      <c r="AY769" t="s">
        <v>1996</v>
      </c>
      <c r="AZ769">
        <v>4200</v>
      </c>
      <c r="BA769" t="s">
        <v>1194</v>
      </c>
      <c r="BB769" t="s">
        <v>1194</v>
      </c>
      <c r="BC769" s="3">
        <v>0</v>
      </c>
      <c r="BD769" s="3">
        <v>0</v>
      </c>
      <c r="BE769" s="3">
        <v>0</v>
      </c>
      <c r="BF769" s="3">
        <v>0</v>
      </c>
      <c r="BG769" s="3">
        <v>210</v>
      </c>
      <c r="BH769" s="3">
        <v>0</v>
      </c>
      <c r="BI769" s="3">
        <v>0</v>
      </c>
      <c r="BJ769" s="3">
        <v>10186.290000000001</v>
      </c>
      <c r="BK769" s="3">
        <v>235</v>
      </c>
      <c r="BL769" s="3">
        <v>10421.290000000001</v>
      </c>
      <c r="BM769" s="2">
        <f t="shared" ca="1" si="23"/>
        <v>5</v>
      </c>
      <c r="BN769" s="3">
        <v>500000</v>
      </c>
      <c r="BO769" s="3">
        <v>1000000</v>
      </c>
      <c r="BP769" s="3">
        <v>50000</v>
      </c>
      <c r="BQ769" s="3">
        <v>50000</v>
      </c>
      <c r="BR769" s="3">
        <v>250000</v>
      </c>
      <c r="BS769">
        <v>50000</v>
      </c>
      <c r="BT769">
        <v>0</v>
      </c>
      <c r="BU769">
        <v>0</v>
      </c>
      <c r="BV769">
        <v>1</v>
      </c>
      <c r="BW769">
        <v>0</v>
      </c>
      <c r="BX769">
        <v>0</v>
      </c>
      <c r="BY769">
        <v>0</v>
      </c>
      <c r="BZ769" t="s">
        <v>2949</v>
      </c>
      <c r="CA769" t="s">
        <v>1194</v>
      </c>
      <c r="CB769" t="s">
        <v>2949</v>
      </c>
    </row>
    <row r="770" spans="1:80" x14ac:dyDescent="0.25">
      <c r="A770">
        <v>769</v>
      </c>
      <c r="B770" t="s">
        <v>2783</v>
      </c>
      <c r="C770" s="1">
        <v>44733</v>
      </c>
      <c r="D770">
        <v>12</v>
      </c>
      <c r="E770" t="s">
        <v>5</v>
      </c>
      <c r="F770" t="s">
        <v>1310</v>
      </c>
      <c r="G770">
        <v>1</v>
      </c>
      <c r="H770" s="3">
        <v>3715810</v>
      </c>
      <c r="I770" s="3">
        <v>171130</v>
      </c>
      <c r="J770" s="3">
        <v>1119575</v>
      </c>
      <c r="K770" s="3">
        <v>0</v>
      </c>
      <c r="L770" t="s">
        <v>1191</v>
      </c>
      <c r="M770">
        <v>1244637</v>
      </c>
      <c r="N770" t="s">
        <v>1566</v>
      </c>
      <c r="P770" t="s">
        <v>1923</v>
      </c>
      <c r="Q770" t="s">
        <v>1263</v>
      </c>
      <c r="R770">
        <v>19066</v>
      </c>
      <c r="S770" t="s">
        <v>1703</v>
      </c>
      <c r="T770" t="s">
        <v>965</v>
      </c>
      <c r="U770">
        <v>0</v>
      </c>
      <c r="V770">
        <v>13</v>
      </c>
      <c r="W770" t="s">
        <v>1194</v>
      </c>
      <c r="X770" t="s">
        <v>973</v>
      </c>
      <c r="Y770">
        <v>10000</v>
      </c>
      <c r="Z770" s="2" t="s">
        <v>1194</v>
      </c>
      <c r="AA770" s="2">
        <v>1</v>
      </c>
      <c r="AB770">
        <v>0.03</v>
      </c>
      <c r="AC770">
        <v>832</v>
      </c>
      <c r="AD770" t="s">
        <v>1279</v>
      </c>
      <c r="AE770">
        <v>3</v>
      </c>
      <c r="AF770" t="s">
        <v>1290</v>
      </c>
      <c r="AG770">
        <v>1</v>
      </c>
      <c r="AH770">
        <v>0</v>
      </c>
      <c r="AI770">
        <v>1</v>
      </c>
      <c r="AJ770">
        <v>1925</v>
      </c>
      <c r="AK770">
        <v>2002</v>
      </c>
      <c r="AL770">
        <v>2002</v>
      </c>
      <c r="AM770" s="4" t="s">
        <v>1305</v>
      </c>
      <c r="AN770">
        <v>1</v>
      </c>
      <c r="AO770" t="s">
        <v>1316</v>
      </c>
      <c r="AP770">
        <f t="shared" si="22"/>
        <v>1</v>
      </c>
      <c r="AQ770">
        <v>1</v>
      </c>
      <c r="AR770" t="s">
        <v>1992</v>
      </c>
      <c r="AS770" t="s">
        <v>1996</v>
      </c>
      <c r="AT770" t="s">
        <v>1995</v>
      </c>
      <c r="AU770" t="s">
        <v>1996</v>
      </c>
      <c r="AV770" t="s">
        <v>1995</v>
      </c>
      <c r="AW770" t="s">
        <v>1996</v>
      </c>
      <c r="AX770" t="s">
        <v>2003</v>
      </c>
      <c r="AY770" t="s">
        <v>1996</v>
      </c>
      <c r="AZ770">
        <v>5538</v>
      </c>
      <c r="BA770" t="s">
        <v>1194</v>
      </c>
      <c r="BB770" t="s">
        <v>1194</v>
      </c>
      <c r="BC770" s="3">
        <v>0</v>
      </c>
      <c r="BD770" s="3">
        <v>0</v>
      </c>
      <c r="BE770" s="3">
        <v>0</v>
      </c>
      <c r="BF770" s="3">
        <v>0</v>
      </c>
      <c r="BG770" s="3">
        <v>200</v>
      </c>
      <c r="BH770" s="3">
        <v>0</v>
      </c>
      <c r="BI770" s="3">
        <v>0</v>
      </c>
      <c r="BJ770" s="3">
        <v>11074.39</v>
      </c>
      <c r="BK770" s="3">
        <v>235</v>
      </c>
      <c r="BL770" s="3">
        <v>11309.39</v>
      </c>
      <c r="BM770" s="2">
        <f t="shared" ca="1" si="23"/>
        <v>1</v>
      </c>
      <c r="BN770" s="3">
        <v>2000000</v>
      </c>
      <c r="BO770" s="3">
        <v>250000</v>
      </c>
      <c r="BP770" s="3">
        <v>50000</v>
      </c>
      <c r="BQ770" s="3">
        <v>500000</v>
      </c>
      <c r="BR770" s="3" t="s">
        <v>2916</v>
      </c>
      <c r="BS770">
        <v>1000000</v>
      </c>
      <c r="BT770">
        <v>0</v>
      </c>
      <c r="BU770">
        <v>0</v>
      </c>
      <c r="BV770">
        <v>1</v>
      </c>
      <c r="BW770">
        <v>0</v>
      </c>
      <c r="BX770">
        <v>0</v>
      </c>
      <c r="BY770">
        <v>0</v>
      </c>
      <c r="BZ770" t="s">
        <v>2949</v>
      </c>
      <c r="CA770" t="s">
        <v>1194</v>
      </c>
      <c r="CB770" t="s">
        <v>2949</v>
      </c>
    </row>
    <row r="771" spans="1:80" x14ac:dyDescent="0.25">
      <c r="A771">
        <v>770</v>
      </c>
      <c r="B771" t="s">
        <v>2784</v>
      </c>
      <c r="C771" s="1">
        <v>44819</v>
      </c>
      <c r="D771">
        <v>3</v>
      </c>
      <c r="E771" t="s">
        <v>4</v>
      </c>
      <c r="F771" t="s">
        <v>1310</v>
      </c>
      <c r="G771">
        <v>0</v>
      </c>
      <c r="H771" s="3">
        <v>12241000</v>
      </c>
      <c r="I771" s="3">
        <v>1060000</v>
      </c>
      <c r="J771" s="3">
        <v>5300000</v>
      </c>
      <c r="K771" s="3">
        <v>0</v>
      </c>
      <c r="L771" t="s">
        <v>1191</v>
      </c>
      <c r="M771">
        <v>422444</v>
      </c>
      <c r="N771" t="s">
        <v>1567</v>
      </c>
      <c r="P771" t="s">
        <v>1728</v>
      </c>
      <c r="Q771" t="s">
        <v>1239</v>
      </c>
      <c r="R771">
        <v>81611</v>
      </c>
      <c r="S771" t="s">
        <v>1729</v>
      </c>
      <c r="T771" t="s">
        <v>965</v>
      </c>
      <c r="U771">
        <v>0</v>
      </c>
      <c r="V771">
        <v>59</v>
      </c>
      <c r="W771" t="s">
        <v>1194</v>
      </c>
      <c r="X771" t="s">
        <v>973</v>
      </c>
      <c r="Y771">
        <v>25000</v>
      </c>
      <c r="Z771" s="2" t="s">
        <v>1194</v>
      </c>
      <c r="AA771" s="2">
        <v>1</v>
      </c>
      <c r="AB771">
        <v>2500</v>
      </c>
      <c r="AC771">
        <v>842</v>
      </c>
      <c r="AD771" t="s">
        <v>1279</v>
      </c>
      <c r="AE771">
        <v>4</v>
      </c>
      <c r="AF771" t="s">
        <v>1290</v>
      </c>
      <c r="AG771">
        <v>0</v>
      </c>
      <c r="AH771">
        <v>0</v>
      </c>
      <c r="AI771">
        <v>0</v>
      </c>
      <c r="AJ771">
        <v>2005</v>
      </c>
      <c r="AK771" t="s">
        <v>1194</v>
      </c>
      <c r="AL771">
        <v>2021</v>
      </c>
      <c r="AM771" s="4" t="s">
        <v>1305</v>
      </c>
      <c r="AN771">
        <v>1</v>
      </c>
      <c r="AO771" t="s">
        <v>1317</v>
      </c>
      <c r="AP771">
        <f t="shared" si="22"/>
        <v>0</v>
      </c>
      <c r="AQ771">
        <v>1</v>
      </c>
      <c r="AR771" t="s">
        <v>1992</v>
      </c>
      <c r="AS771" t="s">
        <v>1996</v>
      </c>
      <c r="AT771" t="s">
        <v>1996</v>
      </c>
      <c r="AU771" t="s">
        <v>1996</v>
      </c>
      <c r="AV771" t="s">
        <v>1996</v>
      </c>
      <c r="AW771" t="s">
        <v>1996</v>
      </c>
      <c r="AX771" t="s">
        <v>1194</v>
      </c>
      <c r="AY771" t="s">
        <v>1996</v>
      </c>
      <c r="AZ771">
        <v>9976</v>
      </c>
      <c r="BA771">
        <v>1</v>
      </c>
      <c r="BB771" t="s">
        <v>2017</v>
      </c>
      <c r="BC771" s="3">
        <v>0</v>
      </c>
      <c r="BD771" s="3">
        <v>0</v>
      </c>
      <c r="BE771" s="3">
        <v>0</v>
      </c>
      <c r="BF771" s="3">
        <v>10400.290000000001</v>
      </c>
      <c r="BG771" s="3">
        <v>175</v>
      </c>
      <c r="BH771" s="3">
        <v>0</v>
      </c>
      <c r="BI771" s="3">
        <v>0</v>
      </c>
      <c r="BJ771" s="3">
        <v>34215.29</v>
      </c>
      <c r="BK771" s="3">
        <v>6398.45</v>
      </c>
      <c r="BL771" s="3">
        <v>40613.74</v>
      </c>
      <c r="BM771" s="2">
        <f t="shared" ca="1" si="23"/>
        <v>6</v>
      </c>
      <c r="BN771" s="3">
        <v>2000000</v>
      </c>
      <c r="BO771" s="3">
        <v>100000</v>
      </c>
      <c r="BP771" s="3">
        <v>50000</v>
      </c>
      <c r="BQ771" s="3">
        <v>1000000</v>
      </c>
      <c r="BR771" s="3">
        <v>50000</v>
      </c>
      <c r="BS771">
        <v>500000</v>
      </c>
      <c r="BT771">
        <v>0</v>
      </c>
      <c r="BU771">
        <v>1</v>
      </c>
      <c r="BV771">
        <v>0</v>
      </c>
      <c r="BW771">
        <v>1</v>
      </c>
      <c r="BX771">
        <v>1</v>
      </c>
      <c r="BY771">
        <v>0</v>
      </c>
      <c r="BZ771" t="s">
        <v>2958</v>
      </c>
      <c r="CA771" t="s">
        <v>1194</v>
      </c>
      <c r="CB771" t="s">
        <v>2949</v>
      </c>
    </row>
    <row r="772" spans="1:80" x14ac:dyDescent="0.25">
      <c r="A772">
        <v>771</v>
      </c>
      <c r="B772" t="s">
        <v>2785</v>
      </c>
      <c r="C772" s="1">
        <v>44712</v>
      </c>
      <c r="D772">
        <v>12</v>
      </c>
      <c r="E772" t="s">
        <v>4</v>
      </c>
      <c r="F772" t="s">
        <v>1311</v>
      </c>
      <c r="G772">
        <v>1</v>
      </c>
      <c r="H772" s="3">
        <v>6976000</v>
      </c>
      <c r="I772" s="3">
        <v>1368441</v>
      </c>
      <c r="J772" s="3">
        <v>3420527</v>
      </c>
      <c r="K772" s="3">
        <v>0</v>
      </c>
      <c r="L772" t="s">
        <v>1191</v>
      </c>
      <c r="M772">
        <v>1251675</v>
      </c>
      <c r="N772" t="s">
        <v>1568</v>
      </c>
      <c r="P772" t="s">
        <v>1924</v>
      </c>
      <c r="Q772" t="s">
        <v>1250</v>
      </c>
      <c r="R772">
        <v>21117</v>
      </c>
      <c r="S772" t="s">
        <v>1871</v>
      </c>
      <c r="T772" t="s">
        <v>1238</v>
      </c>
      <c r="U772">
        <v>0</v>
      </c>
      <c r="V772">
        <v>12</v>
      </c>
      <c r="W772" t="s">
        <v>1194</v>
      </c>
      <c r="X772" t="s">
        <v>973</v>
      </c>
      <c r="Y772">
        <v>10000</v>
      </c>
      <c r="Z772" s="2" t="s">
        <v>1194</v>
      </c>
      <c r="AA772" s="2" t="s">
        <v>1238</v>
      </c>
      <c r="AB772" t="s">
        <v>1238</v>
      </c>
      <c r="AC772" t="s">
        <v>1194</v>
      </c>
      <c r="AD772" t="s">
        <v>1283</v>
      </c>
      <c r="AE772">
        <v>6</v>
      </c>
      <c r="AF772" t="s">
        <v>1290</v>
      </c>
      <c r="AG772">
        <v>0</v>
      </c>
      <c r="AH772">
        <v>0</v>
      </c>
      <c r="AI772">
        <v>0</v>
      </c>
      <c r="AJ772">
        <v>1925</v>
      </c>
      <c r="AK772" t="s">
        <v>1194</v>
      </c>
      <c r="AL772">
        <v>2005</v>
      </c>
      <c r="AM772" s="4" t="s">
        <v>1238</v>
      </c>
      <c r="AN772">
        <v>0</v>
      </c>
      <c r="AO772" t="s">
        <v>1315</v>
      </c>
      <c r="AP772">
        <f t="shared" ref="AP772:AP835" si="24">AI772</f>
        <v>0</v>
      </c>
      <c r="AQ772">
        <v>0</v>
      </c>
      <c r="AR772" t="s">
        <v>1993</v>
      </c>
      <c r="AS772" t="s">
        <v>1995</v>
      </c>
      <c r="AT772" t="s">
        <v>1995</v>
      </c>
      <c r="AU772" t="s">
        <v>1996</v>
      </c>
      <c r="AV772" t="s">
        <v>1995</v>
      </c>
      <c r="AW772" t="s">
        <v>1996</v>
      </c>
      <c r="AX772" t="s">
        <v>2003</v>
      </c>
      <c r="AY772" t="s">
        <v>1996</v>
      </c>
      <c r="AZ772">
        <v>6181</v>
      </c>
      <c r="BA772" t="s">
        <v>1194</v>
      </c>
      <c r="BB772" t="s">
        <v>1194</v>
      </c>
      <c r="BC772" s="3">
        <v>0</v>
      </c>
      <c r="BD772" s="3">
        <v>0</v>
      </c>
      <c r="BE772" s="3">
        <v>0</v>
      </c>
      <c r="BF772" s="3">
        <v>0</v>
      </c>
      <c r="BG772" s="3">
        <v>200</v>
      </c>
      <c r="BH772" s="3">
        <v>0</v>
      </c>
      <c r="BI772" s="3">
        <v>0</v>
      </c>
      <c r="BJ772" s="3">
        <v>17926.310000000001</v>
      </c>
      <c r="BK772" s="3">
        <v>275</v>
      </c>
      <c r="BL772" s="3">
        <v>18201.310000000001</v>
      </c>
      <c r="BM772" s="2">
        <f t="shared" ref="BM772:BM835" ca="1" si="25">IF(ROUND((6*RAND()),0)=0,1,(ROUND((6*RAND()),0)))</f>
        <v>1</v>
      </c>
      <c r="BN772" s="3">
        <v>50000</v>
      </c>
      <c r="BO772" s="3">
        <v>250000</v>
      </c>
      <c r="BP772" s="3">
        <v>50000</v>
      </c>
      <c r="BQ772" s="3">
        <v>50000</v>
      </c>
      <c r="BR772" s="3">
        <v>50000</v>
      </c>
      <c r="BS772">
        <v>50000</v>
      </c>
      <c r="BT772">
        <v>0</v>
      </c>
      <c r="BU772">
        <v>0</v>
      </c>
      <c r="BV772">
        <v>1</v>
      </c>
      <c r="BW772">
        <v>0</v>
      </c>
      <c r="BX772">
        <v>0</v>
      </c>
      <c r="BY772">
        <v>0</v>
      </c>
      <c r="BZ772" t="s">
        <v>2959</v>
      </c>
      <c r="CA772" t="s">
        <v>1194</v>
      </c>
      <c r="CB772" t="s">
        <v>2949</v>
      </c>
    </row>
    <row r="773" spans="1:80" x14ac:dyDescent="0.25">
      <c r="A773">
        <v>772</v>
      </c>
      <c r="B773" t="s">
        <v>2786</v>
      </c>
      <c r="C773" s="1">
        <v>44826</v>
      </c>
      <c r="D773">
        <v>36</v>
      </c>
      <c r="E773" t="s">
        <v>4</v>
      </c>
      <c r="F773" t="s">
        <v>1311</v>
      </c>
      <c r="G773">
        <v>1</v>
      </c>
      <c r="H773" s="3">
        <v>1724925</v>
      </c>
      <c r="I773" s="3">
        <v>344985</v>
      </c>
      <c r="J773" s="3">
        <v>0</v>
      </c>
      <c r="K773" s="3">
        <v>0</v>
      </c>
      <c r="L773" t="s">
        <v>1191</v>
      </c>
      <c r="M773">
        <v>1553161</v>
      </c>
      <c r="N773" t="s">
        <v>1569</v>
      </c>
      <c r="P773" t="s">
        <v>1745</v>
      </c>
      <c r="Q773" t="s">
        <v>1240</v>
      </c>
      <c r="R773">
        <v>6890</v>
      </c>
      <c r="S773" t="s">
        <v>1706</v>
      </c>
      <c r="T773" t="s">
        <v>979</v>
      </c>
      <c r="U773">
        <v>0</v>
      </c>
      <c r="V773">
        <v>51</v>
      </c>
      <c r="W773" t="s">
        <v>1194</v>
      </c>
      <c r="X773" t="s">
        <v>973</v>
      </c>
      <c r="Y773">
        <v>10000</v>
      </c>
      <c r="Z773" s="2" t="s">
        <v>1194</v>
      </c>
      <c r="AA773" s="2" t="s">
        <v>1238</v>
      </c>
      <c r="AB773" t="s">
        <v>1238</v>
      </c>
      <c r="AC773">
        <v>780</v>
      </c>
      <c r="AD773" t="s">
        <v>1279</v>
      </c>
      <c r="AE773">
        <v>3</v>
      </c>
      <c r="AF773" t="s">
        <v>1290</v>
      </c>
      <c r="AG773">
        <v>0</v>
      </c>
      <c r="AH773">
        <v>0</v>
      </c>
      <c r="AI773">
        <v>0</v>
      </c>
      <c r="AJ773">
        <v>1924</v>
      </c>
      <c r="AK773">
        <v>2015</v>
      </c>
      <c r="AL773" t="s">
        <v>1194</v>
      </c>
      <c r="AM773" s="4" t="s">
        <v>1238</v>
      </c>
      <c r="AN773">
        <v>0</v>
      </c>
      <c r="AO773" t="s">
        <v>1316</v>
      </c>
      <c r="AP773">
        <f t="shared" si="24"/>
        <v>0</v>
      </c>
      <c r="AQ773">
        <v>1</v>
      </c>
      <c r="AR773" t="s">
        <v>1992</v>
      </c>
      <c r="AS773" t="s">
        <v>1995</v>
      </c>
      <c r="AT773" t="s">
        <v>1995</v>
      </c>
      <c r="AU773" t="s">
        <v>1995</v>
      </c>
      <c r="AV773" t="s">
        <v>1996</v>
      </c>
      <c r="AW773" t="s">
        <v>1995</v>
      </c>
      <c r="AX773" t="s">
        <v>2003</v>
      </c>
      <c r="AY773" t="s">
        <v>1996</v>
      </c>
      <c r="AZ773">
        <v>3200</v>
      </c>
      <c r="BA773" t="s">
        <v>1194</v>
      </c>
      <c r="BB773" t="s">
        <v>1194</v>
      </c>
      <c r="BC773" s="3">
        <v>0</v>
      </c>
      <c r="BD773" s="3">
        <v>1125.47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7848</v>
      </c>
      <c r="BK773" s="3">
        <v>0</v>
      </c>
      <c r="BL773" s="3">
        <v>7848</v>
      </c>
      <c r="BM773" s="2">
        <f t="shared" ca="1" si="25"/>
        <v>1</v>
      </c>
      <c r="BN773" s="3" t="s">
        <v>2916</v>
      </c>
      <c r="BO773" s="3">
        <v>100000</v>
      </c>
      <c r="BP773" s="3">
        <v>200000</v>
      </c>
      <c r="BQ773" s="3">
        <v>100000</v>
      </c>
      <c r="BR773" s="3">
        <v>2000000</v>
      </c>
      <c r="BS773">
        <v>100000</v>
      </c>
      <c r="BT773">
        <v>0</v>
      </c>
      <c r="BU773">
        <v>0</v>
      </c>
      <c r="BV773">
        <v>0</v>
      </c>
      <c r="BW773">
        <v>1</v>
      </c>
      <c r="BX773">
        <v>0</v>
      </c>
      <c r="BY773">
        <v>0</v>
      </c>
      <c r="BZ773" t="s">
        <v>2949</v>
      </c>
      <c r="CA773" t="s">
        <v>1194</v>
      </c>
      <c r="CB773" t="s">
        <v>2949</v>
      </c>
    </row>
    <row r="774" spans="1:80" x14ac:dyDescent="0.25">
      <c r="A774">
        <v>773</v>
      </c>
      <c r="B774" t="s">
        <v>2787</v>
      </c>
      <c r="C774" s="1">
        <v>44736</v>
      </c>
      <c r="D774">
        <v>12</v>
      </c>
      <c r="E774" t="s">
        <v>5</v>
      </c>
      <c r="F774" t="s">
        <v>1310</v>
      </c>
      <c r="G774">
        <v>0</v>
      </c>
      <c r="H774" s="3">
        <v>3617386</v>
      </c>
      <c r="I774" s="3">
        <v>810678</v>
      </c>
      <c r="J774" s="3">
        <v>1345443</v>
      </c>
      <c r="K774" s="3">
        <v>723477.2</v>
      </c>
      <c r="L774" t="s">
        <v>1191</v>
      </c>
      <c r="M774">
        <v>1366055</v>
      </c>
      <c r="N774" t="s">
        <v>1570</v>
      </c>
      <c r="P774" t="s">
        <v>1799</v>
      </c>
      <c r="Q774" t="s">
        <v>1253</v>
      </c>
      <c r="R774">
        <v>55331</v>
      </c>
      <c r="S774" t="s">
        <v>1714</v>
      </c>
      <c r="T774" t="s">
        <v>965</v>
      </c>
      <c r="U774">
        <v>0</v>
      </c>
      <c r="V774">
        <v>1</v>
      </c>
      <c r="W774" t="s">
        <v>1194</v>
      </c>
      <c r="X774" t="s">
        <v>973</v>
      </c>
      <c r="Y774">
        <v>10000</v>
      </c>
      <c r="Z774" s="2" t="s">
        <v>1194</v>
      </c>
      <c r="AA774" s="2">
        <v>1</v>
      </c>
      <c r="AB774">
        <v>2.5000000000000001E-3</v>
      </c>
      <c r="AC774">
        <v>704</v>
      </c>
      <c r="AD774" t="s">
        <v>1279</v>
      </c>
      <c r="AE774">
        <v>3</v>
      </c>
      <c r="AF774" t="s">
        <v>1290</v>
      </c>
      <c r="AG774">
        <v>0</v>
      </c>
      <c r="AH774">
        <v>0</v>
      </c>
      <c r="AI774">
        <v>0</v>
      </c>
      <c r="AJ774">
        <v>2019</v>
      </c>
      <c r="AK774" t="s">
        <v>1194</v>
      </c>
      <c r="AL774" t="s">
        <v>1194</v>
      </c>
      <c r="AM774" s="4" t="s">
        <v>1304</v>
      </c>
      <c r="AN774">
        <v>0</v>
      </c>
      <c r="AO774" t="s">
        <v>1315</v>
      </c>
      <c r="AP774">
        <f t="shared" si="24"/>
        <v>0</v>
      </c>
      <c r="AQ774">
        <v>1</v>
      </c>
      <c r="AR774" t="s">
        <v>1992</v>
      </c>
      <c r="AS774" t="s">
        <v>1996</v>
      </c>
      <c r="AT774" t="s">
        <v>1996</v>
      </c>
      <c r="AU774" t="s">
        <v>1996</v>
      </c>
      <c r="AV774" t="s">
        <v>1996</v>
      </c>
      <c r="AW774" t="s">
        <v>1996</v>
      </c>
      <c r="AX774" t="s">
        <v>1194</v>
      </c>
      <c r="AY774" t="s">
        <v>1996</v>
      </c>
      <c r="AZ774">
        <v>3719</v>
      </c>
      <c r="BA774" t="s">
        <v>1194</v>
      </c>
      <c r="BB774" t="s">
        <v>1194</v>
      </c>
      <c r="BC774" s="3">
        <v>0</v>
      </c>
      <c r="BD774" s="3">
        <v>0</v>
      </c>
      <c r="BE774" s="3">
        <v>0</v>
      </c>
      <c r="BF774" s="3">
        <v>0</v>
      </c>
      <c r="BG774" s="3">
        <v>210</v>
      </c>
      <c r="BH774" s="3">
        <v>0</v>
      </c>
      <c r="BI774" s="3">
        <v>0</v>
      </c>
      <c r="BJ774" s="3">
        <v>6590.32</v>
      </c>
      <c r="BK774" s="3">
        <v>285</v>
      </c>
      <c r="BL774" s="3">
        <v>6875.32</v>
      </c>
      <c r="BM774" s="2">
        <f t="shared" ca="1" si="25"/>
        <v>5</v>
      </c>
      <c r="BN774" s="3" t="s">
        <v>2916</v>
      </c>
      <c r="BO774" s="3">
        <v>1000000</v>
      </c>
      <c r="BP774" s="3">
        <v>200000</v>
      </c>
      <c r="BQ774" s="3">
        <v>1000000</v>
      </c>
      <c r="BR774" s="3">
        <v>500000</v>
      </c>
      <c r="BS774">
        <v>250000</v>
      </c>
      <c r="BT774">
        <v>0</v>
      </c>
      <c r="BU774">
        <v>0</v>
      </c>
      <c r="BV774">
        <v>1</v>
      </c>
      <c r="BW774">
        <v>0</v>
      </c>
      <c r="BX774">
        <v>0</v>
      </c>
      <c r="BY774">
        <v>0</v>
      </c>
      <c r="BZ774" t="s">
        <v>2958</v>
      </c>
      <c r="CA774" t="s">
        <v>1194</v>
      </c>
      <c r="CB774" t="s">
        <v>2941</v>
      </c>
    </row>
    <row r="775" spans="1:80" x14ac:dyDescent="0.25">
      <c r="A775">
        <v>774</v>
      </c>
      <c r="B775" t="s">
        <v>2788</v>
      </c>
      <c r="C775" s="1">
        <v>44749</v>
      </c>
      <c r="D775">
        <v>12</v>
      </c>
      <c r="E775" t="s">
        <v>4</v>
      </c>
      <c r="F775" t="s">
        <v>1311</v>
      </c>
      <c r="G775">
        <v>0</v>
      </c>
      <c r="H775" s="3">
        <v>2650000</v>
      </c>
      <c r="I775" s="3">
        <v>150000</v>
      </c>
      <c r="J775" s="3">
        <v>60000</v>
      </c>
      <c r="K775" s="3">
        <v>0</v>
      </c>
      <c r="L775" t="s">
        <v>1191</v>
      </c>
      <c r="M775">
        <v>428090</v>
      </c>
      <c r="N775" t="s">
        <v>1571</v>
      </c>
      <c r="P775" t="s">
        <v>1925</v>
      </c>
      <c r="Q775" t="s">
        <v>1253</v>
      </c>
      <c r="R775">
        <v>55305</v>
      </c>
      <c r="S775" t="s">
        <v>1714</v>
      </c>
      <c r="T775" t="s">
        <v>965</v>
      </c>
      <c r="U775">
        <v>0</v>
      </c>
      <c r="V775">
        <v>1</v>
      </c>
      <c r="W775" t="s">
        <v>1194</v>
      </c>
      <c r="X775" t="s">
        <v>973</v>
      </c>
      <c r="Y775">
        <v>10000</v>
      </c>
      <c r="Z775" s="2" t="s">
        <v>1194</v>
      </c>
      <c r="AA775" s="2">
        <v>1</v>
      </c>
      <c r="AB775">
        <v>5.0000000000000001E-3</v>
      </c>
      <c r="AC775">
        <v>850</v>
      </c>
      <c r="AD775" t="s">
        <v>1279</v>
      </c>
      <c r="AE775">
        <v>3</v>
      </c>
      <c r="AF775" t="s">
        <v>1290</v>
      </c>
      <c r="AG775">
        <v>0</v>
      </c>
      <c r="AH775">
        <v>0</v>
      </c>
      <c r="AI775">
        <v>0</v>
      </c>
      <c r="AJ775">
        <v>1996</v>
      </c>
      <c r="AK775" t="s">
        <v>1194</v>
      </c>
      <c r="AL775">
        <v>2014</v>
      </c>
      <c r="AM775" s="4" t="s">
        <v>1238</v>
      </c>
      <c r="AN775">
        <v>1</v>
      </c>
      <c r="AO775" t="s">
        <v>1316</v>
      </c>
      <c r="AP775">
        <f t="shared" si="24"/>
        <v>0</v>
      </c>
      <c r="AQ775">
        <v>0</v>
      </c>
      <c r="AR775" t="s">
        <v>1993</v>
      </c>
      <c r="AS775" t="s">
        <v>1996</v>
      </c>
      <c r="AT775" t="s">
        <v>1996</v>
      </c>
      <c r="AU775" t="s">
        <v>1996</v>
      </c>
      <c r="AV775" t="s">
        <v>1995</v>
      </c>
      <c r="AW775" t="s">
        <v>1996</v>
      </c>
      <c r="AX775" t="s">
        <v>1194</v>
      </c>
      <c r="AY775" t="s">
        <v>1996</v>
      </c>
      <c r="AZ775">
        <v>3856</v>
      </c>
      <c r="BA775" t="s">
        <v>1194</v>
      </c>
      <c r="BB775" t="s">
        <v>1194</v>
      </c>
      <c r="BC775" s="3">
        <v>0</v>
      </c>
      <c r="BD775" s="3">
        <v>0</v>
      </c>
      <c r="BE775" s="3">
        <v>0</v>
      </c>
      <c r="BF775" s="3">
        <v>0</v>
      </c>
      <c r="BG775" s="3">
        <v>175</v>
      </c>
      <c r="BH775" s="3">
        <v>0</v>
      </c>
      <c r="BI775" s="3">
        <v>0</v>
      </c>
      <c r="BJ775" s="3">
        <v>5247.93</v>
      </c>
      <c r="BK775" s="3">
        <v>285</v>
      </c>
      <c r="BL775" s="3">
        <v>5532.93</v>
      </c>
      <c r="BM775" s="2">
        <f t="shared" ca="1" si="25"/>
        <v>0</v>
      </c>
      <c r="BN775" s="3">
        <v>50000</v>
      </c>
      <c r="BO775" s="3">
        <v>250000</v>
      </c>
      <c r="BP775" s="3">
        <v>200000</v>
      </c>
      <c r="BQ775" s="3">
        <v>500000</v>
      </c>
      <c r="BR775" s="3">
        <v>250000</v>
      </c>
      <c r="BS775" t="s">
        <v>2916</v>
      </c>
      <c r="BT775">
        <v>0</v>
      </c>
      <c r="BU775">
        <v>0</v>
      </c>
      <c r="BV775">
        <v>0</v>
      </c>
      <c r="BW775">
        <v>1</v>
      </c>
      <c r="BX775">
        <v>1</v>
      </c>
      <c r="BY775">
        <v>0</v>
      </c>
      <c r="BZ775" t="s">
        <v>2958</v>
      </c>
      <c r="CA775" t="s">
        <v>1194</v>
      </c>
      <c r="CB775" t="s">
        <v>2941</v>
      </c>
    </row>
    <row r="776" spans="1:80" x14ac:dyDescent="0.25">
      <c r="A776">
        <v>775</v>
      </c>
      <c r="B776" t="s">
        <v>2789</v>
      </c>
      <c r="C776" s="1">
        <v>44757</v>
      </c>
      <c r="D776">
        <v>12</v>
      </c>
      <c r="E776" t="s">
        <v>5</v>
      </c>
      <c r="F776" t="s">
        <v>1310</v>
      </c>
      <c r="G776">
        <v>1</v>
      </c>
      <c r="H776" s="3">
        <v>2099719</v>
      </c>
      <c r="I776" s="3">
        <v>190351</v>
      </c>
      <c r="J776" s="3">
        <v>761402</v>
      </c>
      <c r="K776" s="3">
        <v>0</v>
      </c>
      <c r="L776" t="s">
        <v>1191</v>
      </c>
      <c r="M776">
        <v>1267566</v>
      </c>
      <c r="N776" t="s">
        <v>1572</v>
      </c>
      <c r="P776" t="s">
        <v>1926</v>
      </c>
      <c r="Q776" t="s">
        <v>1254</v>
      </c>
      <c r="R776">
        <v>63105</v>
      </c>
      <c r="S776" t="s">
        <v>1698</v>
      </c>
      <c r="T776" t="s">
        <v>965</v>
      </c>
      <c r="U776">
        <v>0</v>
      </c>
      <c r="V776">
        <v>3</v>
      </c>
      <c r="W776" t="s">
        <v>1194</v>
      </c>
      <c r="X776" t="s">
        <v>973</v>
      </c>
      <c r="Y776">
        <v>10000</v>
      </c>
      <c r="Z776" s="2">
        <v>0.99999095100000002</v>
      </c>
      <c r="AA776" s="2">
        <v>1</v>
      </c>
      <c r="AB776">
        <v>2.5000000000000001E-3</v>
      </c>
      <c r="AC776">
        <v>734</v>
      </c>
      <c r="AD776" t="s">
        <v>1280</v>
      </c>
      <c r="AE776">
        <v>2</v>
      </c>
      <c r="AF776" t="s">
        <v>1290</v>
      </c>
      <c r="AG776">
        <v>0</v>
      </c>
      <c r="AH776">
        <v>0</v>
      </c>
      <c r="AI776">
        <v>0</v>
      </c>
      <c r="AJ776">
        <v>1924</v>
      </c>
      <c r="AK776">
        <v>2018</v>
      </c>
      <c r="AL776">
        <v>1924</v>
      </c>
      <c r="AM776" s="4" t="s">
        <v>1304</v>
      </c>
      <c r="AN776">
        <v>1</v>
      </c>
      <c r="AO776" t="s">
        <v>1315</v>
      </c>
      <c r="AP776">
        <f t="shared" si="24"/>
        <v>0</v>
      </c>
      <c r="AQ776">
        <v>0</v>
      </c>
      <c r="AR776" t="s">
        <v>1993</v>
      </c>
      <c r="AS776" t="s">
        <v>1996</v>
      </c>
      <c r="AT776" t="s">
        <v>1996</v>
      </c>
      <c r="AU776" t="s">
        <v>1996</v>
      </c>
      <c r="AV776" t="s">
        <v>1996</v>
      </c>
      <c r="AW776" t="s">
        <v>1995</v>
      </c>
      <c r="AX776" t="s">
        <v>1194</v>
      </c>
      <c r="AY776" t="s">
        <v>1996</v>
      </c>
      <c r="AZ776">
        <v>3177</v>
      </c>
      <c r="BA776" t="s">
        <v>1194</v>
      </c>
      <c r="BB776" t="s">
        <v>1194</v>
      </c>
      <c r="BC776" s="3">
        <v>0</v>
      </c>
      <c r="BD776" s="3">
        <v>0</v>
      </c>
      <c r="BE776" s="3">
        <v>0</v>
      </c>
      <c r="BF776" s="3">
        <v>0</v>
      </c>
      <c r="BG776" s="3">
        <v>175</v>
      </c>
      <c r="BH776" s="3">
        <v>0</v>
      </c>
      <c r="BI776" s="3">
        <v>0</v>
      </c>
      <c r="BJ776" s="3">
        <v>6270.75</v>
      </c>
      <c r="BK776" s="3">
        <v>2400.34</v>
      </c>
      <c r="BL776" s="3">
        <v>8671.09</v>
      </c>
      <c r="BM776" s="2">
        <f t="shared" ca="1" si="25"/>
        <v>0</v>
      </c>
      <c r="BN776" s="3">
        <v>1000000</v>
      </c>
      <c r="BO776" s="3">
        <v>25000</v>
      </c>
      <c r="BP776" s="3">
        <v>50000</v>
      </c>
      <c r="BQ776" s="3">
        <v>50000</v>
      </c>
      <c r="BR776" s="3">
        <v>50000</v>
      </c>
      <c r="BS776">
        <v>1000000</v>
      </c>
      <c r="BT776">
        <v>0</v>
      </c>
      <c r="BU776">
        <v>1</v>
      </c>
      <c r="BV776">
        <v>1</v>
      </c>
      <c r="BW776">
        <v>0</v>
      </c>
      <c r="BX776">
        <v>0</v>
      </c>
      <c r="BY776">
        <v>0</v>
      </c>
      <c r="BZ776" t="s">
        <v>2959</v>
      </c>
      <c r="CA776" t="s">
        <v>1194</v>
      </c>
      <c r="CB776" t="s">
        <v>2941</v>
      </c>
    </row>
    <row r="777" spans="1:80" x14ac:dyDescent="0.25">
      <c r="A777">
        <v>776</v>
      </c>
      <c r="B777" t="s">
        <v>2790</v>
      </c>
      <c r="C777" s="1">
        <v>44910</v>
      </c>
      <c r="D777">
        <v>12</v>
      </c>
      <c r="E777" t="s">
        <v>4</v>
      </c>
      <c r="F777" t="s">
        <v>1311</v>
      </c>
      <c r="G777">
        <v>0</v>
      </c>
      <c r="H777" s="3">
        <v>4230290</v>
      </c>
      <c r="I777" s="3">
        <v>494206</v>
      </c>
      <c r="J777" s="3">
        <v>0</v>
      </c>
      <c r="K777" s="3">
        <v>0</v>
      </c>
      <c r="L777" t="s">
        <v>1191</v>
      </c>
      <c r="M777">
        <v>1813022</v>
      </c>
      <c r="N777" t="s">
        <v>1573</v>
      </c>
      <c r="P777" t="s">
        <v>1927</v>
      </c>
      <c r="Q777" t="s">
        <v>1246</v>
      </c>
      <c r="R777">
        <v>60035</v>
      </c>
      <c r="S777" t="s">
        <v>1780</v>
      </c>
      <c r="T777" t="s">
        <v>965</v>
      </c>
      <c r="U777">
        <v>0</v>
      </c>
      <c r="V777">
        <v>3</v>
      </c>
      <c r="W777" t="s">
        <v>1194</v>
      </c>
      <c r="X777" t="s">
        <v>973</v>
      </c>
      <c r="Y777">
        <v>5000</v>
      </c>
      <c r="Z777" s="2">
        <v>1.000002364</v>
      </c>
      <c r="AA777" s="2">
        <v>0</v>
      </c>
      <c r="AB777" t="s">
        <v>1238</v>
      </c>
      <c r="AC777">
        <v>837</v>
      </c>
      <c r="AD777" t="s">
        <v>1283</v>
      </c>
      <c r="AE777">
        <v>2</v>
      </c>
      <c r="AF777" t="s">
        <v>1290</v>
      </c>
      <c r="AG777">
        <v>0</v>
      </c>
      <c r="AH777">
        <v>0</v>
      </c>
      <c r="AI777">
        <v>0</v>
      </c>
      <c r="AJ777">
        <v>1937</v>
      </c>
      <c r="AK777">
        <v>2019</v>
      </c>
      <c r="AL777">
        <v>2002</v>
      </c>
      <c r="AM777" s="4" t="s">
        <v>1238</v>
      </c>
      <c r="AN777">
        <v>1</v>
      </c>
      <c r="AO777" t="s">
        <v>1315</v>
      </c>
      <c r="AP777">
        <f t="shared" si="24"/>
        <v>0</v>
      </c>
      <c r="AQ777">
        <v>1</v>
      </c>
      <c r="AR777" t="s">
        <v>1992</v>
      </c>
      <c r="AS777" t="s">
        <v>1995</v>
      </c>
      <c r="AT777" t="s">
        <v>1995</v>
      </c>
      <c r="AU777" t="s">
        <v>1995</v>
      </c>
      <c r="AV777" t="s">
        <v>1996</v>
      </c>
      <c r="AW777" t="s">
        <v>1996</v>
      </c>
      <c r="AX777" t="s">
        <v>1194</v>
      </c>
      <c r="AY777" t="s">
        <v>1996</v>
      </c>
      <c r="AZ777">
        <v>5034</v>
      </c>
      <c r="BA777" t="s">
        <v>1194</v>
      </c>
      <c r="BB777" t="s">
        <v>1194</v>
      </c>
      <c r="BC777" s="3">
        <v>0</v>
      </c>
      <c r="BD777" s="3">
        <v>0</v>
      </c>
      <c r="BE777" s="3">
        <v>0</v>
      </c>
      <c r="BF777" s="3">
        <v>0</v>
      </c>
      <c r="BG777" s="3">
        <v>175</v>
      </c>
      <c r="BH777" s="3">
        <v>0</v>
      </c>
      <c r="BI777" s="3">
        <v>0</v>
      </c>
      <c r="BJ777" s="3">
        <v>8662.34</v>
      </c>
      <c r="BK777" s="3">
        <v>-15</v>
      </c>
      <c r="BL777" s="3">
        <v>8647.34</v>
      </c>
      <c r="BM777" s="2">
        <f t="shared" ca="1" si="25"/>
        <v>1</v>
      </c>
      <c r="BN777" s="3">
        <v>100000</v>
      </c>
      <c r="BO777" s="3">
        <v>25000</v>
      </c>
      <c r="BP777" s="3">
        <v>100000</v>
      </c>
      <c r="BQ777" s="3">
        <v>25000</v>
      </c>
      <c r="BR777" s="3">
        <v>100000</v>
      </c>
      <c r="BS777">
        <v>100000</v>
      </c>
      <c r="BT777">
        <v>0</v>
      </c>
      <c r="BU777">
        <v>0</v>
      </c>
      <c r="BV777">
        <v>0</v>
      </c>
      <c r="BW777">
        <v>1</v>
      </c>
      <c r="BX777">
        <v>1</v>
      </c>
      <c r="BY777">
        <v>0</v>
      </c>
      <c r="BZ777" t="s">
        <v>2959</v>
      </c>
      <c r="CA777" t="s">
        <v>1194</v>
      </c>
      <c r="CB777" t="s">
        <v>2945</v>
      </c>
    </row>
    <row r="778" spans="1:80" x14ac:dyDescent="0.25">
      <c r="A778">
        <v>777</v>
      </c>
      <c r="B778" t="s">
        <v>2791</v>
      </c>
      <c r="C778" s="1">
        <v>44825</v>
      </c>
      <c r="D778">
        <v>3</v>
      </c>
      <c r="E778" t="s">
        <v>4</v>
      </c>
      <c r="F778" t="s">
        <v>1310</v>
      </c>
      <c r="G778">
        <v>1</v>
      </c>
      <c r="H778" s="3">
        <v>1186200</v>
      </c>
      <c r="I778" s="3">
        <v>237240</v>
      </c>
      <c r="J778" s="3">
        <v>593100</v>
      </c>
      <c r="K778" s="3">
        <v>237240</v>
      </c>
      <c r="L778" t="s">
        <v>1191</v>
      </c>
      <c r="M778">
        <v>1986316</v>
      </c>
      <c r="N778" t="s">
        <v>1574</v>
      </c>
      <c r="P778" t="s">
        <v>1928</v>
      </c>
      <c r="Q778" t="s">
        <v>1261</v>
      </c>
      <c r="R778">
        <v>73142</v>
      </c>
      <c r="S778" t="s">
        <v>1758</v>
      </c>
      <c r="T778" t="s">
        <v>965</v>
      </c>
      <c r="U778">
        <v>0</v>
      </c>
      <c r="V778">
        <v>1</v>
      </c>
      <c r="W778" t="s">
        <v>1194</v>
      </c>
      <c r="X778" t="s">
        <v>973</v>
      </c>
      <c r="Y778">
        <v>10000</v>
      </c>
      <c r="Z778" s="2">
        <v>1</v>
      </c>
      <c r="AA778" s="2">
        <v>1</v>
      </c>
      <c r="AB778">
        <v>2500</v>
      </c>
      <c r="AC778">
        <v>926</v>
      </c>
      <c r="AD778" t="s">
        <v>1284</v>
      </c>
      <c r="AE778">
        <v>1</v>
      </c>
      <c r="AF778" t="s">
        <v>1290</v>
      </c>
      <c r="AG778">
        <v>0</v>
      </c>
      <c r="AH778">
        <v>0</v>
      </c>
      <c r="AI778">
        <v>0</v>
      </c>
      <c r="AJ778">
        <v>2004</v>
      </c>
      <c r="AK778" t="s">
        <v>1194</v>
      </c>
      <c r="AL778">
        <v>2022</v>
      </c>
      <c r="AM778" s="4" t="s">
        <v>1305</v>
      </c>
      <c r="AN778">
        <v>0</v>
      </c>
      <c r="AO778" t="s">
        <v>1315</v>
      </c>
      <c r="AP778">
        <f t="shared" si="24"/>
        <v>0</v>
      </c>
      <c r="AQ778">
        <v>1</v>
      </c>
      <c r="AR778" t="s">
        <v>1992</v>
      </c>
      <c r="AS778" t="s">
        <v>1995</v>
      </c>
      <c r="AT778" t="s">
        <v>1995</v>
      </c>
      <c r="AU778" t="s">
        <v>1996</v>
      </c>
      <c r="AV778" t="s">
        <v>1995</v>
      </c>
      <c r="AW778" t="s">
        <v>1995</v>
      </c>
      <c r="AX778" t="s">
        <v>1194</v>
      </c>
      <c r="AY778" t="s">
        <v>1996</v>
      </c>
      <c r="AZ778">
        <v>3954</v>
      </c>
      <c r="BA778" t="s">
        <v>1194</v>
      </c>
      <c r="BB778" t="s">
        <v>1194</v>
      </c>
      <c r="BC778" s="3">
        <v>0</v>
      </c>
      <c r="BD778" s="3">
        <v>0</v>
      </c>
      <c r="BE778" s="3">
        <v>0</v>
      </c>
      <c r="BF778" s="3">
        <v>0</v>
      </c>
      <c r="BG778" s="3">
        <v>175</v>
      </c>
      <c r="BH778" s="3">
        <v>0</v>
      </c>
      <c r="BI778" s="3">
        <v>-474</v>
      </c>
      <c r="BJ778" s="3">
        <v>7567.43</v>
      </c>
      <c r="BK778" s="3">
        <v>-15</v>
      </c>
      <c r="BL778" s="3">
        <v>7552.43</v>
      </c>
      <c r="BM778" s="2">
        <f t="shared" ca="1" si="25"/>
        <v>1</v>
      </c>
      <c r="BN778" s="3">
        <v>100000</v>
      </c>
      <c r="BO778" s="3">
        <v>2000000</v>
      </c>
      <c r="BP778" s="3">
        <v>50000</v>
      </c>
      <c r="BQ778" s="3">
        <v>50000</v>
      </c>
      <c r="BR778" s="3" t="s">
        <v>2916</v>
      </c>
      <c r="BS778">
        <v>250000</v>
      </c>
      <c r="BT778">
        <v>0</v>
      </c>
      <c r="BU778">
        <v>0</v>
      </c>
      <c r="BV778">
        <v>0</v>
      </c>
      <c r="BW778">
        <v>1</v>
      </c>
      <c r="BX778">
        <v>1</v>
      </c>
      <c r="BY778">
        <v>0</v>
      </c>
      <c r="BZ778" t="s">
        <v>2958</v>
      </c>
      <c r="CA778" t="s">
        <v>1194</v>
      </c>
      <c r="CB778" t="s">
        <v>2941</v>
      </c>
    </row>
    <row r="779" spans="1:80" x14ac:dyDescent="0.25">
      <c r="A779">
        <v>778</v>
      </c>
      <c r="B779" t="s">
        <v>2792</v>
      </c>
      <c r="C779" s="1">
        <v>44722</v>
      </c>
      <c r="D779">
        <v>12</v>
      </c>
      <c r="E779" t="s">
        <v>4</v>
      </c>
      <c r="F779" t="s">
        <v>1311</v>
      </c>
      <c r="G779">
        <v>1</v>
      </c>
      <c r="H779" s="3">
        <v>2392925</v>
      </c>
      <c r="I779" s="3">
        <v>383026</v>
      </c>
      <c r="J779" s="3">
        <v>574539</v>
      </c>
      <c r="K779" s="3">
        <v>0</v>
      </c>
      <c r="L779" t="s">
        <v>1191</v>
      </c>
      <c r="M779">
        <v>1045171</v>
      </c>
      <c r="N779" t="s">
        <v>1575</v>
      </c>
      <c r="P779" t="s">
        <v>1929</v>
      </c>
      <c r="Q779" t="s">
        <v>1264</v>
      </c>
      <c r="R779">
        <v>2835</v>
      </c>
      <c r="S779" t="s">
        <v>1693</v>
      </c>
      <c r="T779" t="s">
        <v>979</v>
      </c>
      <c r="U779">
        <v>0</v>
      </c>
      <c r="V779">
        <v>3</v>
      </c>
      <c r="W779" t="s">
        <v>1194</v>
      </c>
      <c r="X779" t="s">
        <v>973</v>
      </c>
      <c r="Y779">
        <v>10000</v>
      </c>
      <c r="Z779" s="2" t="s">
        <v>1194</v>
      </c>
      <c r="AA779" s="2" t="s">
        <v>1238</v>
      </c>
      <c r="AB779" t="s">
        <v>1238</v>
      </c>
      <c r="AC779">
        <v>802</v>
      </c>
      <c r="AD779" t="s">
        <v>1279</v>
      </c>
      <c r="AE779">
        <v>4</v>
      </c>
      <c r="AF779" t="s">
        <v>1290</v>
      </c>
      <c r="AG779">
        <v>0</v>
      </c>
      <c r="AH779">
        <v>0</v>
      </c>
      <c r="AI779">
        <v>0</v>
      </c>
      <c r="AJ779">
        <v>1923</v>
      </c>
      <c r="AK779">
        <v>1998</v>
      </c>
      <c r="AL779">
        <v>2021</v>
      </c>
      <c r="AM779" s="4" t="s">
        <v>1238</v>
      </c>
      <c r="AN779">
        <v>1</v>
      </c>
      <c r="AO779" t="s">
        <v>1315</v>
      </c>
      <c r="AP779">
        <f t="shared" si="24"/>
        <v>0</v>
      </c>
      <c r="AQ779">
        <v>0</v>
      </c>
      <c r="AR779" t="s">
        <v>1993</v>
      </c>
      <c r="AS779" t="s">
        <v>1996</v>
      </c>
      <c r="AT779" t="s">
        <v>1996</v>
      </c>
      <c r="AU779" t="s">
        <v>1995</v>
      </c>
      <c r="AV779" t="s">
        <v>1995</v>
      </c>
      <c r="AW779" t="s">
        <v>1995</v>
      </c>
      <c r="AX779" t="s">
        <v>2003</v>
      </c>
      <c r="AY779" t="s">
        <v>1996</v>
      </c>
      <c r="AZ779">
        <v>3186</v>
      </c>
      <c r="BA779" t="s">
        <v>1194</v>
      </c>
      <c r="BB779" t="s">
        <v>1194</v>
      </c>
      <c r="BC779" s="3">
        <v>0</v>
      </c>
      <c r="BD779" s="3">
        <v>4272.45</v>
      </c>
      <c r="BE779" s="3">
        <v>0</v>
      </c>
      <c r="BF779" s="3">
        <v>0</v>
      </c>
      <c r="BG779" s="3">
        <v>160</v>
      </c>
      <c r="BH779" s="3">
        <v>0</v>
      </c>
      <c r="BI779" s="3">
        <v>0</v>
      </c>
      <c r="BJ779" s="3">
        <v>12179.47</v>
      </c>
      <c r="BK779" s="3">
        <v>-15</v>
      </c>
      <c r="BL779" s="3">
        <v>12164.47</v>
      </c>
      <c r="BM779" s="2">
        <f t="shared" ca="1" si="25"/>
        <v>1</v>
      </c>
      <c r="BN779" s="3">
        <v>50000</v>
      </c>
      <c r="BO779" s="3">
        <v>2000000</v>
      </c>
      <c r="BP779" s="3">
        <v>100000</v>
      </c>
      <c r="BQ779" s="3">
        <v>100000</v>
      </c>
      <c r="BR779" s="3">
        <v>50000</v>
      </c>
      <c r="BS779">
        <v>500000</v>
      </c>
      <c r="BT779">
        <v>0</v>
      </c>
      <c r="BU779">
        <v>0</v>
      </c>
      <c r="BV779">
        <v>0</v>
      </c>
      <c r="BW779">
        <v>1</v>
      </c>
      <c r="BX779">
        <v>1</v>
      </c>
      <c r="BY779">
        <v>0</v>
      </c>
      <c r="BZ779" t="s">
        <v>2949</v>
      </c>
      <c r="CA779" t="s">
        <v>1194</v>
      </c>
      <c r="CB779" t="s">
        <v>2949</v>
      </c>
    </row>
    <row r="780" spans="1:80" x14ac:dyDescent="0.25">
      <c r="A780">
        <v>779</v>
      </c>
      <c r="B780" t="s">
        <v>2793</v>
      </c>
      <c r="C780" s="1">
        <v>44833</v>
      </c>
      <c r="D780">
        <v>12</v>
      </c>
      <c r="E780" t="s">
        <v>4</v>
      </c>
      <c r="F780" t="s">
        <v>1311</v>
      </c>
      <c r="G780">
        <v>0</v>
      </c>
      <c r="H780" s="3">
        <v>1891000</v>
      </c>
      <c r="I780" s="3">
        <v>350000</v>
      </c>
      <c r="J780" s="3">
        <v>0</v>
      </c>
      <c r="K780" s="3">
        <v>0</v>
      </c>
      <c r="L780" t="s">
        <v>1191</v>
      </c>
      <c r="M780">
        <v>1997075</v>
      </c>
      <c r="N780" t="s">
        <v>1576</v>
      </c>
      <c r="P780" t="s">
        <v>1782</v>
      </c>
      <c r="Q780" t="s">
        <v>1253</v>
      </c>
      <c r="R780">
        <v>55436</v>
      </c>
      <c r="S780" t="s">
        <v>1714</v>
      </c>
      <c r="T780" t="s">
        <v>965</v>
      </c>
      <c r="U780">
        <v>0</v>
      </c>
      <c r="V780">
        <v>1</v>
      </c>
      <c r="W780" t="s">
        <v>1194</v>
      </c>
      <c r="X780" t="s">
        <v>973</v>
      </c>
      <c r="Y780">
        <v>10000</v>
      </c>
      <c r="Z780" s="2">
        <v>2</v>
      </c>
      <c r="AA780" s="2">
        <v>1</v>
      </c>
      <c r="AB780">
        <v>2500</v>
      </c>
      <c r="AC780">
        <v>824</v>
      </c>
      <c r="AD780" t="s">
        <v>1279</v>
      </c>
      <c r="AE780">
        <v>3</v>
      </c>
      <c r="AF780" t="s">
        <v>1290</v>
      </c>
      <c r="AG780">
        <v>0</v>
      </c>
      <c r="AH780">
        <v>0</v>
      </c>
      <c r="AI780">
        <v>0</v>
      </c>
      <c r="AJ780">
        <v>1951</v>
      </c>
      <c r="AK780">
        <v>2000</v>
      </c>
      <c r="AL780">
        <v>2016</v>
      </c>
      <c r="AM780" s="4" t="s">
        <v>1238</v>
      </c>
      <c r="AN780">
        <v>1</v>
      </c>
      <c r="AO780" t="s">
        <v>1316</v>
      </c>
      <c r="AP780">
        <f t="shared" si="24"/>
        <v>0</v>
      </c>
      <c r="AQ780">
        <v>1</v>
      </c>
      <c r="AR780" t="s">
        <v>1992</v>
      </c>
      <c r="AS780" t="s">
        <v>1996</v>
      </c>
      <c r="AT780" t="s">
        <v>1995</v>
      </c>
      <c r="AU780" t="s">
        <v>1996</v>
      </c>
      <c r="AV780" t="s">
        <v>1996</v>
      </c>
      <c r="AW780" t="s">
        <v>1995</v>
      </c>
      <c r="AX780" t="s">
        <v>1194</v>
      </c>
      <c r="AY780" t="s">
        <v>1996</v>
      </c>
      <c r="AZ780">
        <v>5263</v>
      </c>
      <c r="BA780" t="s">
        <v>1194</v>
      </c>
      <c r="BB780" t="s">
        <v>1194</v>
      </c>
      <c r="BC780" s="3">
        <v>0</v>
      </c>
      <c r="BD780" s="3">
        <v>0</v>
      </c>
      <c r="BE780" s="3">
        <v>0</v>
      </c>
      <c r="BF780" s="3">
        <v>0</v>
      </c>
      <c r="BG780" s="3">
        <v>175</v>
      </c>
      <c r="BH780" s="3">
        <v>0</v>
      </c>
      <c r="BI780" s="3">
        <v>0</v>
      </c>
      <c r="BJ780" s="3">
        <v>7792.45</v>
      </c>
      <c r="BK780" s="3">
        <v>-15</v>
      </c>
      <c r="BL780" s="3">
        <v>7777.45</v>
      </c>
      <c r="BM780" s="2">
        <f t="shared" ca="1" si="25"/>
        <v>1</v>
      </c>
      <c r="BN780" s="3">
        <v>2000000</v>
      </c>
      <c r="BO780" s="3">
        <v>100000</v>
      </c>
      <c r="BP780" s="3">
        <v>100000</v>
      </c>
      <c r="BQ780" s="3">
        <v>500000</v>
      </c>
      <c r="BR780" s="3" t="s">
        <v>2916</v>
      </c>
      <c r="BS780">
        <v>2000000</v>
      </c>
      <c r="BT780">
        <v>0</v>
      </c>
      <c r="BU780">
        <v>0</v>
      </c>
      <c r="BV780">
        <v>0</v>
      </c>
      <c r="BW780">
        <v>1</v>
      </c>
      <c r="BX780">
        <v>1</v>
      </c>
      <c r="BY780">
        <v>0</v>
      </c>
      <c r="BZ780" t="s">
        <v>2947</v>
      </c>
      <c r="CA780" t="s">
        <v>1194</v>
      </c>
      <c r="CB780" t="s">
        <v>2945</v>
      </c>
    </row>
    <row r="781" spans="1:80" x14ac:dyDescent="0.25">
      <c r="A781">
        <v>780</v>
      </c>
      <c r="B781" t="s">
        <v>2794</v>
      </c>
      <c r="C781" s="1">
        <v>44742</v>
      </c>
      <c r="D781">
        <v>12</v>
      </c>
      <c r="E781" t="s">
        <v>4</v>
      </c>
      <c r="F781" t="s">
        <v>1311</v>
      </c>
      <c r="G781">
        <v>0</v>
      </c>
      <c r="H781" s="3">
        <v>0</v>
      </c>
      <c r="I781" s="3">
        <v>0</v>
      </c>
      <c r="J781" s="3">
        <v>1117250</v>
      </c>
      <c r="K781" s="3">
        <v>0</v>
      </c>
      <c r="L781" t="s">
        <v>1192</v>
      </c>
      <c r="M781">
        <v>1746411</v>
      </c>
      <c r="N781" t="s">
        <v>1577</v>
      </c>
      <c r="O781" t="s">
        <v>1578</v>
      </c>
      <c r="P781" t="s">
        <v>1930</v>
      </c>
      <c r="Q781" t="s">
        <v>1246</v>
      </c>
      <c r="R781">
        <v>60093</v>
      </c>
      <c r="S781" t="s">
        <v>1734</v>
      </c>
      <c r="T781" t="s">
        <v>965</v>
      </c>
      <c r="U781">
        <v>0</v>
      </c>
      <c r="V781">
        <v>7</v>
      </c>
      <c r="W781" t="s">
        <v>1194</v>
      </c>
      <c r="X781" t="s">
        <v>973</v>
      </c>
      <c r="Y781">
        <v>10000</v>
      </c>
      <c r="Z781" s="2" t="s">
        <v>1194</v>
      </c>
      <c r="AA781" s="2">
        <v>0</v>
      </c>
      <c r="AB781" t="s">
        <v>1238</v>
      </c>
      <c r="AC781">
        <v>839</v>
      </c>
      <c r="AD781" t="s">
        <v>1284</v>
      </c>
      <c r="AE781">
        <v>3</v>
      </c>
      <c r="AF781" t="s">
        <v>1290</v>
      </c>
      <c r="AG781">
        <v>0</v>
      </c>
      <c r="AH781">
        <v>0</v>
      </c>
      <c r="AI781">
        <v>0</v>
      </c>
      <c r="AJ781">
        <v>1999</v>
      </c>
      <c r="AK781" t="s">
        <v>1194</v>
      </c>
      <c r="AL781" t="s">
        <v>1194</v>
      </c>
      <c r="AM781" s="4" t="s">
        <v>1238</v>
      </c>
      <c r="AN781">
        <v>1</v>
      </c>
      <c r="AO781" t="s">
        <v>1315</v>
      </c>
      <c r="AP781">
        <f t="shared" si="24"/>
        <v>0</v>
      </c>
      <c r="AQ781">
        <v>0</v>
      </c>
      <c r="AR781" t="s">
        <v>1993</v>
      </c>
      <c r="AS781" t="s">
        <v>1995</v>
      </c>
      <c r="AT781" t="s">
        <v>1995</v>
      </c>
      <c r="AU781" t="s">
        <v>1995</v>
      </c>
      <c r="AV781" t="s">
        <v>1995</v>
      </c>
      <c r="AW781" t="s">
        <v>1995</v>
      </c>
      <c r="AX781" t="s">
        <v>1194</v>
      </c>
      <c r="AY781" t="s">
        <v>1996</v>
      </c>
      <c r="AZ781">
        <v>1700</v>
      </c>
      <c r="BA781" t="s">
        <v>1194</v>
      </c>
      <c r="BB781" t="s">
        <v>1194</v>
      </c>
      <c r="BC781" s="3">
        <v>0</v>
      </c>
      <c r="BD781" s="3">
        <v>0</v>
      </c>
      <c r="BE781" s="3">
        <v>0</v>
      </c>
      <c r="BF781" s="3">
        <v>0</v>
      </c>
      <c r="BG781" s="3">
        <v>175</v>
      </c>
      <c r="BH781" s="3">
        <v>0</v>
      </c>
      <c r="BI781" s="3">
        <v>0</v>
      </c>
      <c r="BJ781" s="3">
        <v>3447.48</v>
      </c>
      <c r="BK781" s="3">
        <v>245</v>
      </c>
      <c r="BL781" s="3">
        <v>3692.48</v>
      </c>
      <c r="BM781" s="2">
        <f t="shared" ca="1" si="25"/>
        <v>3</v>
      </c>
      <c r="BN781" s="3">
        <v>500000</v>
      </c>
      <c r="BO781" s="3">
        <v>50000</v>
      </c>
      <c r="BP781" s="3">
        <v>50000</v>
      </c>
      <c r="BQ781" s="3">
        <v>50000</v>
      </c>
      <c r="BR781" s="3">
        <v>500000</v>
      </c>
      <c r="BS781">
        <v>1000000</v>
      </c>
      <c r="BT781">
        <v>0</v>
      </c>
      <c r="BU781">
        <v>0</v>
      </c>
      <c r="BV781">
        <v>0</v>
      </c>
      <c r="BW781">
        <v>1</v>
      </c>
      <c r="BX781">
        <v>1</v>
      </c>
      <c r="BY781">
        <v>0</v>
      </c>
      <c r="BZ781" t="s">
        <v>1194</v>
      </c>
      <c r="CA781" t="s">
        <v>1194</v>
      </c>
      <c r="CB781" t="s">
        <v>1194</v>
      </c>
    </row>
    <row r="782" spans="1:80" x14ac:dyDescent="0.25">
      <c r="A782">
        <v>781</v>
      </c>
      <c r="B782" t="s">
        <v>2795</v>
      </c>
      <c r="C782" s="1">
        <v>44831</v>
      </c>
      <c r="D782">
        <v>12</v>
      </c>
      <c r="E782" t="s">
        <v>5</v>
      </c>
      <c r="F782" t="s">
        <v>1310</v>
      </c>
      <c r="G782">
        <v>1</v>
      </c>
      <c r="H782" s="3">
        <v>2335050</v>
      </c>
      <c r="I782" s="3">
        <v>387010</v>
      </c>
      <c r="J782" s="3">
        <v>967525</v>
      </c>
      <c r="K782" s="3">
        <v>467010</v>
      </c>
      <c r="L782" t="s">
        <v>1191</v>
      </c>
      <c r="M782">
        <v>907371</v>
      </c>
      <c r="N782" t="s">
        <v>1579</v>
      </c>
      <c r="P782" t="s">
        <v>1931</v>
      </c>
      <c r="Q782" t="s">
        <v>1260</v>
      </c>
      <c r="R782">
        <v>45040</v>
      </c>
      <c r="S782" t="s">
        <v>1761</v>
      </c>
      <c r="T782" t="s">
        <v>965</v>
      </c>
      <c r="U782">
        <v>0</v>
      </c>
      <c r="V782">
        <v>25</v>
      </c>
      <c r="W782" t="s">
        <v>1194</v>
      </c>
      <c r="X782" t="s">
        <v>973</v>
      </c>
      <c r="Y782">
        <v>10000</v>
      </c>
      <c r="Z782" s="2" t="s">
        <v>1194</v>
      </c>
      <c r="AA782" s="2">
        <v>1</v>
      </c>
      <c r="AB782">
        <v>0.01</v>
      </c>
      <c r="AC782" t="s">
        <v>1194</v>
      </c>
      <c r="AD782" t="s">
        <v>1279</v>
      </c>
      <c r="AE782">
        <v>2</v>
      </c>
      <c r="AF782" t="s">
        <v>1290</v>
      </c>
      <c r="AG782">
        <v>0</v>
      </c>
      <c r="AH782">
        <v>0</v>
      </c>
      <c r="AI782">
        <v>0</v>
      </c>
      <c r="AJ782">
        <v>2014</v>
      </c>
      <c r="AK782" t="s">
        <v>1194</v>
      </c>
      <c r="AL782" t="s">
        <v>1194</v>
      </c>
      <c r="AM782" s="4" t="s">
        <v>1304</v>
      </c>
      <c r="AN782">
        <v>1</v>
      </c>
      <c r="AO782" t="s">
        <v>1316</v>
      </c>
      <c r="AP782">
        <f t="shared" si="24"/>
        <v>0</v>
      </c>
      <c r="AQ782">
        <v>0</v>
      </c>
      <c r="AR782" t="s">
        <v>1993</v>
      </c>
      <c r="AS782" t="s">
        <v>1995</v>
      </c>
      <c r="AT782" t="s">
        <v>1995</v>
      </c>
      <c r="AU782" t="s">
        <v>1996</v>
      </c>
      <c r="AV782" t="s">
        <v>1996</v>
      </c>
      <c r="AW782" t="s">
        <v>1996</v>
      </c>
      <c r="AX782" t="s">
        <v>1194</v>
      </c>
      <c r="AY782" t="s">
        <v>1996</v>
      </c>
      <c r="AZ782">
        <v>6654</v>
      </c>
      <c r="BA782" t="s">
        <v>1194</v>
      </c>
      <c r="BB782" t="s">
        <v>1194</v>
      </c>
      <c r="BC782" s="3">
        <v>0</v>
      </c>
      <c r="BD782" s="3">
        <v>0</v>
      </c>
      <c r="BE782" s="3">
        <v>0</v>
      </c>
      <c r="BF782" s="3">
        <v>0</v>
      </c>
      <c r="BG782" s="3">
        <v>210</v>
      </c>
      <c r="BH782" s="3">
        <v>0</v>
      </c>
      <c r="BI782" s="3">
        <v>0</v>
      </c>
      <c r="BJ782" s="3">
        <v>6041.01</v>
      </c>
      <c r="BK782" s="3">
        <v>401</v>
      </c>
      <c r="BL782" s="3">
        <v>6442.01</v>
      </c>
      <c r="BM782" s="2">
        <f t="shared" ca="1" si="25"/>
        <v>4</v>
      </c>
      <c r="BN782" s="3">
        <v>1000000</v>
      </c>
      <c r="BO782" s="3">
        <v>50000</v>
      </c>
      <c r="BP782" s="3">
        <v>50000</v>
      </c>
      <c r="BQ782" s="3">
        <v>1000000</v>
      </c>
      <c r="BR782" s="3">
        <v>100000</v>
      </c>
      <c r="BS782">
        <v>1000000</v>
      </c>
      <c r="BT782">
        <v>0</v>
      </c>
      <c r="BU782">
        <v>0</v>
      </c>
      <c r="BV782">
        <v>1</v>
      </c>
      <c r="BW782">
        <v>0</v>
      </c>
      <c r="BX782">
        <v>0</v>
      </c>
      <c r="BY782">
        <v>0</v>
      </c>
      <c r="BZ782" t="s">
        <v>2958</v>
      </c>
      <c r="CA782" t="s">
        <v>1194</v>
      </c>
      <c r="CB782" t="s">
        <v>2949</v>
      </c>
    </row>
    <row r="783" spans="1:80" x14ac:dyDescent="0.25">
      <c r="A783">
        <v>782</v>
      </c>
      <c r="B783" t="s">
        <v>2796</v>
      </c>
      <c r="C783" s="1">
        <v>44787</v>
      </c>
      <c r="D783">
        <v>6</v>
      </c>
      <c r="E783" t="s">
        <v>4</v>
      </c>
      <c r="F783" t="s">
        <v>1310</v>
      </c>
      <c r="G783">
        <v>0</v>
      </c>
      <c r="H783" s="3">
        <v>1800000</v>
      </c>
      <c r="I783" s="3">
        <v>351600</v>
      </c>
      <c r="J783" s="3">
        <v>879000</v>
      </c>
      <c r="K783" s="3">
        <v>0</v>
      </c>
      <c r="L783" t="s">
        <v>1191</v>
      </c>
      <c r="M783">
        <v>1300085</v>
      </c>
      <c r="N783" t="s">
        <v>1580</v>
      </c>
      <c r="P783" t="s">
        <v>1826</v>
      </c>
      <c r="Q783" t="s">
        <v>1253</v>
      </c>
      <c r="R783">
        <v>55424</v>
      </c>
      <c r="S783" t="s">
        <v>1714</v>
      </c>
      <c r="T783" t="s">
        <v>965</v>
      </c>
      <c r="U783">
        <v>0</v>
      </c>
      <c r="V783">
        <v>1</v>
      </c>
      <c r="W783" t="s">
        <v>1194</v>
      </c>
      <c r="X783" t="s">
        <v>973</v>
      </c>
      <c r="Y783">
        <v>10000</v>
      </c>
      <c r="Z783" s="2">
        <v>2</v>
      </c>
      <c r="AA783" s="2">
        <v>1</v>
      </c>
      <c r="AB783">
        <v>0.01</v>
      </c>
      <c r="AC783">
        <v>732</v>
      </c>
      <c r="AD783" t="s">
        <v>1279</v>
      </c>
      <c r="AE783">
        <v>3</v>
      </c>
      <c r="AF783" t="s">
        <v>1290</v>
      </c>
      <c r="AG783">
        <v>0</v>
      </c>
      <c r="AH783">
        <v>0</v>
      </c>
      <c r="AI783">
        <v>0</v>
      </c>
      <c r="AJ783">
        <v>1942</v>
      </c>
      <c r="AK783">
        <v>2005</v>
      </c>
      <c r="AL783">
        <v>2021</v>
      </c>
      <c r="AM783" s="4" t="s">
        <v>1305</v>
      </c>
      <c r="AN783">
        <v>1</v>
      </c>
      <c r="AO783" t="s">
        <v>1317</v>
      </c>
      <c r="AP783">
        <f t="shared" si="24"/>
        <v>0</v>
      </c>
      <c r="AQ783">
        <v>1</v>
      </c>
      <c r="AR783" t="s">
        <v>1992</v>
      </c>
      <c r="AS783" t="s">
        <v>1995</v>
      </c>
      <c r="AT783" t="s">
        <v>1996</v>
      </c>
      <c r="AU783" t="s">
        <v>1995</v>
      </c>
      <c r="AV783" t="s">
        <v>1996</v>
      </c>
      <c r="AW783" t="s">
        <v>1995</v>
      </c>
      <c r="AX783" t="s">
        <v>1194</v>
      </c>
      <c r="AY783" t="s">
        <v>1996</v>
      </c>
      <c r="AZ783">
        <v>3484</v>
      </c>
      <c r="BA783" t="s">
        <v>1194</v>
      </c>
      <c r="BB783" t="s">
        <v>1194</v>
      </c>
      <c r="BC783" s="3">
        <v>0</v>
      </c>
      <c r="BD783" s="3">
        <v>0</v>
      </c>
      <c r="BE783" s="3">
        <v>0</v>
      </c>
      <c r="BF783" s="3">
        <v>0</v>
      </c>
      <c r="BG783" s="3">
        <v>210</v>
      </c>
      <c r="BH783" s="3">
        <v>0</v>
      </c>
      <c r="BI783" s="3">
        <v>0</v>
      </c>
      <c r="BJ783" s="3">
        <v>8914.67</v>
      </c>
      <c r="BK783" s="3">
        <v>285</v>
      </c>
      <c r="BL783" s="3">
        <v>9199.67</v>
      </c>
      <c r="BM783" s="2">
        <f t="shared" ca="1" si="25"/>
        <v>1</v>
      </c>
      <c r="BN783" s="3">
        <v>100000</v>
      </c>
      <c r="BO783" s="3">
        <v>1000000</v>
      </c>
      <c r="BP783" s="3">
        <v>200000</v>
      </c>
      <c r="BQ783" s="3">
        <v>50000</v>
      </c>
      <c r="BR783" s="3">
        <v>50000</v>
      </c>
      <c r="BS783">
        <v>2000000</v>
      </c>
      <c r="BT783">
        <v>0</v>
      </c>
      <c r="BU783">
        <v>0</v>
      </c>
      <c r="BV783">
        <v>1</v>
      </c>
      <c r="BW783">
        <v>0</v>
      </c>
      <c r="BX783">
        <v>0</v>
      </c>
      <c r="BY783">
        <v>0</v>
      </c>
      <c r="BZ783" t="s">
        <v>2947</v>
      </c>
      <c r="CA783" t="s">
        <v>1194</v>
      </c>
      <c r="CB783" t="s">
        <v>2945</v>
      </c>
    </row>
    <row r="784" spans="1:80" x14ac:dyDescent="0.25">
      <c r="A784">
        <v>783</v>
      </c>
      <c r="B784" t="s">
        <v>2797</v>
      </c>
      <c r="C784" s="1">
        <v>44865</v>
      </c>
      <c r="D784">
        <v>12</v>
      </c>
      <c r="E784" t="s">
        <v>4</v>
      </c>
      <c r="F784" t="s">
        <v>1311</v>
      </c>
      <c r="G784">
        <v>0</v>
      </c>
      <c r="H784" s="3">
        <v>3921330</v>
      </c>
      <c r="I784" s="3">
        <v>242639</v>
      </c>
      <c r="J784" s="3">
        <v>574975</v>
      </c>
      <c r="K784" s="3">
        <v>0</v>
      </c>
      <c r="L784" t="s">
        <v>1191</v>
      </c>
      <c r="M784">
        <v>1218970</v>
      </c>
      <c r="N784" t="s">
        <v>1581</v>
      </c>
      <c r="P784" t="s">
        <v>1765</v>
      </c>
      <c r="Q784" t="s">
        <v>1240</v>
      </c>
      <c r="R784">
        <v>6880</v>
      </c>
      <c r="S784" t="s">
        <v>1706</v>
      </c>
      <c r="T784" t="s">
        <v>972</v>
      </c>
      <c r="U784">
        <v>0</v>
      </c>
      <c r="V784">
        <v>53</v>
      </c>
      <c r="W784" t="s">
        <v>1194</v>
      </c>
      <c r="X784" t="s">
        <v>973</v>
      </c>
      <c r="Y784">
        <v>10000</v>
      </c>
      <c r="Z784" s="2" t="s">
        <v>1194</v>
      </c>
      <c r="AA784" s="2" t="s">
        <v>1238</v>
      </c>
      <c r="AB784" t="s">
        <v>1238</v>
      </c>
      <c r="AC784">
        <v>920</v>
      </c>
      <c r="AD784" t="s">
        <v>1279</v>
      </c>
      <c r="AE784">
        <v>3</v>
      </c>
      <c r="AF784" t="s">
        <v>1290</v>
      </c>
      <c r="AG784">
        <v>0</v>
      </c>
      <c r="AH784">
        <v>0</v>
      </c>
      <c r="AI784">
        <v>0</v>
      </c>
      <c r="AJ784">
        <v>1971</v>
      </c>
      <c r="AK784" t="s">
        <v>1194</v>
      </c>
      <c r="AL784" t="s">
        <v>1194</v>
      </c>
      <c r="AM784" s="4" t="s">
        <v>1238</v>
      </c>
      <c r="AN784">
        <v>0</v>
      </c>
      <c r="AO784" t="s">
        <v>1315</v>
      </c>
      <c r="AP784">
        <f t="shared" si="24"/>
        <v>0</v>
      </c>
      <c r="AQ784">
        <v>0</v>
      </c>
      <c r="AR784" t="s">
        <v>1993</v>
      </c>
      <c r="AS784" t="s">
        <v>1996</v>
      </c>
      <c r="AT784" t="s">
        <v>1995</v>
      </c>
      <c r="AU784" t="s">
        <v>1996</v>
      </c>
      <c r="AV784" t="s">
        <v>1995</v>
      </c>
      <c r="AW784" t="s">
        <v>1996</v>
      </c>
      <c r="AX784" t="s">
        <v>2003</v>
      </c>
      <c r="AY784" t="s">
        <v>1996</v>
      </c>
      <c r="AZ784">
        <v>4799</v>
      </c>
      <c r="BA784" t="s">
        <v>1194</v>
      </c>
      <c r="BB784" t="s">
        <v>1194</v>
      </c>
      <c r="BC784" s="3">
        <v>0</v>
      </c>
      <c r="BD784" s="3">
        <v>458.99</v>
      </c>
      <c r="BE784" s="3">
        <v>0</v>
      </c>
      <c r="BF784" s="3">
        <v>0</v>
      </c>
      <c r="BG784" s="3">
        <v>115</v>
      </c>
      <c r="BH784" s="3">
        <v>0</v>
      </c>
      <c r="BI784" s="3">
        <v>0</v>
      </c>
      <c r="BJ784" s="3">
        <v>11669</v>
      </c>
      <c r="BK784" s="3">
        <v>-10</v>
      </c>
      <c r="BL784" s="3">
        <v>11659</v>
      </c>
      <c r="BM784" s="2">
        <f t="shared" ca="1" si="25"/>
        <v>4</v>
      </c>
      <c r="BN784" s="3">
        <v>100000</v>
      </c>
      <c r="BO784" s="3">
        <v>50000</v>
      </c>
      <c r="BP784" s="3">
        <v>50000</v>
      </c>
      <c r="BQ784" s="3">
        <v>25000</v>
      </c>
      <c r="BR784" s="3">
        <v>50000</v>
      </c>
      <c r="BS784">
        <v>250000</v>
      </c>
      <c r="BT784">
        <v>0</v>
      </c>
      <c r="BU784">
        <v>0</v>
      </c>
      <c r="BV784">
        <v>0</v>
      </c>
      <c r="BW784">
        <v>1</v>
      </c>
      <c r="BX784">
        <v>1</v>
      </c>
      <c r="BY784">
        <v>0</v>
      </c>
      <c r="BZ784" t="s">
        <v>2949</v>
      </c>
      <c r="CA784" t="s">
        <v>1194</v>
      </c>
      <c r="CB784" t="s">
        <v>2949</v>
      </c>
    </row>
    <row r="785" spans="1:80" x14ac:dyDescent="0.25">
      <c r="A785">
        <v>784</v>
      </c>
      <c r="B785" t="s">
        <v>2798</v>
      </c>
      <c r="C785" s="1">
        <v>44651</v>
      </c>
      <c r="D785">
        <v>15</v>
      </c>
      <c r="E785" t="s">
        <v>4</v>
      </c>
      <c r="F785" t="s">
        <v>1311</v>
      </c>
      <c r="G785">
        <v>0</v>
      </c>
      <c r="H785" s="3">
        <v>0</v>
      </c>
      <c r="I785" s="3">
        <v>0</v>
      </c>
      <c r="J785" s="3">
        <v>278256</v>
      </c>
      <c r="K785" s="3">
        <v>55651.199999999997</v>
      </c>
      <c r="L785" t="s">
        <v>1192</v>
      </c>
      <c r="M785">
        <v>1442785</v>
      </c>
      <c r="N785" t="s">
        <v>1582</v>
      </c>
      <c r="P785" t="s">
        <v>1733</v>
      </c>
      <c r="Q785" t="s">
        <v>1246</v>
      </c>
      <c r="R785">
        <v>60611</v>
      </c>
      <c r="S785" t="s">
        <v>1734</v>
      </c>
      <c r="T785" t="s">
        <v>965</v>
      </c>
      <c r="U785">
        <v>0</v>
      </c>
      <c r="V785">
        <v>7</v>
      </c>
      <c r="W785" t="s">
        <v>1194</v>
      </c>
      <c r="X785" t="s">
        <v>973</v>
      </c>
      <c r="Y785">
        <v>10000</v>
      </c>
      <c r="Z785" s="2" t="s">
        <v>1194</v>
      </c>
      <c r="AA785" s="2">
        <v>0</v>
      </c>
      <c r="AB785" t="s">
        <v>1238</v>
      </c>
      <c r="AC785">
        <v>819</v>
      </c>
      <c r="AD785" t="s">
        <v>1281</v>
      </c>
      <c r="AE785">
        <v>1</v>
      </c>
      <c r="AF785" t="s">
        <v>1290</v>
      </c>
      <c r="AG785">
        <v>0</v>
      </c>
      <c r="AH785">
        <v>0</v>
      </c>
      <c r="AI785">
        <v>0</v>
      </c>
      <c r="AJ785">
        <v>1951</v>
      </c>
      <c r="AK785" t="s">
        <v>1194</v>
      </c>
      <c r="AL785" t="s">
        <v>1194</v>
      </c>
      <c r="AM785" s="4" t="s">
        <v>1238</v>
      </c>
      <c r="AN785">
        <v>1</v>
      </c>
      <c r="AO785" t="s">
        <v>1315</v>
      </c>
      <c r="AP785">
        <f t="shared" si="24"/>
        <v>0</v>
      </c>
      <c r="AQ785">
        <v>0</v>
      </c>
      <c r="AR785" t="s">
        <v>1993</v>
      </c>
      <c r="AS785" t="s">
        <v>1996</v>
      </c>
      <c r="AT785" t="s">
        <v>1996</v>
      </c>
      <c r="AU785" t="s">
        <v>1996</v>
      </c>
      <c r="AV785" t="s">
        <v>1996</v>
      </c>
      <c r="AW785" t="s">
        <v>1995</v>
      </c>
      <c r="AX785" t="s">
        <v>1194</v>
      </c>
      <c r="AY785" t="s">
        <v>1996</v>
      </c>
      <c r="AZ785">
        <v>785</v>
      </c>
      <c r="BA785" t="s">
        <v>1194</v>
      </c>
      <c r="BB785" t="s">
        <v>1194</v>
      </c>
      <c r="BC785" s="3">
        <v>0</v>
      </c>
      <c r="BD785" s="3">
        <v>0</v>
      </c>
      <c r="BE785" s="3">
        <v>0</v>
      </c>
      <c r="BF785" s="3">
        <v>0</v>
      </c>
      <c r="BG785" s="3">
        <v>175</v>
      </c>
      <c r="BH785" s="3">
        <v>0</v>
      </c>
      <c r="BI785" s="3">
        <v>0</v>
      </c>
      <c r="BJ785" s="3">
        <v>1006.96</v>
      </c>
      <c r="BK785" s="3">
        <v>100</v>
      </c>
      <c r="BL785" s="3">
        <v>1106.96</v>
      </c>
      <c r="BM785" s="2">
        <f t="shared" ca="1" si="25"/>
        <v>4</v>
      </c>
      <c r="BN785" s="3">
        <v>2000000</v>
      </c>
      <c r="BO785" s="3">
        <v>250000</v>
      </c>
      <c r="BP785" s="3">
        <v>100000</v>
      </c>
      <c r="BQ785" s="3">
        <v>25000</v>
      </c>
      <c r="BR785" s="3">
        <v>50000</v>
      </c>
      <c r="BS785">
        <v>500000</v>
      </c>
      <c r="BT785">
        <v>0</v>
      </c>
      <c r="BU785">
        <v>0</v>
      </c>
      <c r="BV785">
        <v>0</v>
      </c>
      <c r="BW785">
        <v>1</v>
      </c>
      <c r="BX785">
        <v>1</v>
      </c>
      <c r="BY785">
        <v>0</v>
      </c>
      <c r="BZ785" t="s">
        <v>1194</v>
      </c>
      <c r="CA785" t="s">
        <v>1194</v>
      </c>
      <c r="CB785" t="s">
        <v>1194</v>
      </c>
    </row>
    <row r="786" spans="1:80" x14ac:dyDescent="0.25">
      <c r="A786">
        <v>785</v>
      </c>
      <c r="B786" t="s">
        <v>2799</v>
      </c>
      <c r="C786" s="1">
        <v>44660</v>
      </c>
      <c r="D786">
        <v>12</v>
      </c>
      <c r="E786" t="s">
        <v>4</v>
      </c>
      <c r="F786" t="s">
        <v>1311</v>
      </c>
      <c r="G786">
        <v>0</v>
      </c>
      <c r="H786" s="3">
        <v>3292000</v>
      </c>
      <c r="I786" s="3">
        <v>597000</v>
      </c>
      <c r="J786" s="3">
        <v>272500</v>
      </c>
      <c r="K786" s="3">
        <v>0</v>
      </c>
      <c r="L786" t="s">
        <v>1191</v>
      </c>
      <c r="M786">
        <v>1667612</v>
      </c>
      <c r="N786" t="s">
        <v>1583</v>
      </c>
      <c r="P786" t="s">
        <v>1704</v>
      </c>
      <c r="Q786" t="s">
        <v>1237</v>
      </c>
      <c r="R786">
        <v>85262</v>
      </c>
      <c r="S786" t="s">
        <v>1705</v>
      </c>
      <c r="T786" t="s">
        <v>965</v>
      </c>
      <c r="U786">
        <v>0</v>
      </c>
      <c r="V786">
        <v>3</v>
      </c>
      <c r="W786" t="s">
        <v>1194</v>
      </c>
      <c r="X786" t="s">
        <v>973</v>
      </c>
      <c r="Y786">
        <v>10000</v>
      </c>
      <c r="Z786" s="2" t="s">
        <v>1194</v>
      </c>
      <c r="AA786" s="2" t="s">
        <v>1238</v>
      </c>
      <c r="AB786" t="s">
        <v>1238</v>
      </c>
      <c r="AC786">
        <v>782</v>
      </c>
      <c r="AD786" t="s">
        <v>1279</v>
      </c>
      <c r="AE786">
        <v>2</v>
      </c>
      <c r="AF786" t="s">
        <v>1294</v>
      </c>
      <c r="AG786">
        <v>0</v>
      </c>
      <c r="AH786">
        <v>0</v>
      </c>
      <c r="AI786">
        <v>0</v>
      </c>
      <c r="AJ786">
        <v>1994</v>
      </c>
      <c r="AK786">
        <v>2006</v>
      </c>
      <c r="AL786">
        <v>2006</v>
      </c>
      <c r="AM786" s="4" t="s">
        <v>1238</v>
      </c>
      <c r="AN786">
        <v>1</v>
      </c>
      <c r="AO786" t="s">
        <v>1316</v>
      </c>
      <c r="AP786">
        <f t="shared" si="24"/>
        <v>0</v>
      </c>
      <c r="AQ786">
        <v>1</v>
      </c>
      <c r="AR786" t="s">
        <v>1992</v>
      </c>
      <c r="AS786" t="s">
        <v>1996</v>
      </c>
      <c r="AT786" t="s">
        <v>1996</v>
      </c>
      <c r="AU786" t="s">
        <v>1995</v>
      </c>
      <c r="AV786" t="s">
        <v>1996</v>
      </c>
      <c r="AW786" t="s">
        <v>1995</v>
      </c>
      <c r="AX786" t="s">
        <v>1194</v>
      </c>
      <c r="AY786" t="s">
        <v>1996</v>
      </c>
      <c r="AZ786">
        <v>4276</v>
      </c>
      <c r="BA786">
        <v>3</v>
      </c>
      <c r="BB786" t="s">
        <v>2016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0</v>
      </c>
      <c r="BI786" s="3">
        <v>0</v>
      </c>
      <c r="BJ786" s="3">
        <v>6489.7</v>
      </c>
      <c r="BK786" s="3">
        <v>-10</v>
      </c>
      <c r="BL786" s="3">
        <v>6480</v>
      </c>
      <c r="BM786" s="2">
        <f t="shared" ca="1" si="25"/>
        <v>1</v>
      </c>
      <c r="BN786" s="3" t="s">
        <v>2916</v>
      </c>
      <c r="BO786" s="3">
        <v>100000</v>
      </c>
      <c r="BP786" s="3">
        <v>100000</v>
      </c>
      <c r="BQ786" s="3">
        <v>250000</v>
      </c>
      <c r="BR786" s="3">
        <v>2000000</v>
      </c>
      <c r="BS786">
        <v>500000</v>
      </c>
      <c r="BT786">
        <v>0</v>
      </c>
      <c r="BU786">
        <v>0</v>
      </c>
      <c r="BV786">
        <v>0</v>
      </c>
      <c r="BW786">
        <v>1</v>
      </c>
      <c r="BX786">
        <v>1</v>
      </c>
      <c r="BY786">
        <v>0</v>
      </c>
      <c r="BZ786" t="s">
        <v>2949</v>
      </c>
      <c r="CA786" t="s">
        <v>1194</v>
      </c>
      <c r="CB786" t="s">
        <v>2941</v>
      </c>
    </row>
    <row r="787" spans="1:80" x14ac:dyDescent="0.25">
      <c r="A787">
        <v>786</v>
      </c>
      <c r="B787" t="s">
        <v>2800</v>
      </c>
      <c r="C787" s="1">
        <v>44828</v>
      </c>
      <c r="D787">
        <v>9</v>
      </c>
      <c r="E787" t="s">
        <v>4</v>
      </c>
      <c r="F787" t="s">
        <v>1310</v>
      </c>
      <c r="G787">
        <v>1</v>
      </c>
      <c r="H787" s="3">
        <v>11065969</v>
      </c>
      <c r="I787" s="3">
        <v>819914</v>
      </c>
      <c r="J787" s="3">
        <v>114995</v>
      </c>
      <c r="K787" s="3">
        <v>0</v>
      </c>
      <c r="L787" t="s">
        <v>1191</v>
      </c>
      <c r="M787">
        <v>1324060</v>
      </c>
      <c r="N787" t="s">
        <v>1584</v>
      </c>
      <c r="P787" t="s">
        <v>1813</v>
      </c>
      <c r="Q787" t="s">
        <v>1240</v>
      </c>
      <c r="R787">
        <v>6830</v>
      </c>
      <c r="S787" t="s">
        <v>1706</v>
      </c>
      <c r="T787" t="s">
        <v>972</v>
      </c>
      <c r="U787">
        <v>0</v>
      </c>
      <c r="V787">
        <v>53</v>
      </c>
      <c r="W787" t="s">
        <v>1194</v>
      </c>
      <c r="X787" t="s">
        <v>973</v>
      </c>
      <c r="Y787">
        <v>50000</v>
      </c>
      <c r="Z787" s="2">
        <v>1.9999965660000001</v>
      </c>
      <c r="AA787" s="2" t="s">
        <v>1238</v>
      </c>
      <c r="AB787" t="s">
        <v>1238</v>
      </c>
      <c r="AC787">
        <v>677</v>
      </c>
      <c r="AD787" t="s">
        <v>1279</v>
      </c>
      <c r="AE787">
        <v>3</v>
      </c>
      <c r="AF787" t="s">
        <v>1290</v>
      </c>
      <c r="AG787">
        <v>0</v>
      </c>
      <c r="AH787">
        <v>0</v>
      </c>
      <c r="AI787">
        <v>0</v>
      </c>
      <c r="AJ787">
        <v>2007</v>
      </c>
      <c r="AK787">
        <v>2018</v>
      </c>
      <c r="AL787">
        <v>2007</v>
      </c>
      <c r="AM787" s="4" t="s">
        <v>1304</v>
      </c>
      <c r="AN787">
        <v>0</v>
      </c>
      <c r="AO787" t="s">
        <v>1316</v>
      </c>
      <c r="AP787">
        <f t="shared" si="24"/>
        <v>0</v>
      </c>
      <c r="AQ787">
        <v>0</v>
      </c>
      <c r="AR787" t="s">
        <v>1993</v>
      </c>
      <c r="AS787" t="s">
        <v>1996</v>
      </c>
      <c r="AT787" t="s">
        <v>1995</v>
      </c>
      <c r="AU787" t="s">
        <v>1996</v>
      </c>
      <c r="AV787" t="s">
        <v>1995</v>
      </c>
      <c r="AW787" t="s">
        <v>1995</v>
      </c>
      <c r="AX787" t="s">
        <v>2002</v>
      </c>
      <c r="AY787" t="s">
        <v>1995</v>
      </c>
      <c r="AZ787">
        <v>10904</v>
      </c>
      <c r="BA787" t="s">
        <v>1194</v>
      </c>
      <c r="BB787" t="s">
        <v>1194</v>
      </c>
      <c r="BC787" s="3">
        <v>0</v>
      </c>
      <c r="BD787" s="3">
        <v>976.23</v>
      </c>
      <c r="BE787" s="3">
        <v>0</v>
      </c>
      <c r="BF787" s="3">
        <v>0</v>
      </c>
      <c r="BG787" s="3">
        <v>160</v>
      </c>
      <c r="BH787" s="3">
        <v>0</v>
      </c>
      <c r="BI787" s="3">
        <v>0</v>
      </c>
      <c r="BJ787" s="3">
        <v>44349</v>
      </c>
      <c r="BK787" s="3">
        <v>240</v>
      </c>
      <c r="BL787" s="3">
        <v>44589</v>
      </c>
      <c r="BM787" s="2">
        <f t="shared" ca="1" si="25"/>
        <v>3</v>
      </c>
      <c r="BN787" s="3">
        <v>100000</v>
      </c>
      <c r="BO787" s="3">
        <v>25000</v>
      </c>
      <c r="BP787" s="3">
        <v>100000</v>
      </c>
      <c r="BQ787" s="3">
        <v>100000</v>
      </c>
      <c r="BR787" s="3">
        <v>50000</v>
      </c>
      <c r="BS787">
        <v>1000000</v>
      </c>
      <c r="BT787">
        <v>0</v>
      </c>
      <c r="BU787">
        <v>0</v>
      </c>
      <c r="BV787">
        <v>0</v>
      </c>
      <c r="BW787">
        <v>1</v>
      </c>
      <c r="BX787">
        <v>0</v>
      </c>
      <c r="BY787">
        <v>0</v>
      </c>
      <c r="BZ787" t="s">
        <v>2949</v>
      </c>
      <c r="CA787" t="s">
        <v>1194</v>
      </c>
      <c r="CB787" t="s">
        <v>2949</v>
      </c>
    </row>
    <row r="788" spans="1:80" x14ac:dyDescent="0.25">
      <c r="A788">
        <v>787</v>
      </c>
      <c r="B788" t="s">
        <v>2801</v>
      </c>
      <c r="C788" s="1">
        <v>44692</v>
      </c>
      <c r="D788">
        <v>12</v>
      </c>
      <c r="E788" t="s">
        <v>6</v>
      </c>
      <c r="F788" t="s">
        <v>1310</v>
      </c>
      <c r="G788">
        <v>0</v>
      </c>
      <c r="H788" s="3">
        <v>3900000</v>
      </c>
      <c r="I788" s="3">
        <v>390000</v>
      </c>
      <c r="J788" s="3">
        <v>1950000</v>
      </c>
      <c r="K788" s="3">
        <v>780000</v>
      </c>
      <c r="L788" t="s">
        <v>1191</v>
      </c>
      <c r="M788">
        <v>1550710</v>
      </c>
      <c r="N788" t="s">
        <v>1585</v>
      </c>
      <c r="P788" t="s">
        <v>1932</v>
      </c>
      <c r="Q788" t="s">
        <v>1243</v>
      </c>
      <c r="R788">
        <v>96750</v>
      </c>
      <c r="S788" t="s">
        <v>1804</v>
      </c>
      <c r="T788" t="s">
        <v>1988</v>
      </c>
      <c r="U788">
        <v>0</v>
      </c>
      <c r="V788">
        <v>1</v>
      </c>
      <c r="W788" t="s">
        <v>1194</v>
      </c>
      <c r="X788" t="s">
        <v>973</v>
      </c>
      <c r="Y788">
        <v>10000</v>
      </c>
      <c r="Z788" s="2">
        <v>2</v>
      </c>
      <c r="AA788" s="2" t="s">
        <v>1238</v>
      </c>
      <c r="AB788" t="s">
        <v>1238</v>
      </c>
      <c r="AC788" t="s">
        <v>1194</v>
      </c>
      <c r="AD788" t="s">
        <v>1279</v>
      </c>
      <c r="AE788">
        <v>5</v>
      </c>
      <c r="AF788" t="s">
        <v>1290</v>
      </c>
      <c r="AG788">
        <v>0</v>
      </c>
      <c r="AH788">
        <v>0</v>
      </c>
      <c r="AI788">
        <v>0</v>
      </c>
      <c r="AJ788">
        <v>2022</v>
      </c>
      <c r="AK788" t="s">
        <v>1194</v>
      </c>
      <c r="AL788" t="s">
        <v>1194</v>
      </c>
      <c r="AM788" s="4" t="s">
        <v>1304</v>
      </c>
      <c r="AN788">
        <v>0</v>
      </c>
      <c r="AO788" t="s">
        <v>1317</v>
      </c>
      <c r="AP788">
        <f t="shared" si="24"/>
        <v>0</v>
      </c>
      <c r="AQ788">
        <v>1</v>
      </c>
      <c r="AR788" t="s">
        <v>1992</v>
      </c>
      <c r="AS788" t="s">
        <v>1996</v>
      </c>
      <c r="AT788" t="s">
        <v>1996</v>
      </c>
      <c r="AU788" t="s">
        <v>1995</v>
      </c>
      <c r="AV788" t="s">
        <v>1996</v>
      </c>
      <c r="AW788" t="s">
        <v>1995</v>
      </c>
      <c r="AX788" t="s">
        <v>2003</v>
      </c>
      <c r="AY788" t="s">
        <v>1996</v>
      </c>
      <c r="AZ788">
        <v>3383</v>
      </c>
      <c r="BA788" t="s">
        <v>1194</v>
      </c>
      <c r="BB788" t="s">
        <v>1194</v>
      </c>
      <c r="BC788" s="3">
        <v>0</v>
      </c>
      <c r="BD788" s="3">
        <v>4161.3599999999997</v>
      </c>
      <c r="BE788" s="3">
        <v>0</v>
      </c>
      <c r="BF788" s="3">
        <v>0</v>
      </c>
      <c r="BG788" s="3">
        <v>210</v>
      </c>
      <c r="BH788" s="3">
        <v>0</v>
      </c>
      <c r="BI788" s="3">
        <v>0</v>
      </c>
      <c r="BJ788" s="3">
        <v>9439.92</v>
      </c>
      <c r="BK788" s="3">
        <v>786</v>
      </c>
      <c r="BL788" s="3">
        <v>10225.92</v>
      </c>
      <c r="BM788" s="2">
        <f t="shared" ca="1" si="25"/>
        <v>2</v>
      </c>
      <c r="BN788" s="3">
        <v>500000</v>
      </c>
      <c r="BO788" s="3">
        <v>20000</v>
      </c>
      <c r="BP788" s="3">
        <v>50000</v>
      </c>
      <c r="BQ788" s="3">
        <v>50000</v>
      </c>
      <c r="BR788" s="3">
        <v>250000</v>
      </c>
      <c r="BS788">
        <v>250000</v>
      </c>
      <c r="BT788">
        <v>0</v>
      </c>
      <c r="BU788">
        <v>0</v>
      </c>
      <c r="BV788">
        <v>1</v>
      </c>
      <c r="BW788">
        <v>0</v>
      </c>
      <c r="BX788">
        <v>0</v>
      </c>
      <c r="BY788">
        <v>0</v>
      </c>
      <c r="BZ788" t="s">
        <v>2963</v>
      </c>
      <c r="CA788" t="s">
        <v>1194</v>
      </c>
      <c r="CB788" t="s">
        <v>2941</v>
      </c>
    </row>
    <row r="789" spans="1:80" x14ac:dyDescent="0.25">
      <c r="A789">
        <v>788</v>
      </c>
      <c r="B789" t="s">
        <v>2802</v>
      </c>
      <c r="C789" s="1">
        <v>44883</v>
      </c>
      <c r="D789">
        <v>27</v>
      </c>
      <c r="E789" t="s">
        <v>4</v>
      </c>
      <c r="F789" t="s">
        <v>1311</v>
      </c>
      <c r="G789">
        <v>1</v>
      </c>
      <c r="H789" s="3">
        <v>5000000</v>
      </c>
      <c r="I789" s="3">
        <v>563373</v>
      </c>
      <c r="J789" s="3">
        <v>1500000</v>
      </c>
      <c r="K789" s="3">
        <v>0</v>
      </c>
      <c r="L789" t="s">
        <v>1191</v>
      </c>
      <c r="M789">
        <v>1342845</v>
      </c>
      <c r="N789" t="s">
        <v>1586</v>
      </c>
      <c r="P789" t="s">
        <v>1853</v>
      </c>
      <c r="Q789" t="s">
        <v>1239</v>
      </c>
      <c r="R789">
        <v>80424</v>
      </c>
      <c r="S789" t="s">
        <v>1854</v>
      </c>
      <c r="T789" t="s">
        <v>965</v>
      </c>
      <c r="U789">
        <v>0</v>
      </c>
      <c r="V789">
        <v>57</v>
      </c>
      <c r="W789" t="s">
        <v>1194</v>
      </c>
      <c r="X789" t="s">
        <v>973</v>
      </c>
      <c r="Y789">
        <v>10000</v>
      </c>
      <c r="Z789" s="2" t="s">
        <v>1194</v>
      </c>
      <c r="AA789" s="2">
        <v>1</v>
      </c>
      <c r="AB789" t="s">
        <v>1277</v>
      </c>
      <c r="AC789">
        <v>678</v>
      </c>
      <c r="AD789" t="s">
        <v>1279</v>
      </c>
      <c r="AE789">
        <v>2</v>
      </c>
      <c r="AF789" t="s">
        <v>1290</v>
      </c>
      <c r="AG789">
        <v>0</v>
      </c>
      <c r="AH789">
        <v>0</v>
      </c>
      <c r="AI789">
        <v>0</v>
      </c>
      <c r="AJ789">
        <v>2005</v>
      </c>
      <c r="AK789" t="s">
        <v>1194</v>
      </c>
      <c r="AL789" t="s">
        <v>1194</v>
      </c>
      <c r="AM789" s="4" t="s">
        <v>1238</v>
      </c>
      <c r="AN789">
        <v>1</v>
      </c>
      <c r="AO789" t="s">
        <v>1315</v>
      </c>
      <c r="AP789">
        <f t="shared" si="24"/>
        <v>0</v>
      </c>
      <c r="AQ789">
        <v>1</v>
      </c>
      <c r="AR789" t="s">
        <v>1992</v>
      </c>
      <c r="AS789" t="s">
        <v>1996</v>
      </c>
      <c r="AT789" t="s">
        <v>1995</v>
      </c>
      <c r="AU789" t="s">
        <v>1996</v>
      </c>
      <c r="AV789" t="s">
        <v>1995</v>
      </c>
      <c r="AW789" t="s">
        <v>1996</v>
      </c>
      <c r="AX789" t="s">
        <v>1194</v>
      </c>
      <c r="AY789" t="s">
        <v>1996</v>
      </c>
      <c r="AZ789">
        <v>5654</v>
      </c>
      <c r="BA789">
        <v>1</v>
      </c>
      <c r="BB789" t="s">
        <v>2017</v>
      </c>
      <c r="BC789" s="3">
        <v>0</v>
      </c>
      <c r="BD789" s="3">
        <v>0</v>
      </c>
      <c r="BE789" s="3">
        <v>0</v>
      </c>
      <c r="BF789" s="3">
        <v>5748.24</v>
      </c>
      <c r="BG789" s="3">
        <v>150</v>
      </c>
      <c r="BH789" s="3">
        <v>0</v>
      </c>
      <c r="BI789" s="3">
        <v>0</v>
      </c>
      <c r="BJ789" s="3">
        <v>25615.01</v>
      </c>
      <c r="BK789" s="3">
        <v>-15</v>
      </c>
      <c r="BL789" s="3">
        <v>25600.01</v>
      </c>
      <c r="BM789" s="2">
        <f t="shared" ca="1" si="25"/>
        <v>3</v>
      </c>
      <c r="BN789" s="3">
        <v>2000000</v>
      </c>
      <c r="BO789" s="3">
        <v>25000</v>
      </c>
      <c r="BP789" s="3">
        <v>50000</v>
      </c>
      <c r="BQ789" s="3">
        <v>50000</v>
      </c>
      <c r="BR789" s="3">
        <v>2000000</v>
      </c>
      <c r="BS789">
        <v>100000</v>
      </c>
      <c r="BT789">
        <v>0</v>
      </c>
      <c r="BU789">
        <v>0</v>
      </c>
      <c r="BV789">
        <v>0</v>
      </c>
      <c r="BW789">
        <v>1</v>
      </c>
      <c r="BX789">
        <v>1</v>
      </c>
      <c r="BY789">
        <v>0</v>
      </c>
      <c r="BZ789" t="s">
        <v>2958</v>
      </c>
      <c r="CA789" t="s">
        <v>1194</v>
      </c>
      <c r="CB789" t="s">
        <v>2949</v>
      </c>
    </row>
    <row r="790" spans="1:80" x14ac:dyDescent="0.25">
      <c r="A790">
        <v>789</v>
      </c>
      <c r="B790" t="s">
        <v>2803</v>
      </c>
      <c r="C790" s="1">
        <v>44884</v>
      </c>
      <c r="D790">
        <v>12</v>
      </c>
      <c r="E790" t="s">
        <v>4</v>
      </c>
      <c r="F790" t="s">
        <v>1311</v>
      </c>
      <c r="G790">
        <v>0</v>
      </c>
      <c r="H790" s="3">
        <v>5150250</v>
      </c>
      <c r="I790" s="3">
        <v>515025</v>
      </c>
      <c r="J790" s="3">
        <v>1144500</v>
      </c>
      <c r="K790" s="3">
        <v>1030050</v>
      </c>
      <c r="L790" t="s">
        <v>1191</v>
      </c>
      <c r="M790">
        <v>1577132</v>
      </c>
      <c r="N790" t="s">
        <v>1587</v>
      </c>
      <c r="P790" t="s">
        <v>1704</v>
      </c>
      <c r="Q790" t="s">
        <v>1237</v>
      </c>
      <c r="R790">
        <v>85262</v>
      </c>
      <c r="S790" t="s">
        <v>1705</v>
      </c>
      <c r="T790" t="s">
        <v>965</v>
      </c>
      <c r="U790">
        <v>0</v>
      </c>
      <c r="V790">
        <v>3</v>
      </c>
      <c r="W790" t="s">
        <v>1194</v>
      </c>
      <c r="X790" t="s">
        <v>973</v>
      </c>
      <c r="Y790">
        <v>5000</v>
      </c>
      <c r="Z790" s="2" t="s">
        <v>1194</v>
      </c>
      <c r="AA790" s="2" t="s">
        <v>1238</v>
      </c>
      <c r="AB790" t="s">
        <v>1238</v>
      </c>
      <c r="AC790">
        <v>928</v>
      </c>
      <c r="AD790" t="s">
        <v>1279</v>
      </c>
      <c r="AE790">
        <v>2</v>
      </c>
      <c r="AF790" t="s">
        <v>1290</v>
      </c>
      <c r="AG790">
        <v>1</v>
      </c>
      <c r="AH790">
        <v>0</v>
      </c>
      <c r="AI790">
        <v>1</v>
      </c>
      <c r="AJ790">
        <v>2014</v>
      </c>
      <c r="AK790" t="s">
        <v>1194</v>
      </c>
      <c r="AL790" t="s">
        <v>1194</v>
      </c>
      <c r="AM790" s="4" t="s">
        <v>1238</v>
      </c>
      <c r="AN790">
        <v>0</v>
      </c>
      <c r="AO790" t="s">
        <v>1315</v>
      </c>
      <c r="AP790">
        <f t="shared" si="24"/>
        <v>1</v>
      </c>
      <c r="AQ790">
        <v>0</v>
      </c>
      <c r="AR790" t="s">
        <v>1993</v>
      </c>
      <c r="AS790" t="s">
        <v>1995</v>
      </c>
      <c r="AT790" t="s">
        <v>1996</v>
      </c>
      <c r="AU790" t="s">
        <v>1995</v>
      </c>
      <c r="AV790" t="s">
        <v>1995</v>
      </c>
      <c r="AW790" t="s">
        <v>1996</v>
      </c>
      <c r="AX790" t="s">
        <v>1194</v>
      </c>
      <c r="AY790" t="s">
        <v>1996</v>
      </c>
      <c r="AZ790">
        <v>6387</v>
      </c>
      <c r="BA790" t="s">
        <v>1194</v>
      </c>
      <c r="BB790" t="s">
        <v>2016</v>
      </c>
      <c r="BC790" s="3">
        <v>0</v>
      </c>
      <c r="BD790" s="3">
        <v>0</v>
      </c>
      <c r="BE790" s="3">
        <v>0</v>
      </c>
      <c r="BF790" s="3">
        <v>0</v>
      </c>
      <c r="BG790" s="3">
        <v>175</v>
      </c>
      <c r="BH790" s="3">
        <v>0</v>
      </c>
      <c r="BI790" s="3">
        <v>0</v>
      </c>
      <c r="BJ790" s="3">
        <v>8294.24</v>
      </c>
      <c r="BK790" s="3">
        <v>341</v>
      </c>
      <c r="BL790" s="3">
        <v>8635</v>
      </c>
      <c r="BM790" s="2">
        <f t="shared" ca="1" si="25"/>
        <v>6</v>
      </c>
      <c r="BN790" s="3">
        <v>100000</v>
      </c>
      <c r="BO790" s="3">
        <v>500000</v>
      </c>
      <c r="BP790" s="3">
        <v>50000</v>
      </c>
      <c r="BQ790" s="3">
        <v>25000</v>
      </c>
      <c r="BR790" s="3">
        <v>500000</v>
      </c>
      <c r="BS790">
        <v>250000</v>
      </c>
      <c r="BT790">
        <v>0</v>
      </c>
      <c r="BU790">
        <v>0</v>
      </c>
      <c r="BV790">
        <v>0</v>
      </c>
      <c r="BW790">
        <v>1</v>
      </c>
      <c r="BX790">
        <v>1</v>
      </c>
      <c r="BY790">
        <v>0</v>
      </c>
      <c r="BZ790" t="s">
        <v>2949</v>
      </c>
      <c r="CA790" t="s">
        <v>1194</v>
      </c>
      <c r="CB790" t="s">
        <v>2952</v>
      </c>
    </row>
    <row r="791" spans="1:80" x14ac:dyDescent="0.25">
      <c r="A791">
        <v>790</v>
      </c>
      <c r="B791" t="s">
        <v>2804</v>
      </c>
      <c r="C791" s="1">
        <v>44880</v>
      </c>
      <c r="D791">
        <v>12</v>
      </c>
      <c r="E791" t="s">
        <v>4</v>
      </c>
      <c r="F791" t="s">
        <v>1311</v>
      </c>
      <c r="G791">
        <v>0</v>
      </c>
      <c r="H791" s="3">
        <v>4794124</v>
      </c>
      <c r="I791" s="3">
        <v>321255</v>
      </c>
      <c r="J791" s="3">
        <v>2409410</v>
      </c>
      <c r="K791" s="3">
        <v>0</v>
      </c>
      <c r="L791" t="s">
        <v>1191</v>
      </c>
      <c r="M791">
        <v>1352350</v>
      </c>
      <c r="N791" t="s">
        <v>1588</v>
      </c>
      <c r="P791" t="s">
        <v>1933</v>
      </c>
      <c r="Q791" t="s">
        <v>1246</v>
      </c>
      <c r="R791">
        <v>60521</v>
      </c>
      <c r="S791" t="s">
        <v>1726</v>
      </c>
      <c r="T791" t="s">
        <v>965</v>
      </c>
      <c r="U791">
        <v>0</v>
      </c>
      <c r="V791">
        <v>10</v>
      </c>
      <c r="W791" t="s">
        <v>1194</v>
      </c>
      <c r="X791" t="s">
        <v>973</v>
      </c>
      <c r="Y791">
        <v>10000</v>
      </c>
      <c r="Z791" s="2">
        <v>0.99999499400000003</v>
      </c>
      <c r="AA791" s="2">
        <v>0</v>
      </c>
      <c r="AB791" t="s">
        <v>1238</v>
      </c>
      <c r="AC791">
        <v>651</v>
      </c>
      <c r="AD791" t="s">
        <v>1284</v>
      </c>
      <c r="AE791">
        <v>3</v>
      </c>
      <c r="AF791" t="s">
        <v>1290</v>
      </c>
      <c r="AG791">
        <v>0</v>
      </c>
      <c r="AH791">
        <v>0</v>
      </c>
      <c r="AI791">
        <v>0</v>
      </c>
      <c r="AJ791">
        <v>2007</v>
      </c>
      <c r="AK791" t="s">
        <v>1194</v>
      </c>
      <c r="AL791" t="s">
        <v>1194</v>
      </c>
      <c r="AM791" s="4" t="s">
        <v>1238</v>
      </c>
      <c r="AN791">
        <v>0</v>
      </c>
      <c r="AO791" t="s">
        <v>1315</v>
      </c>
      <c r="AP791">
        <f t="shared" si="24"/>
        <v>0</v>
      </c>
      <c r="AQ791">
        <v>1</v>
      </c>
      <c r="AR791" t="s">
        <v>1992</v>
      </c>
      <c r="AS791" t="s">
        <v>1996</v>
      </c>
      <c r="AT791" t="s">
        <v>1995</v>
      </c>
      <c r="AU791" t="s">
        <v>1995</v>
      </c>
      <c r="AV791" t="s">
        <v>1996</v>
      </c>
      <c r="AW791" t="s">
        <v>1995</v>
      </c>
      <c r="AX791" t="s">
        <v>1194</v>
      </c>
      <c r="AY791" t="s">
        <v>1996</v>
      </c>
      <c r="AZ791">
        <v>5909</v>
      </c>
      <c r="BA791" t="s">
        <v>1194</v>
      </c>
      <c r="BB791" t="s">
        <v>1194</v>
      </c>
      <c r="BC791" s="3">
        <v>0</v>
      </c>
      <c r="BD791" s="3">
        <v>0</v>
      </c>
      <c r="BE791" s="3">
        <v>0</v>
      </c>
      <c r="BF791" s="3">
        <v>0</v>
      </c>
      <c r="BG791" s="3">
        <v>150</v>
      </c>
      <c r="BH791" s="3">
        <v>0</v>
      </c>
      <c r="BI791" s="3">
        <v>0</v>
      </c>
      <c r="BJ791" s="3">
        <v>23116.19</v>
      </c>
      <c r="BK791" s="3">
        <v>45</v>
      </c>
      <c r="BL791" s="3">
        <v>16820</v>
      </c>
      <c r="BM791" s="2">
        <f t="shared" ca="1" si="25"/>
        <v>4</v>
      </c>
      <c r="BN791" s="3">
        <v>2000000</v>
      </c>
      <c r="BO791" s="3">
        <v>100000</v>
      </c>
      <c r="BP791" s="3">
        <v>200000</v>
      </c>
      <c r="BQ791" s="3">
        <v>2000000</v>
      </c>
      <c r="BR791" s="3">
        <v>2000000</v>
      </c>
      <c r="BS791">
        <v>500000</v>
      </c>
      <c r="BT791">
        <v>0</v>
      </c>
      <c r="BU791">
        <v>0</v>
      </c>
      <c r="BV791">
        <v>1</v>
      </c>
      <c r="BW791">
        <v>0</v>
      </c>
      <c r="BX791">
        <v>0</v>
      </c>
      <c r="BY791">
        <v>0</v>
      </c>
      <c r="BZ791" t="s">
        <v>2958</v>
      </c>
      <c r="CA791" t="s">
        <v>1194</v>
      </c>
      <c r="CB791" t="s">
        <v>2952</v>
      </c>
    </row>
    <row r="792" spans="1:80" x14ac:dyDescent="0.25">
      <c r="A792">
        <v>791</v>
      </c>
      <c r="B792" t="s">
        <v>2805</v>
      </c>
      <c r="C792" s="1">
        <v>44729</v>
      </c>
      <c r="D792">
        <v>12</v>
      </c>
      <c r="E792" t="s">
        <v>4</v>
      </c>
      <c r="F792" t="s">
        <v>1311</v>
      </c>
      <c r="G792">
        <v>0</v>
      </c>
      <c r="H792" s="3">
        <v>459980</v>
      </c>
      <c r="I792" s="3">
        <v>745996</v>
      </c>
      <c r="J792" s="3">
        <v>250000</v>
      </c>
      <c r="K792" s="3">
        <v>0</v>
      </c>
      <c r="L792" t="s">
        <v>1191</v>
      </c>
      <c r="M792">
        <v>1478172</v>
      </c>
      <c r="N792" t="s">
        <v>1589</v>
      </c>
      <c r="P792" t="s">
        <v>1934</v>
      </c>
      <c r="Q792" t="s">
        <v>1253</v>
      </c>
      <c r="R792">
        <v>55359</v>
      </c>
      <c r="S792" t="s">
        <v>1714</v>
      </c>
      <c r="T792" t="s">
        <v>965</v>
      </c>
      <c r="U792">
        <v>0</v>
      </c>
      <c r="V792">
        <v>1</v>
      </c>
      <c r="W792" t="s">
        <v>1194</v>
      </c>
      <c r="X792" t="s">
        <v>973</v>
      </c>
      <c r="Y792">
        <v>10000</v>
      </c>
      <c r="Z792" s="2" t="s">
        <v>1194</v>
      </c>
      <c r="AA792" s="2">
        <v>1</v>
      </c>
      <c r="AB792" t="s">
        <v>1277</v>
      </c>
      <c r="AC792">
        <v>731</v>
      </c>
      <c r="AD792" t="s">
        <v>1279</v>
      </c>
      <c r="AE792">
        <v>6</v>
      </c>
      <c r="AF792" t="s">
        <v>1290</v>
      </c>
      <c r="AG792">
        <v>0</v>
      </c>
      <c r="AH792">
        <v>0</v>
      </c>
      <c r="AI792">
        <v>0</v>
      </c>
      <c r="AJ792">
        <v>1900</v>
      </c>
      <c r="AK792">
        <v>2010</v>
      </c>
      <c r="AL792">
        <v>2001</v>
      </c>
      <c r="AM792" s="4" t="s">
        <v>1238</v>
      </c>
      <c r="AN792">
        <v>1</v>
      </c>
      <c r="AO792" t="s">
        <v>1316</v>
      </c>
      <c r="AP792">
        <f t="shared" si="24"/>
        <v>0</v>
      </c>
      <c r="AQ792">
        <v>0</v>
      </c>
      <c r="AR792" t="s">
        <v>1993</v>
      </c>
      <c r="AS792" t="s">
        <v>1996</v>
      </c>
      <c r="AT792" t="s">
        <v>1996</v>
      </c>
      <c r="AU792" t="s">
        <v>1995</v>
      </c>
      <c r="AV792" t="s">
        <v>1995</v>
      </c>
      <c r="AW792" t="s">
        <v>1995</v>
      </c>
      <c r="AX792" t="s">
        <v>1194</v>
      </c>
      <c r="AY792" t="s">
        <v>1996</v>
      </c>
      <c r="AZ792">
        <v>1260</v>
      </c>
      <c r="BA792" t="s">
        <v>1194</v>
      </c>
      <c r="BB792" t="s">
        <v>1194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0</v>
      </c>
      <c r="BJ792" s="3">
        <v>5605.85</v>
      </c>
      <c r="BK792" s="3">
        <v>-10</v>
      </c>
      <c r="BL792" s="3">
        <v>5595.85</v>
      </c>
      <c r="BM792" s="2">
        <f t="shared" ca="1" si="25"/>
        <v>4</v>
      </c>
      <c r="BN792" s="3">
        <v>1000000</v>
      </c>
      <c r="BO792" s="3">
        <v>1000000</v>
      </c>
      <c r="BP792" s="3">
        <v>50000</v>
      </c>
      <c r="BQ792" s="3">
        <v>250000</v>
      </c>
      <c r="BR792" s="3">
        <v>2000000</v>
      </c>
      <c r="BS792">
        <v>2000000</v>
      </c>
      <c r="BT792">
        <v>0</v>
      </c>
      <c r="BU792">
        <v>0</v>
      </c>
      <c r="BV792">
        <v>0</v>
      </c>
      <c r="BW792">
        <v>1</v>
      </c>
      <c r="BX792">
        <v>1</v>
      </c>
      <c r="BY792">
        <v>1</v>
      </c>
      <c r="BZ792" t="s">
        <v>2958</v>
      </c>
      <c r="CA792" t="s">
        <v>1194</v>
      </c>
      <c r="CB792" t="s">
        <v>2945</v>
      </c>
    </row>
    <row r="793" spans="1:80" x14ac:dyDescent="0.25">
      <c r="A793">
        <v>792</v>
      </c>
      <c r="B793" t="s">
        <v>2806</v>
      </c>
      <c r="C793" s="1">
        <v>44956</v>
      </c>
      <c r="D793">
        <v>12</v>
      </c>
      <c r="E793" t="s">
        <v>4</v>
      </c>
      <c r="F793" t="s">
        <v>1311</v>
      </c>
      <c r="G793">
        <v>0</v>
      </c>
      <c r="H793" s="3">
        <v>2816865</v>
      </c>
      <c r="I793" s="3">
        <v>563373</v>
      </c>
      <c r="J793" s="3">
        <v>1408433</v>
      </c>
      <c r="K793" s="3">
        <v>563373</v>
      </c>
      <c r="L793" t="s">
        <v>1191</v>
      </c>
      <c r="M793">
        <v>1388004</v>
      </c>
      <c r="N793" t="s">
        <v>1590</v>
      </c>
      <c r="P793" t="s">
        <v>1935</v>
      </c>
      <c r="Q793" t="s">
        <v>1259</v>
      </c>
      <c r="R793">
        <v>89052</v>
      </c>
      <c r="S793" t="s">
        <v>1767</v>
      </c>
      <c r="T793" t="s">
        <v>965</v>
      </c>
      <c r="U793">
        <v>0</v>
      </c>
      <c r="V793">
        <v>1</v>
      </c>
      <c r="W793" t="s">
        <v>1194</v>
      </c>
      <c r="X793" t="s">
        <v>973</v>
      </c>
      <c r="Y793">
        <v>10000</v>
      </c>
      <c r="Z793" s="2" t="s">
        <v>1194</v>
      </c>
      <c r="AA793" s="2" t="s">
        <v>1238</v>
      </c>
      <c r="AB793" t="s">
        <v>1238</v>
      </c>
      <c r="AC793">
        <v>719</v>
      </c>
      <c r="AD793" t="s">
        <v>1279</v>
      </c>
      <c r="AE793">
        <v>1</v>
      </c>
      <c r="AF793" t="s">
        <v>1290</v>
      </c>
      <c r="AG793">
        <v>0</v>
      </c>
      <c r="AH793">
        <v>0</v>
      </c>
      <c r="AI793">
        <v>0</v>
      </c>
      <c r="AJ793">
        <v>2013</v>
      </c>
      <c r="AK793" t="s">
        <v>1194</v>
      </c>
      <c r="AL793" t="s">
        <v>1194</v>
      </c>
      <c r="AM793" s="4" t="s">
        <v>1238</v>
      </c>
      <c r="AN793">
        <v>1</v>
      </c>
      <c r="AO793" t="s">
        <v>1315</v>
      </c>
      <c r="AP793">
        <f t="shared" si="24"/>
        <v>0</v>
      </c>
      <c r="AQ793">
        <v>1</v>
      </c>
      <c r="AR793" t="s">
        <v>1992</v>
      </c>
      <c r="AS793" t="s">
        <v>1996</v>
      </c>
      <c r="AT793" t="s">
        <v>1996</v>
      </c>
      <c r="AU793" t="s">
        <v>1996</v>
      </c>
      <c r="AV793" t="s">
        <v>1996</v>
      </c>
      <c r="AW793" t="s">
        <v>1996</v>
      </c>
      <c r="AX793" t="s">
        <v>1194</v>
      </c>
      <c r="AY793" t="s">
        <v>1996</v>
      </c>
      <c r="AZ793">
        <v>5626</v>
      </c>
      <c r="BA793">
        <v>3</v>
      </c>
      <c r="BB793" t="s">
        <v>2014</v>
      </c>
      <c r="BC793" s="3">
        <v>0</v>
      </c>
      <c r="BD793" s="3">
        <v>129.44999999999999</v>
      </c>
      <c r="BE793" s="3">
        <v>0</v>
      </c>
      <c r="BF793" s="3">
        <v>129.44999999999999</v>
      </c>
      <c r="BG793" s="3">
        <v>175</v>
      </c>
      <c r="BH793" s="3">
        <v>0</v>
      </c>
      <c r="BI793" s="3">
        <v>0</v>
      </c>
      <c r="BJ793" s="3">
        <v>6975.1</v>
      </c>
      <c r="BK793" s="3">
        <v>2867.01</v>
      </c>
      <c r="BL793" s="3">
        <v>9842.11</v>
      </c>
      <c r="BM793" s="2">
        <f t="shared" ca="1" si="25"/>
        <v>1</v>
      </c>
      <c r="BN793" s="3">
        <v>1000000</v>
      </c>
      <c r="BO793" s="3">
        <v>500000</v>
      </c>
      <c r="BP793" s="3">
        <v>100000</v>
      </c>
      <c r="BQ793" s="3">
        <v>250000</v>
      </c>
      <c r="BR793" s="3">
        <v>500000</v>
      </c>
      <c r="BS793">
        <v>500000</v>
      </c>
      <c r="BT793">
        <v>0</v>
      </c>
      <c r="BU793">
        <v>1</v>
      </c>
      <c r="BV793">
        <v>1</v>
      </c>
      <c r="BW793">
        <v>1</v>
      </c>
      <c r="BX793">
        <v>0</v>
      </c>
      <c r="BY793">
        <v>0</v>
      </c>
      <c r="BZ793" t="s">
        <v>2949</v>
      </c>
      <c r="CA793" t="s">
        <v>1194</v>
      </c>
      <c r="CB793" t="s">
        <v>2952</v>
      </c>
    </row>
    <row r="794" spans="1:80" x14ac:dyDescent="0.25">
      <c r="A794">
        <v>793</v>
      </c>
      <c r="B794" t="s">
        <v>2807</v>
      </c>
      <c r="C794" s="1">
        <v>44804</v>
      </c>
      <c r="D794">
        <v>12</v>
      </c>
      <c r="E794" t="s">
        <v>5</v>
      </c>
      <c r="F794" t="s">
        <v>1310</v>
      </c>
      <c r="G794">
        <v>1</v>
      </c>
      <c r="H794" s="3">
        <v>11145250</v>
      </c>
      <c r="I794" s="3">
        <v>2016500</v>
      </c>
      <c r="J794" s="3">
        <v>8358938</v>
      </c>
      <c r="K794" s="3">
        <v>2229050</v>
      </c>
      <c r="L794" t="s">
        <v>1191</v>
      </c>
      <c r="M794">
        <v>1518209</v>
      </c>
      <c r="N794" t="s">
        <v>1591</v>
      </c>
      <c r="P794" t="s">
        <v>105</v>
      </c>
      <c r="Q794" t="s">
        <v>1266</v>
      </c>
      <c r="R794">
        <v>37069</v>
      </c>
      <c r="S794" t="s">
        <v>1789</v>
      </c>
      <c r="T794" t="s">
        <v>965</v>
      </c>
      <c r="U794">
        <v>0</v>
      </c>
      <c r="V794">
        <v>6</v>
      </c>
      <c r="W794" t="s">
        <v>1194</v>
      </c>
      <c r="X794" t="s">
        <v>973</v>
      </c>
      <c r="Y794">
        <v>25000</v>
      </c>
      <c r="Z794" s="2" t="s">
        <v>1194</v>
      </c>
      <c r="AA794" s="2" t="s">
        <v>1238</v>
      </c>
      <c r="AB794" t="s">
        <v>1238</v>
      </c>
      <c r="AC794">
        <v>767</v>
      </c>
      <c r="AD794" t="s">
        <v>1279</v>
      </c>
      <c r="AE794">
        <v>5</v>
      </c>
      <c r="AF794" t="s">
        <v>1290</v>
      </c>
      <c r="AG794">
        <v>0</v>
      </c>
      <c r="AH794">
        <v>0</v>
      </c>
      <c r="AI794">
        <v>0</v>
      </c>
      <c r="AJ794">
        <v>2010</v>
      </c>
      <c r="AK794" t="s">
        <v>1194</v>
      </c>
      <c r="AL794" t="s">
        <v>1194</v>
      </c>
      <c r="AM794" s="4" t="s">
        <v>1305</v>
      </c>
      <c r="AN794">
        <v>0</v>
      </c>
      <c r="AO794" t="s">
        <v>1315</v>
      </c>
      <c r="AP794">
        <f t="shared" si="24"/>
        <v>0</v>
      </c>
      <c r="AQ794">
        <v>1</v>
      </c>
      <c r="AR794" t="s">
        <v>1992</v>
      </c>
      <c r="AS794" t="s">
        <v>1996</v>
      </c>
      <c r="AT794" t="s">
        <v>1995</v>
      </c>
      <c r="AU794" t="s">
        <v>1995</v>
      </c>
      <c r="AV794" t="s">
        <v>1996</v>
      </c>
      <c r="AW794" t="s">
        <v>1995</v>
      </c>
      <c r="AX794" t="s">
        <v>1194</v>
      </c>
      <c r="AY794" t="s">
        <v>1996</v>
      </c>
      <c r="AZ794">
        <v>19137</v>
      </c>
      <c r="BA794" t="s">
        <v>1194</v>
      </c>
      <c r="BB794" t="s">
        <v>1194</v>
      </c>
      <c r="BC794" s="3">
        <v>0</v>
      </c>
      <c r="BD794" s="3">
        <v>12706.39</v>
      </c>
      <c r="BE794" s="3">
        <v>0</v>
      </c>
      <c r="BF794" s="3">
        <v>0</v>
      </c>
      <c r="BG794" s="3">
        <v>210</v>
      </c>
      <c r="BH794" s="3">
        <v>0</v>
      </c>
      <c r="BI794" s="3">
        <v>0</v>
      </c>
      <c r="BJ794" s="3">
        <v>25549.88</v>
      </c>
      <c r="BK794" s="3">
        <v>3892.48</v>
      </c>
      <c r="BL794" s="3">
        <v>29442.36</v>
      </c>
      <c r="BM794" s="2">
        <f t="shared" ca="1" si="25"/>
        <v>1</v>
      </c>
      <c r="BN794" s="3">
        <v>1000000</v>
      </c>
      <c r="BO794" s="3">
        <v>250000</v>
      </c>
      <c r="BP794" s="3">
        <v>200000</v>
      </c>
      <c r="BQ794" s="3">
        <v>2000000</v>
      </c>
      <c r="BR794" s="3">
        <v>100000</v>
      </c>
      <c r="BS794">
        <v>500000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 t="s">
        <v>2961</v>
      </c>
      <c r="CA794" t="s">
        <v>1194</v>
      </c>
      <c r="CB794" t="s">
        <v>2941</v>
      </c>
    </row>
    <row r="795" spans="1:80" x14ac:dyDescent="0.25">
      <c r="A795">
        <v>794</v>
      </c>
      <c r="B795" t="s">
        <v>2808</v>
      </c>
      <c r="C795" s="1">
        <v>44710</v>
      </c>
      <c r="D795">
        <v>12</v>
      </c>
      <c r="E795" t="s">
        <v>4</v>
      </c>
      <c r="F795" t="s">
        <v>1311</v>
      </c>
      <c r="G795">
        <v>0</v>
      </c>
      <c r="H795" s="3">
        <v>0</v>
      </c>
      <c r="I795" s="3">
        <v>0</v>
      </c>
      <c r="J795" s="3">
        <v>2091500</v>
      </c>
      <c r="K795" s="3">
        <v>0</v>
      </c>
      <c r="L795" t="s">
        <v>1192</v>
      </c>
      <c r="M795">
        <v>1439744</v>
      </c>
      <c r="N795" t="s">
        <v>1592</v>
      </c>
      <c r="O795">
        <v>31</v>
      </c>
      <c r="P795" t="s">
        <v>1936</v>
      </c>
      <c r="Q795" t="s">
        <v>1243</v>
      </c>
      <c r="R795">
        <v>96743</v>
      </c>
      <c r="S795" t="s">
        <v>1804</v>
      </c>
      <c r="T795" t="s">
        <v>1988</v>
      </c>
      <c r="U795">
        <v>0</v>
      </c>
      <c r="V795">
        <v>1</v>
      </c>
      <c r="W795" t="s">
        <v>1194</v>
      </c>
      <c r="X795" t="s">
        <v>973</v>
      </c>
      <c r="Y795">
        <v>25000</v>
      </c>
      <c r="Z795" s="2" t="s">
        <v>1194</v>
      </c>
      <c r="AA795" s="2" t="s">
        <v>1238</v>
      </c>
      <c r="AB795" t="s">
        <v>1238</v>
      </c>
      <c r="AC795" t="s">
        <v>1194</v>
      </c>
      <c r="AD795" t="s">
        <v>1279</v>
      </c>
      <c r="AE795">
        <v>5</v>
      </c>
      <c r="AF795" t="s">
        <v>1290</v>
      </c>
      <c r="AG795">
        <v>0</v>
      </c>
      <c r="AH795">
        <v>0</v>
      </c>
      <c r="AI795">
        <v>0</v>
      </c>
      <c r="AJ795">
        <v>1987</v>
      </c>
      <c r="AK795" t="s">
        <v>1194</v>
      </c>
      <c r="AL795" t="s">
        <v>1194</v>
      </c>
      <c r="AM795" s="4" t="s">
        <v>1238</v>
      </c>
      <c r="AN795">
        <v>0</v>
      </c>
      <c r="AO795" t="s">
        <v>1315</v>
      </c>
      <c r="AP795">
        <f t="shared" si="24"/>
        <v>0</v>
      </c>
      <c r="AQ795">
        <v>1</v>
      </c>
      <c r="AR795" t="s">
        <v>1992</v>
      </c>
      <c r="AS795" t="s">
        <v>1996</v>
      </c>
      <c r="AT795" t="s">
        <v>1995</v>
      </c>
      <c r="AU795" t="s">
        <v>1996</v>
      </c>
      <c r="AV795" t="s">
        <v>1996</v>
      </c>
      <c r="AW795" t="s">
        <v>1995</v>
      </c>
      <c r="AX795" t="s">
        <v>2003</v>
      </c>
      <c r="AY795" t="s">
        <v>1996</v>
      </c>
      <c r="AZ795">
        <v>3741</v>
      </c>
      <c r="BA795" t="s">
        <v>1194</v>
      </c>
      <c r="BB795" t="s">
        <v>1194</v>
      </c>
      <c r="BC795" s="3">
        <v>0</v>
      </c>
      <c r="BD795" s="3">
        <v>0</v>
      </c>
      <c r="BE795" s="3">
        <v>0</v>
      </c>
      <c r="BF795" s="3">
        <v>0</v>
      </c>
      <c r="BG795" s="3">
        <v>0</v>
      </c>
      <c r="BH795" s="3">
        <v>0</v>
      </c>
      <c r="BI795" s="3">
        <v>0</v>
      </c>
      <c r="BJ795" s="3">
        <v>3916.69</v>
      </c>
      <c r="BK795" s="3">
        <v>-5</v>
      </c>
      <c r="BL795" s="3">
        <v>3911.69</v>
      </c>
      <c r="BM795" s="2">
        <f t="shared" ca="1" si="25"/>
        <v>4</v>
      </c>
      <c r="BN795" s="3">
        <v>50000</v>
      </c>
      <c r="BO795" s="3">
        <v>1000000</v>
      </c>
      <c r="BP795" s="3" t="s">
        <v>2922</v>
      </c>
      <c r="BQ795" s="3">
        <v>50000</v>
      </c>
      <c r="BR795" s="3">
        <v>50000</v>
      </c>
      <c r="BS795">
        <v>50000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0</v>
      </c>
      <c r="BZ795" t="s">
        <v>2965</v>
      </c>
      <c r="CA795" t="s">
        <v>1194</v>
      </c>
      <c r="CB795" t="s">
        <v>2952</v>
      </c>
    </row>
    <row r="796" spans="1:80" x14ac:dyDescent="0.25">
      <c r="A796">
        <v>795</v>
      </c>
      <c r="B796" t="s">
        <v>2809</v>
      </c>
      <c r="C796" s="1">
        <v>44977</v>
      </c>
      <c r="D796">
        <v>12</v>
      </c>
      <c r="E796" t="s">
        <v>4</v>
      </c>
      <c r="F796" t="s">
        <v>1311</v>
      </c>
      <c r="G796">
        <v>1</v>
      </c>
      <c r="H796" s="3">
        <v>7080130</v>
      </c>
      <c r="I796" s="3">
        <v>1416026</v>
      </c>
      <c r="J796" s="3">
        <v>2832052</v>
      </c>
      <c r="K796" s="3">
        <v>1416026</v>
      </c>
      <c r="L796" t="s">
        <v>1191</v>
      </c>
      <c r="M796">
        <v>1411599</v>
      </c>
      <c r="N796" t="s">
        <v>1593</v>
      </c>
      <c r="P796" t="s">
        <v>1766</v>
      </c>
      <c r="Q796" t="s">
        <v>1259</v>
      </c>
      <c r="R796">
        <v>89135</v>
      </c>
      <c r="S796" t="s">
        <v>1767</v>
      </c>
      <c r="T796" t="s">
        <v>965</v>
      </c>
      <c r="U796">
        <v>0</v>
      </c>
      <c r="V796">
        <v>1</v>
      </c>
      <c r="W796" t="s">
        <v>1194</v>
      </c>
      <c r="X796" t="s">
        <v>973</v>
      </c>
      <c r="Y796">
        <v>10000</v>
      </c>
      <c r="Z796" s="2" t="s">
        <v>1194</v>
      </c>
      <c r="AA796" s="2" t="s">
        <v>1238</v>
      </c>
      <c r="AB796" t="s">
        <v>1238</v>
      </c>
      <c r="AC796">
        <v>815</v>
      </c>
      <c r="AD796" t="s">
        <v>1279</v>
      </c>
      <c r="AE796">
        <v>2</v>
      </c>
      <c r="AF796" t="s">
        <v>1290</v>
      </c>
      <c r="AG796">
        <v>0</v>
      </c>
      <c r="AH796">
        <v>0</v>
      </c>
      <c r="AI796">
        <v>0</v>
      </c>
      <c r="AJ796">
        <v>2006</v>
      </c>
      <c r="AK796" t="s">
        <v>1194</v>
      </c>
      <c r="AL796" t="s">
        <v>1194</v>
      </c>
      <c r="AM796" s="4" t="s">
        <v>1238</v>
      </c>
      <c r="AN796">
        <v>0</v>
      </c>
      <c r="AO796" t="s">
        <v>1317</v>
      </c>
      <c r="AP796">
        <f t="shared" si="24"/>
        <v>0</v>
      </c>
      <c r="AQ796">
        <v>0</v>
      </c>
      <c r="AR796" t="s">
        <v>1993</v>
      </c>
      <c r="AS796" t="s">
        <v>1996</v>
      </c>
      <c r="AT796" t="s">
        <v>1996</v>
      </c>
      <c r="AU796" t="s">
        <v>1995</v>
      </c>
      <c r="AV796" t="s">
        <v>1995</v>
      </c>
      <c r="AW796" t="s">
        <v>1996</v>
      </c>
      <c r="AX796" t="s">
        <v>1194</v>
      </c>
      <c r="AY796" t="s">
        <v>1996</v>
      </c>
      <c r="AZ796">
        <v>11052</v>
      </c>
      <c r="BA796">
        <v>3</v>
      </c>
      <c r="BB796" t="s">
        <v>2016</v>
      </c>
      <c r="BC796" s="3">
        <v>0</v>
      </c>
      <c r="BD796" s="3">
        <v>319.22000000000003</v>
      </c>
      <c r="BE796" s="3">
        <v>0</v>
      </c>
      <c r="BF796" s="3">
        <v>319.22000000000003</v>
      </c>
      <c r="BG796" s="3">
        <v>210</v>
      </c>
      <c r="BH796" s="3">
        <v>0</v>
      </c>
      <c r="BI796" s="3">
        <v>0</v>
      </c>
      <c r="BJ796" s="3">
        <v>12834.86</v>
      </c>
      <c r="BK796" s="3">
        <v>1064</v>
      </c>
      <c r="BL796" s="3">
        <v>13898.86</v>
      </c>
      <c r="BM796" s="2">
        <f t="shared" ca="1" si="25"/>
        <v>1</v>
      </c>
      <c r="BN796" s="3" t="s">
        <v>2916</v>
      </c>
      <c r="BO796" s="3">
        <v>100000</v>
      </c>
      <c r="BP796" s="3">
        <v>50000</v>
      </c>
      <c r="BQ796" s="3">
        <v>250000</v>
      </c>
      <c r="BR796" s="3">
        <v>50000</v>
      </c>
      <c r="BS796">
        <v>50000</v>
      </c>
      <c r="BT796">
        <v>0</v>
      </c>
      <c r="BU796">
        <v>0</v>
      </c>
      <c r="BV796">
        <v>1</v>
      </c>
      <c r="BW796">
        <v>0</v>
      </c>
      <c r="BX796">
        <v>0</v>
      </c>
      <c r="BY796">
        <v>0</v>
      </c>
      <c r="BZ796" t="s">
        <v>2961</v>
      </c>
      <c r="CA796" t="s">
        <v>1194</v>
      </c>
      <c r="CB796" t="s">
        <v>2941</v>
      </c>
    </row>
    <row r="797" spans="1:80" x14ac:dyDescent="0.25">
      <c r="A797">
        <v>796</v>
      </c>
      <c r="B797" t="s">
        <v>2810</v>
      </c>
      <c r="C797" s="1">
        <v>44634</v>
      </c>
      <c r="D797">
        <v>15</v>
      </c>
      <c r="E797" t="s">
        <v>5</v>
      </c>
      <c r="F797" t="s">
        <v>1310</v>
      </c>
      <c r="G797">
        <v>1</v>
      </c>
      <c r="H797" s="3">
        <v>2056870</v>
      </c>
      <c r="I797" s="3">
        <v>411374</v>
      </c>
      <c r="J797" s="3">
        <v>1542653</v>
      </c>
      <c r="K797" s="3">
        <v>411374</v>
      </c>
      <c r="L797" t="s">
        <v>1191</v>
      </c>
      <c r="M797">
        <v>1419363</v>
      </c>
      <c r="N797" t="s">
        <v>1594</v>
      </c>
      <c r="P797" t="s">
        <v>1937</v>
      </c>
      <c r="Q797" t="s">
        <v>1268</v>
      </c>
      <c r="R797">
        <v>22901</v>
      </c>
      <c r="S797" t="s">
        <v>1938</v>
      </c>
      <c r="T797" t="s">
        <v>965</v>
      </c>
      <c r="U797">
        <v>0</v>
      </c>
      <c r="V797">
        <v>6</v>
      </c>
      <c r="W797" t="s">
        <v>1194</v>
      </c>
      <c r="X797" t="s">
        <v>973</v>
      </c>
      <c r="Y797">
        <v>10000</v>
      </c>
      <c r="Z797" s="2" t="s">
        <v>1194</v>
      </c>
      <c r="AA797" s="2" t="s">
        <v>1238</v>
      </c>
      <c r="AB797" t="s">
        <v>1238</v>
      </c>
      <c r="AC797">
        <v>857</v>
      </c>
      <c r="AD797" t="s">
        <v>1284</v>
      </c>
      <c r="AE797">
        <v>3</v>
      </c>
      <c r="AF797" t="s">
        <v>1290</v>
      </c>
      <c r="AG797">
        <v>0</v>
      </c>
      <c r="AH797">
        <v>0</v>
      </c>
      <c r="AI797">
        <v>0</v>
      </c>
      <c r="AJ797">
        <v>1958</v>
      </c>
      <c r="AK797">
        <v>2012</v>
      </c>
      <c r="AL797">
        <v>2001</v>
      </c>
      <c r="AM797" s="4" t="s">
        <v>1304</v>
      </c>
      <c r="AN797">
        <v>1</v>
      </c>
      <c r="AO797" t="s">
        <v>1315</v>
      </c>
      <c r="AP797">
        <f t="shared" si="24"/>
        <v>0</v>
      </c>
      <c r="AQ797">
        <v>1</v>
      </c>
      <c r="AR797" t="s">
        <v>1992</v>
      </c>
      <c r="AS797" t="s">
        <v>1996</v>
      </c>
      <c r="AT797" t="s">
        <v>1995</v>
      </c>
      <c r="AU797" t="s">
        <v>1995</v>
      </c>
      <c r="AV797" t="s">
        <v>1995</v>
      </c>
      <c r="AW797" t="s">
        <v>1996</v>
      </c>
      <c r="AX797" t="s">
        <v>2003</v>
      </c>
      <c r="AY797" t="s">
        <v>1996</v>
      </c>
      <c r="AZ797">
        <v>3069</v>
      </c>
      <c r="BA797" t="s">
        <v>1194</v>
      </c>
      <c r="BB797" t="s">
        <v>1194</v>
      </c>
      <c r="BC797" s="3">
        <v>0</v>
      </c>
      <c r="BD797" s="3">
        <v>0</v>
      </c>
      <c r="BE797" s="3">
        <v>0</v>
      </c>
      <c r="BF797" s="3">
        <v>0</v>
      </c>
      <c r="BG797" s="3">
        <v>175</v>
      </c>
      <c r="BH797" s="3">
        <v>0</v>
      </c>
      <c r="BI797" s="3">
        <v>0</v>
      </c>
      <c r="BJ797" s="3">
        <v>2533.04</v>
      </c>
      <c r="BK797" s="3">
        <v>809.34</v>
      </c>
      <c r="BL797" s="3">
        <v>3342.38</v>
      </c>
      <c r="BM797" s="2">
        <f t="shared" ca="1" si="25"/>
        <v>2</v>
      </c>
      <c r="BN797" s="3">
        <v>50000</v>
      </c>
      <c r="BO797" s="3">
        <v>20000</v>
      </c>
      <c r="BP797" s="3">
        <v>200000</v>
      </c>
      <c r="BQ797" s="3">
        <v>250000</v>
      </c>
      <c r="BR797" s="3">
        <v>50000</v>
      </c>
      <c r="BS797">
        <v>100000</v>
      </c>
      <c r="BT797">
        <v>0</v>
      </c>
      <c r="BU797">
        <v>1</v>
      </c>
      <c r="BV797">
        <v>1</v>
      </c>
      <c r="BW797">
        <v>0</v>
      </c>
      <c r="BX797">
        <v>0</v>
      </c>
      <c r="BY797">
        <v>0</v>
      </c>
      <c r="BZ797" t="s">
        <v>2966</v>
      </c>
      <c r="CA797" t="s">
        <v>1194</v>
      </c>
      <c r="CB797" t="s">
        <v>2949</v>
      </c>
    </row>
    <row r="798" spans="1:80" x14ac:dyDescent="0.25">
      <c r="A798">
        <v>797</v>
      </c>
      <c r="B798" t="s">
        <v>2811</v>
      </c>
      <c r="C798" s="1">
        <v>44645</v>
      </c>
      <c r="D798">
        <v>33</v>
      </c>
      <c r="E798" t="s">
        <v>4</v>
      </c>
      <c r="F798" t="s">
        <v>1311</v>
      </c>
      <c r="G798">
        <v>1</v>
      </c>
      <c r="H798" s="3">
        <v>2831536</v>
      </c>
      <c r="I798" s="3">
        <v>142467</v>
      </c>
      <c r="J798" s="3">
        <v>1131946</v>
      </c>
      <c r="K798" s="3">
        <v>566307.19999999995</v>
      </c>
      <c r="L798" t="s">
        <v>1191</v>
      </c>
      <c r="M798">
        <v>1421711</v>
      </c>
      <c r="N798" t="s">
        <v>1595</v>
      </c>
      <c r="P798" t="s">
        <v>1939</v>
      </c>
      <c r="Q798" t="s">
        <v>1263</v>
      </c>
      <c r="R798">
        <v>19096</v>
      </c>
      <c r="S798" t="s">
        <v>1703</v>
      </c>
      <c r="T798" t="s">
        <v>965</v>
      </c>
      <c r="U798">
        <v>0</v>
      </c>
      <c r="V798">
        <v>13</v>
      </c>
      <c r="W798" t="s">
        <v>1194</v>
      </c>
      <c r="X798" t="s">
        <v>973</v>
      </c>
      <c r="Y798">
        <v>10000</v>
      </c>
      <c r="Z798" s="2" t="s">
        <v>1194</v>
      </c>
      <c r="AA798" s="2">
        <v>1</v>
      </c>
      <c r="AB798">
        <v>0.03</v>
      </c>
      <c r="AC798">
        <v>718</v>
      </c>
      <c r="AD798" t="s">
        <v>1279</v>
      </c>
      <c r="AE798">
        <v>3</v>
      </c>
      <c r="AF798" t="s">
        <v>1290</v>
      </c>
      <c r="AG798">
        <v>1</v>
      </c>
      <c r="AH798">
        <v>0</v>
      </c>
      <c r="AI798">
        <v>1</v>
      </c>
      <c r="AJ798">
        <v>1927</v>
      </c>
      <c r="AK798">
        <v>2001</v>
      </c>
      <c r="AL798">
        <v>1999</v>
      </c>
      <c r="AM798" s="4" t="s">
        <v>1238</v>
      </c>
      <c r="AN798">
        <v>1</v>
      </c>
      <c r="AO798" t="s">
        <v>1316</v>
      </c>
      <c r="AP798">
        <f t="shared" si="24"/>
        <v>1</v>
      </c>
      <c r="AQ798">
        <v>1</v>
      </c>
      <c r="AR798" t="s">
        <v>1992</v>
      </c>
      <c r="AS798" t="s">
        <v>1995</v>
      </c>
      <c r="AT798" t="s">
        <v>1996</v>
      </c>
      <c r="AU798" t="s">
        <v>1995</v>
      </c>
      <c r="AV798" t="s">
        <v>1995</v>
      </c>
      <c r="AW798" t="s">
        <v>1996</v>
      </c>
      <c r="AX798" t="s">
        <v>2003</v>
      </c>
      <c r="AY798" t="s">
        <v>1996</v>
      </c>
      <c r="AZ798">
        <v>3500</v>
      </c>
      <c r="BA798" t="s">
        <v>1194</v>
      </c>
      <c r="BB798" t="s">
        <v>1194</v>
      </c>
      <c r="BC798" s="3">
        <v>0</v>
      </c>
      <c r="BD798" s="3">
        <v>0</v>
      </c>
      <c r="BE798" s="3">
        <v>0</v>
      </c>
      <c r="BF798" s="3">
        <v>0</v>
      </c>
      <c r="BG798" s="3">
        <v>150</v>
      </c>
      <c r="BH798" s="3">
        <v>0</v>
      </c>
      <c r="BI798" s="3">
        <v>0</v>
      </c>
      <c r="BJ798" s="3">
        <v>7537.49</v>
      </c>
      <c r="BK798" s="3">
        <v>406</v>
      </c>
      <c r="BL798" s="3">
        <v>7943.49</v>
      </c>
      <c r="BM798" s="2">
        <f t="shared" ca="1" si="25"/>
        <v>1</v>
      </c>
      <c r="BN798" s="3" t="s">
        <v>2916</v>
      </c>
      <c r="BO798" s="3">
        <v>1000000</v>
      </c>
      <c r="BP798" s="3">
        <v>50000</v>
      </c>
      <c r="BQ798" s="3">
        <v>500000</v>
      </c>
      <c r="BR798" s="3">
        <v>1000000</v>
      </c>
      <c r="BS798">
        <v>1000000</v>
      </c>
      <c r="BT798">
        <v>0</v>
      </c>
      <c r="BU798">
        <v>0</v>
      </c>
      <c r="BV798">
        <v>1</v>
      </c>
      <c r="BW798">
        <v>0</v>
      </c>
      <c r="BX798">
        <v>0</v>
      </c>
      <c r="BY798">
        <v>0</v>
      </c>
      <c r="BZ798" t="s">
        <v>2949</v>
      </c>
      <c r="CA798" t="s">
        <v>1194</v>
      </c>
      <c r="CB798" t="s">
        <v>2949</v>
      </c>
    </row>
    <row r="799" spans="1:80" x14ac:dyDescent="0.25">
      <c r="A799">
        <v>798</v>
      </c>
      <c r="B799" t="s">
        <v>2812</v>
      </c>
      <c r="C799" s="1">
        <v>44627</v>
      </c>
      <c r="D799">
        <v>12</v>
      </c>
      <c r="E799" t="s">
        <v>4</v>
      </c>
      <c r="F799" t="s">
        <v>1311</v>
      </c>
      <c r="G799">
        <v>1</v>
      </c>
      <c r="H799" s="3">
        <v>2110000</v>
      </c>
      <c r="I799" s="3">
        <v>333240</v>
      </c>
      <c r="J799" s="3">
        <v>833100</v>
      </c>
      <c r="K799" s="3">
        <v>0</v>
      </c>
      <c r="L799" t="s">
        <v>1191</v>
      </c>
      <c r="M799">
        <v>1423988</v>
      </c>
      <c r="N799" t="s">
        <v>1596</v>
      </c>
      <c r="P799" t="s">
        <v>1700</v>
      </c>
      <c r="Q799" t="s">
        <v>1271</v>
      </c>
      <c r="R799">
        <v>53027</v>
      </c>
      <c r="S799" t="s">
        <v>1716</v>
      </c>
      <c r="T799" t="s">
        <v>965</v>
      </c>
      <c r="U799">
        <v>0</v>
      </c>
      <c r="V799">
        <v>1</v>
      </c>
      <c r="W799" t="s">
        <v>1194</v>
      </c>
      <c r="X799" t="s">
        <v>973</v>
      </c>
      <c r="Y799">
        <v>25000</v>
      </c>
      <c r="Z799" s="2" t="s">
        <v>1194</v>
      </c>
      <c r="AA799" s="2">
        <v>1</v>
      </c>
      <c r="AB799" t="s">
        <v>1277</v>
      </c>
      <c r="AC799">
        <v>788</v>
      </c>
      <c r="AD799" t="s">
        <v>1280</v>
      </c>
      <c r="AE799">
        <v>5</v>
      </c>
      <c r="AF799" t="s">
        <v>1290</v>
      </c>
      <c r="AG799">
        <v>0</v>
      </c>
      <c r="AH799">
        <v>0</v>
      </c>
      <c r="AI799">
        <v>0</v>
      </c>
      <c r="AJ799">
        <v>2012</v>
      </c>
      <c r="AK799" t="s">
        <v>1194</v>
      </c>
      <c r="AL799" t="s">
        <v>1194</v>
      </c>
      <c r="AM799" s="4" t="s">
        <v>1238</v>
      </c>
      <c r="AN799">
        <v>1</v>
      </c>
      <c r="AO799" t="s">
        <v>1315</v>
      </c>
      <c r="AP799">
        <f t="shared" si="24"/>
        <v>0</v>
      </c>
      <c r="AQ799">
        <v>0</v>
      </c>
      <c r="AR799" t="s">
        <v>1993</v>
      </c>
      <c r="AS799" t="s">
        <v>1996</v>
      </c>
      <c r="AT799" t="s">
        <v>1995</v>
      </c>
      <c r="AU799" t="s">
        <v>1996</v>
      </c>
      <c r="AV799" t="s">
        <v>1995</v>
      </c>
      <c r="AW799" t="s">
        <v>1996</v>
      </c>
      <c r="AX799" t="s">
        <v>1194</v>
      </c>
      <c r="AY799" t="s">
        <v>1996</v>
      </c>
      <c r="AZ799">
        <v>5540</v>
      </c>
      <c r="BA799" t="s">
        <v>1194</v>
      </c>
      <c r="BB799" t="s">
        <v>1194</v>
      </c>
      <c r="BC799" s="3">
        <v>0</v>
      </c>
      <c r="BD799" s="3">
        <v>0</v>
      </c>
      <c r="BE799" s="3">
        <v>0</v>
      </c>
      <c r="BF799" s="3">
        <v>0</v>
      </c>
      <c r="BG799" s="3">
        <v>150</v>
      </c>
      <c r="BH799" s="3">
        <v>0</v>
      </c>
      <c r="BI799" s="3">
        <v>0</v>
      </c>
      <c r="BJ799" s="3">
        <v>3224.64</v>
      </c>
      <c r="BK799" s="3">
        <v>-15</v>
      </c>
      <c r="BL799" s="3">
        <v>3209.64</v>
      </c>
      <c r="BM799" s="2">
        <f t="shared" ca="1" si="25"/>
        <v>3</v>
      </c>
      <c r="BN799" s="3" t="s">
        <v>2916</v>
      </c>
      <c r="BO799" s="3">
        <v>1000000</v>
      </c>
      <c r="BP799" s="3">
        <v>50000</v>
      </c>
      <c r="BQ799" s="3">
        <v>500000</v>
      </c>
      <c r="BR799" s="3">
        <v>1000000</v>
      </c>
      <c r="BS799" t="s">
        <v>2916</v>
      </c>
      <c r="BT799">
        <v>0</v>
      </c>
      <c r="BU799">
        <v>0</v>
      </c>
      <c r="BV799">
        <v>0</v>
      </c>
      <c r="BW799">
        <v>1</v>
      </c>
      <c r="BX799">
        <v>1</v>
      </c>
      <c r="BY799">
        <v>0</v>
      </c>
      <c r="BZ799" t="s">
        <v>2958</v>
      </c>
      <c r="CA799" t="s">
        <v>1194</v>
      </c>
      <c r="CB799" t="s">
        <v>2949</v>
      </c>
    </row>
    <row r="800" spans="1:80" x14ac:dyDescent="0.25">
      <c r="A800">
        <v>799</v>
      </c>
      <c r="B800" t="s">
        <v>2813</v>
      </c>
      <c r="C800" s="1">
        <v>44903</v>
      </c>
      <c r="D800">
        <v>15</v>
      </c>
      <c r="E800" t="s">
        <v>4</v>
      </c>
      <c r="F800" t="s">
        <v>1311</v>
      </c>
      <c r="G800">
        <v>0</v>
      </c>
      <c r="H800" s="3">
        <v>8665500</v>
      </c>
      <c r="I800" s="3">
        <v>346620</v>
      </c>
      <c r="J800" s="3">
        <v>2310800</v>
      </c>
      <c r="K800" s="3">
        <v>0</v>
      </c>
      <c r="L800" t="s">
        <v>1191</v>
      </c>
      <c r="M800">
        <v>1021280</v>
      </c>
      <c r="N800" t="s">
        <v>1597</v>
      </c>
      <c r="P800" t="s">
        <v>1940</v>
      </c>
      <c r="Q800" t="s">
        <v>1255</v>
      </c>
      <c r="R800">
        <v>59716</v>
      </c>
      <c r="S800" t="s">
        <v>1691</v>
      </c>
      <c r="T800" t="s">
        <v>965</v>
      </c>
      <c r="U800">
        <v>0</v>
      </c>
      <c r="V800">
        <v>1</v>
      </c>
      <c r="W800" t="s">
        <v>1194</v>
      </c>
      <c r="X800" t="s">
        <v>973</v>
      </c>
      <c r="Y800">
        <v>10000</v>
      </c>
      <c r="Z800" s="2" t="s">
        <v>1194</v>
      </c>
      <c r="AA800" s="2">
        <v>1</v>
      </c>
      <c r="AB800">
        <v>2500</v>
      </c>
      <c r="AC800">
        <v>797</v>
      </c>
      <c r="AD800" t="s">
        <v>1279</v>
      </c>
      <c r="AE800">
        <v>5</v>
      </c>
      <c r="AF800" t="s">
        <v>1290</v>
      </c>
      <c r="AG800">
        <v>0</v>
      </c>
      <c r="AH800">
        <v>0</v>
      </c>
      <c r="AI800">
        <v>0</v>
      </c>
      <c r="AJ800">
        <v>1965</v>
      </c>
      <c r="AK800" t="s">
        <v>1194</v>
      </c>
      <c r="AL800" t="s">
        <v>1194</v>
      </c>
      <c r="AM800" s="4" t="s">
        <v>1238</v>
      </c>
      <c r="AN800">
        <v>0</v>
      </c>
      <c r="AO800" t="s">
        <v>1315</v>
      </c>
      <c r="AP800">
        <f t="shared" si="24"/>
        <v>0</v>
      </c>
      <c r="AQ800">
        <v>0</v>
      </c>
      <c r="AR800" t="s">
        <v>1993</v>
      </c>
      <c r="AS800" t="s">
        <v>1995</v>
      </c>
      <c r="AT800" t="s">
        <v>1996</v>
      </c>
      <c r="AU800" t="s">
        <v>1995</v>
      </c>
      <c r="AV800" t="s">
        <v>1995</v>
      </c>
      <c r="AW800" t="s">
        <v>1996</v>
      </c>
      <c r="AX800" t="s">
        <v>1194</v>
      </c>
      <c r="AY800" t="s">
        <v>1996</v>
      </c>
      <c r="AZ800">
        <v>4476</v>
      </c>
      <c r="BA800">
        <v>1</v>
      </c>
      <c r="BB800" t="s">
        <v>2018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25158.13</v>
      </c>
      <c r="BK800" s="3">
        <v>-15</v>
      </c>
      <c r="BL800" s="3">
        <v>25143.13</v>
      </c>
      <c r="BM800" s="2">
        <f t="shared" ca="1" si="25"/>
        <v>2</v>
      </c>
      <c r="BN800" s="3" t="s">
        <v>2916</v>
      </c>
      <c r="BO800" s="3">
        <v>20000</v>
      </c>
      <c r="BP800" s="3">
        <v>100000</v>
      </c>
      <c r="BQ800" s="3">
        <v>50000</v>
      </c>
      <c r="BR800" s="3">
        <v>250000</v>
      </c>
      <c r="BS800">
        <v>250000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 t="s">
        <v>2958</v>
      </c>
      <c r="CA800" t="s">
        <v>1194</v>
      </c>
      <c r="CB800" t="s">
        <v>2945</v>
      </c>
    </row>
    <row r="801" spans="1:80" x14ac:dyDescent="0.25">
      <c r="A801">
        <v>800</v>
      </c>
      <c r="B801" t="s">
        <v>2814</v>
      </c>
      <c r="C801" s="1">
        <v>44666</v>
      </c>
      <c r="D801">
        <v>42</v>
      </c>
      <c r="E801" t="s">
        <v>5</v>
      </c>
      <c r="F801" t="s">
        <v>1310</v>
      </c>
      <c r="G801">
        <v>0</v>
      </c>
      <c r="H801" s="3">
        <v>2367000</v>
      </c>
      <c r="I801" s="3">
        <v>177438</v>
      </c>
      <c r="J801" s="3">
        <v>887187</v>
      </c>
      <c r="K801" s="3">
        <v>473400</v>
      </c>
      <c r="L801" t="s">
        <v>1191</v>
      </c>
      <c r="M801">
        <v>1434447</v>
      </c>
      <c r="N801" t="s">
        <v>1598</v>
      </c>
      <c r="P801" t="s">
        <v>1759</v>
      </c>
      <c r="Q801" t="s">
        <v>1266</v>
      </c>
      <c r="R801">
        <v>37205</v>
      </c>
      <c r="S801" t="s">
        <v>1760</v>
      </c>
      <c r="T801" t="s">
        <v>965</v>
      </c>
      <c r="U801">
        <v>0</v>
      </c>
      <c r="V801" t="s">
        <v>1989</v>
      </c>
      <c r="W801" t="s">
        <v>1194</v>
      </c>
      <c r="X801" t="s">
        <v>973</v>
      </c>
      <c r="Y801">
        <v>10000</v>
      </c>
      <c r="Z801" s="2" t="s">
        <v>1194</v>
      </c>
      <c r="AA801" s="2" t="s">
        <v>1238</v>
      </c>
      <c r="AB801" t="s">
        <v>1238</v>
      </c>
      <c r="AC801">
        <v>926</v>
      </c>
      <c r="AD801" t="s">
        <v>1284</v>
      </c>
      <c r="AE801">
        <v>3</v>
      </c>
      <c r="AF801" t="s">
        <v>1290</v>
      </c>
      <c r="AG801">
        <v>0</v>
      </c>
      <c r="AH801">
        <v>0</v>
      </c>
      <c r="AI801">
        <v>0</v>
      </c>
      <c r="AJ801">
        <v>1939</v>
      </c>
      <c r="AK801" t="s">
        <v>1194</v>
      </c>
      <c r="AL801">
        <v>2012</v>
      </c>
      <c r="AM801" s="4" t="s">
        <v>1308</v>
      </c>
      <c r="AN801">
        <v>1</v>
      </c>
      <c r="AO801" t="s">
        <v>1316</v>
      </c>
      <c r="AP801">
        <f t="shared" si="24"/>
        <v>0</v>
      </c>
      <c r="AQ801">
        <v>0</v>
      </c>
      <c r="AR801" t="s">
        <v>1993</v>
      </c>
      <c r="AS801" t="s">
        <v>1995</v>
      </c>
      <c r="AT801" t="s">
        <v>1996</v>
      </c>
      <c r="AU801" t="s">
        <v>1996</v>
      </c>
      <c r="AV801" t="s">
        <v>1996</v>
      </c>
      <c r="AW801" t="s">
        <v>1995</v>
      </c>
      <c r="AX801" t="s">
        <v>1194</v>
      </c>
      <c r="AY801" t="s">
        <v>1996</v>
      </c>
      <c r="AZ801">
        <v>4902</v>
      </c>
      <c r="BA801" t="s">
        <v>1194</v>
      </c>
      <c r="BB801" t="s">
        <v>1194</v>
      </c>
      <c r="BC801" s="3">
        <v>0</v>
      </c>
      <c r="BD801" s="3">
        <v>1145.01</v>
      </c>
      <c r="BE801" s="3">
        <v>0</v>
      </c>
      <c r="BF801" s="3">
        <v>0</v>
      </c>
      <c r="BG801" s="3">
        <v>175</v>
      </c>
      <c r="BH801" s="3">
        <v>0</v>
      </c>
      <c r="BI801" s="3">
        <v>0</v>
      </c>
      <c r="BJ801" s="3">
        <v>4729.83</v>
      </c>
      <c r="BK801" s="3">
        <v>1367.44</v>
      </c>
      <c r="BL801" s="3">
        <v>6097.27</v>
      </c>
      <c r="BM801" s="2">
        <f t="shared" ca="1" si="25"/>
        <v>5</v>
      </c>
      <c r="BN801" s="3">
        <v>1000000</v>
      </c>
      <c r="BO801" s="3">
        <v>250000</v>
      </c>
      <c r="BP801" s="3">
        <v>100000</v>
      </c>
      <c r="BQ801" s="3">
        <v>250000</v>
      </c>
      <c r="BR801" s="3" t="s">
        <v>2916</v>
      </c>
      <c r="BS801">
        <v>500000</v>
      </c>
      <c r="BT801">
        <v>0</v>
      </c>
      <c r="BU801">
        <v>0</v>
      </c>
      <c r="BV801">
        <v>1</v>
      </c>
      <c r="BW801">
        <v>0</v>
      </c>
      <c r="BX801">
        <v>0</v>
      </c>
      <c r="BY801">
        <v>0</v>
      </c>
      <c r="BZ801" t="s">
        <v>2958</v>
      </c>
      <c r="CA801" t="s">
        <v>1194</v>
      </c>
      <c r="CB801" t="s">
        <v>2949</v>
      </c>
    </row>
    <row r="802" spans="1:80" x14ac:dyDescent="0.25">
      <c r="A802">
        <v>801</v>
      </c>
      <c r="B802" t="s">
        <v>2815</v>
      </c>
      <c r="C802" s="1">
        <v>44659</v>
      </c>
      <c r="D802">
        <v>12</v>
      </c>
      <c r="E802" t="s">
        <v>5</v>
      </c>
      <c r="F802" t="s">
        <v>1310</v>
      </c>
      <c r="G802">
        <v>1</v>
      </c>
      <c r="H802" s="3">
        <v>2874875</v>
      </c>
      <c r="I802" s="3">
        <v>574975</v>
      </c>
      <c r="J802" s="3">
        <v>1505497</v>
      </c>
      <c r="K802" s="3">
        <v>574975</v>
      </c>
      <c r="L802" t="s">
        <v>1191</v>
      </c>
      <c r="M802">
        <v>1443611</v>
      </c>
      <c r="N802" t="s">
        <v>1599</v>
      </c>
      <c r="P802" t="s">
        <v>1941</v>
      </c>
      <c r="Q802" t="s">
        <v>1252</v>
      </c>
      <c r="R802">
        <v>49648</v>
      </c>
      <c r="S802" t="s">
        <v>1942</v>
      </c>
      <c r="T802" t="s">
        <v>965</v>
      </c>
      <c r="U802">
        <v>0</v>
      </c>
      <c r="V802">
        <v>1</v>
      </c>
      <c r="W802" t="s">
        <v>1194</v>
      </c>
      <c r="X802" t="s">
        <v>973</v>
      </c>
      <c r="Y802">
        <v>10000</v>
      </c>
      <c r="Z802" s="2" t="s">
        <v>1194</v>
      </c>
      <c r="AA802" s="2">
        <v>1</v>
      </c>
      <c r="AB802">
        <v>2500</v>
      </c>
      <c r="AC802">
        <v>895</v>
      </c>
      <c r="AD802" t="s">
        <v>1279</v>
      </c>
      <c r="AE802">
        <v>6</v>
      </c>
      <c r="AF802" t="s">
        <v>1290</v>
      </c>
      <c r="AG802">
        <v>0</v>
      </c>
      <c r="AH802">
        <v>0</v>
      </c>
      <c r="AI802">
        <v>0</v>
      </c>
      <c r="AJ802">
        <v>2014</v>
      </c>
      <c r="AK802" t="s">
        <v>1194</v>
      </c>
      <c r="AL802" t="s">
        <v>1194</v>
      </c>
      <c r="AM802" s="4" t="s">
        <v>1304</v>
      </c>
      <c r="AN802">
        <v>0</v>
      </c>
      <c r="AO802" t="s">
        <v>1316</v>
      </c>
      <c r="AP802">
        <f t="shared" si="24"/>
        <v>0</v>
      </c>
      <c r="AQ802">
        <v>1</v>
      </c>
      <c r="AR802" t="s">
        <v>1992</v>
      </c>
      <c r="AS802" t="s">
        <v>1995</v>
      </c>
      <c r="AT802" t="s">
        <v>1995</v>
      </c>
      <c r="AU802" t="s">
        <v>1995</v>
      </c>
      <c r="AV802" t="s">
        <v>1996</v>
      </c>
      <c r="AW802" t="s">
        <v>1995</v>
      </c>
      <c r="AX802" t="s">
        <v>1194</v>
      </c>
      <c r="AY802" t="s">
        <v>1996</v>
      </c>
      <c r="AZ802">
        <v>2500</v>
      </c>
      <c r="BA802" t="s">
        <v>1194</v>
      </c>
      <c r="BB802" t="s">
        <v>1194</v>
      </c>
      <c r="BC802" s="3">
        <v>0</v>
      </c>
      <c r="BD802" s="3">
        <v>0</v>
      </c>
      <c r="BE802" s="3">
        <v>0</v>
      </c>
      <c r="BF802" s="3">
        <v>0</v>
      </c>
      <c r="BG802" s="3">
        <v>200</v>
      </c>
      <c r="BH802" s="3">
        <v>0</v>
      </c>
      <c r="BI802" s="3">
        <v>0</v>
      </c>
      <c r="BJ802" s="3">
        <v>4539.0600000000004</v>
      </c>
      <c r="BK802" s="3">
        <v>360</v>
      </c>
      <c r="BL802" s="3">
        <v>4899.0600000000004</v>
      </c>
      <c r="BM802" s="2">
        <f t="shared" ca="1" si="25"/>
        <v>0</v>
      </c>
      <c r="BN802" s="3">
        <v>50000</v>
      </c>
      <c r="BO802" s="3">
        <v>25000</v>
      </c>
      <c r="BP802" s="3">
        <v>50000</v>
      </c>
      <c r="BQ802" s="3">
        <v>50000</v>
      </c>
      <c r="BR802" s="3">
        <v>1000000</v>
      </c>
      <c r="BS802">
        <v>500000</v>
      </c>
      <c r="BT802">
        <v>0</v>
      </c>
      <c r="BU802">
        <v>0</v>
      </c>
      <c r="BV802">
        <v>1</v>
      </c>
      <c r="BW802">
        <v>0</v>
      </c>
      <c r="BX802">
        <v>0</v>
      </c>
      <c r="BY802">
        <v>0</v>
      </c>
      <c r="BZ802" t="s">
        <v>2958</v>
      </c>
      <c r="CA802" t="s">
        <v>1194</v>
      </c>
      <c r="CB802" t="s">
        <v>2945</v>
      </c>
    </row>
    <row r="803" spans="1:80" x14ac:dyDescent="0.25">
      <c r="A803">
        <v>802</v>
      </c>
      <c r="B803" t="s">
        <v>2816</v>
      </c>
      <c r="C803" s="1">
        <v>44743</v>
      </c>
      <c r="D803">
        <v>12</v>
      </c>
      <c r="E803" t="s">
        <v>4</v>
      </c>
      <c r="F803" t="s">
        <v>1311</v>
      </c>
      <c r="G803">
        <v>0</v>
      </c>
      <c r="H803" s="3">
        <v>1953555</v>
      </c>
      <c r="I803" s="3">
        <v>200000</v>
      </c>
      <c r="J803" s="3">
        <v>200000</v>
      </c>
      <c r="K803" s="3">
        <v>390711</v>
      </c>
      <c r="L803" t="s">
        <v>1191</v>
      </c>
      <c r="M803">
        <v>1464924</v>
      </c>
      <c r="N803" t="s">
        <v>1600</v>
      </c>
      <c r="P803" t="s">
        <v>1759</v>
      </c>
      <c r="Q803" t="s">
        <v>1266</v>
      </c>
      <c r="R803">
        <v>37208</v>
      </c>
      <c r="S803" t="s">
        <v>1760</v>
      </c>
      <c r="T803" t="s">
        <v>965</v>
      </c>
      <c r="U803">
        <v>0</v>
      </c>
      <c r="V803" t="s">
        <v>1989</v>
      </c>
      <c r="W803" t="s">
        <v>1194</v>
      </c>
      <c r="X803" t="s">
        <v>973</v>
      </c>
      <c r="Y803">
        <v>10000</v>
      </c>
      <c r="Z803" s="2" t="s">
        <v>1194</v>
      </c>
      <c r="AA803" s="2" t="s">
        <v>1238</v>
      </c>
      <c r="AB803" t="s">
        <v>1238</v>
      </c>
      <c r="AC803">
        <v>775</v>
      </c>
      <c r="AD803" t="s">
        <v>1283</v>
      </c>
      <c r="AE803">
        <v>3</v>
      </c>
      <c r="AF803" t="s">
        <v>1290</v>
      </c>
      <c r="AG803">
        <v>0</v>
      </c>
      <c r="AH803">
        <v>0</v>
      </c>
      <c r="AI803">
        <v>0</v>
      </c>
      <c r="AJ803">
        <v>1899</v>
      </c>
      <c r="AK803">
        <v>2015</v>
      </c>
      <c r="AL803">
        <v>2015</v>
      </c>
      <c r="AM803" s="4" t="s">
        <v>1238</v>
      </c>
      <c r="AN803">
        <v>0</v>
      </c>
      <c r="AO803" t="s">
        <v>1315</v>
      </c>
      <c r="AP803">
        <f t="shared" si="24"/>
        <v>0</v>
      </c>
      <c r="AQ803">
        <v>0</v>
      </c>
      <c r="AR803" t="s">
        <v>1993</v>
      </c>
      <c r="AS803" t="s">
        <v>1996</v>
      </c>
      <c r="AT803" t="s">
        <v>1996</v>
      </c>
      <c r="AU803" t="s">
        <v>1995</v>
      </c>
      <c r="AV803" t="s">
        <v>1995</v>
      </c>
      <c r="AW803" t="s">
        <v>1996</v>
      </c>
      <c r="AX803" t="s">
        <v>1194</v>
      </c>
      <c r="AY803" t="s">
        <v>1996</v>
      </c>
      <c r="AZ803">
        <v>2908</v>
      </c>
      <c r="BA803" t="s">
        <v>1194</v>
      </c>
      <c r="BB803" t="s">
        <v>1194</v>
      </c>
      <c r="BC803" s="3">
        <v>0</v>
      </c>
      <c r="BD803" s="3">
        <v>1169.93</v>
      </c>
      <c r="BE803" s="3">
        <v>0</v>
      </c>
      <c r="BF803" s="3">
        <v>0</v>
      </c>
      <c r="BG803" s="3">
        <v>210</v>
      </c>
      <c r="BH803" s="3">
        <v>0</v>
      </c>
      <c r="BI803" s="3">
        <v>0</v>
      </c>
      <c r="BJ803" s="3">
        <v>5925.07</v>
      </c>
      <c r="BK803" s="3">
        <v>110</v>
      </c>
      <c r="BL803" s="3">
        <v>6035.07</v>
      </c>
      <c r="BM803" s="2">
        <f t="shared" ca="1" si="25"/>
        <v>0</v>
      </c>
      <c r="BN803" s="3">
        <v>2000000</v>
      </c>
      <c r="BO803" s="3">
        <v>1000000</v>
      </c>
      <c r="BP803" s="3" t="s">
        <v>2922</v>
      </c>
      <c r="BQ803" s="3">
        <v>25000</v>
      </c>
      <c r="BR803" s="3">
        <v>250000</v>
      </c>
      <c r="BS803">
        <v>100000</v>
      </c>
      <c r="BT803">
        <v>0</v>
      </c>
      <c r="BU803">
        <v>0</v>
      </c>
      <c r="BV803">
        <v>0</v>
      </c>
      <c r="BW803">
        <v>1</v>
      </c>
      <c r="BX803">
        <v>1</v>
      </c>
      <c r="BY803">
        <v>0</v>
      </c>
      <c r="BZ803" t="s">
        <v>2958</v>
      </c>
      <c r="CA803" t="s">
        <v>1194</v>
      </c>
      <c r="CB803" t="s">
        <v>2949</v>
      </c>
    </row>
    <row r="804" spans="1:80" x14ac:dyDescent="0.25">
      <c r="A804">
        <v>803</v>
      </c>
      <c r="B804" t="s">
        <v>2817</v>
      </c>
      <c r="C804" s="1">
        <v>44703</v>
      </c>
      <c r="D804">
        <v>6</v>
      </c>
      <c r="E804" t="s">
        <v>4</v>
      </c>
      <c r="F804" t="s">
        <v>1310</v>
      </c>
      <c r="G804">
        <v>1</v>
      </c>
      <c r="H804" s="3">
        <v>956671</v>
      </c>
      <c r="I804" s="3">
        <v>191334</v>
      </c>
      <c r="J804" s="3">
        <v>384500</v>
      </c>
      <c r="K804" s="3">
        <v>191334.2</v>
      </c>
      <c r="L804" t="s">
        <v>1191</v>
      </c>
      <c r="M804">
        <v>1465260</v>
      </c>
      <c r="N804" t="s">
        <v>1601</v>
      </c>
      <c r="P804" t="s">
        <v>1712</v>
      </c>
      <c r="Q804" t="s">
        <v>1239</v>
      </c>
      <c r="R804">
        <v>80304</v>
      </c>
      <c r="S804" t="s">
        <v>1712</v>
      </c>
      <c r="T804" t="s">
        <v>965</v>
      </c>
      <c r="U804">
        <v>0</v>
      </c>
      <c r="V804">
        <v>76</v>
      </c>
      <c r="W804" t="s">
        <v>1194</v>
      </c>
      <c r="X804" t="s">
        <v>973</v>
      </c>
      <c r="Y804">
        <v>10000</v>
      </c>
      <c r="Z804" s="2" t="s">
        <v>1194</v>
      </c>
      <c r="AA804" s="2">
        <v>1</v>
      </c>
      <c r="AB804">
        <v>0.02</v>
      </c>
      <c r="AC804">
        <v>779</v>
      </c>
      <c r="AD804" t="s">
        <v>1279</v>
      </c>
      <c r="AE804">
        <v>3</v>
      </c>
      <c r="AF804" t="s">
        <v>1290</v>
      </c>
      <c r="AG804">
        <v>0</v>
      </c>
      <c r="AH804">
        <v>0</v>
      </c>
      <c r="AI804">
        <v>0</v>
      </c>
      <c r="AJ804">
        <v>1978</v>
      </c>
      <c r="AK804" t="s">
        <v>1194</v>
      </c>
      <c r="AL804">
        <v>2020</v>
      </c>
      <c r="AM804" s="4" t="s">
        <v>1306</v>
      </c>
      <c r="AN804">
        <v>0</v>
      </c>
      <c r="AO804" t="s">
        <v>1315</v>
      </c>
      <c r="AP804">
        <f t="shared" si="24"/>
        <v>0</v>
      </c>
      <c r="AQ804">
        <v>1</v>
      </c>
      <c r="AR804" t="s">
        <v>1992</v>
      </c>
      <c r="AS804" t="s">
        <v>1996</v>
      </c>
      <c r="AT804" t="s">
        <v>1995</v>
      </c>
      <c r="AU804" t="s">
        <v>1996</v>
      </c>
      <c r="AV804" t="s">
        <v>1995</v>
      </c>
      <c r="AW804" t="s">
        <v>1995</v>
      </c>
      <c r="AX804" t="s">
        <v>1194</v>
      </c>
      <c r="AY804" t="s">
        <v>1996</v>
      </c>
      <c r="AZ804">
        <v>2744</v>
      </c>
      <c r="BA804">
        <v>3</v>
      </c>
      <c r="BB804" t="s">
        <v>2014</v>
      </c>
      <c r="BC804" s="3">
        <v>0</v>
      </c>
      <c r="BD804" s="3">
        <v>0</v>
      </c>
      <c r="BE804" s="3">
        <v>0</v>
      </c>
      <c r="BF804" s="3">
        <v>282.26</v>
      </c>
      <c r="BG804" s="3">
        <v>150</v>
      </c>
      <c r="BH804" s="3">
        <v>0</v>
      </c>
      <c r="BI804" s="3">
        <v>0</v>
      </c>
      <c r="BJ804" s="3">
        <v>3145.86</v>
      </c>
      <c r="BK804" s="3">
        <v>285</v>
      </c>
      <c r="BL804" s="3">
        <v>3430.86</v>
      </c>
      <c r="BM804" s="2">
        <f t="shared" ca="1" si="25"/>
        <v>0</v>
      </c>
      <c r="BN804" s="3" t="s">
        <v>2916</v>
      </c>
      <c r="BO804" s="3">
        <v>250000</v>
      </c>
      <c r="BP804" s="3">
        <v>50000</v>
      </c>
      <c r="BQ804" s="3">
        <v>100000</v>
      </c>
      <c r="BR804" s="3">
        <v>1000000</v>
      </c>
      <c r="BS804">
        <v>250000</v>
      </c>
      <c r="BT804">
        <v>0</v>
      </c>
      <c r="BU804">
        <v>0</v>
      </c>
      <c r="BV804">
        <v>1</v>
      </c>
      <c r="BW804">
        <v>0</v>
      </c>
      <c r="BX804">
        <v>0</v>
      </c>
      <c r="BY804">
        <v>0</v>
      </c>
      <c r="BZ804" t="s">
        <v>2958</v>
      </c>
      <c r="CA804" t="s">
        <v>1194</v>
      </c>
      <c r="CB804" t="s">
        <v>2941</v>
      </c>
    </row>
    <row r="805" spans="1:80" x14ac:dyDescent="0.25">
      <c r="A805">
        <v>804</v>
      </c>
      <c r="B805" t="s">
        <v>2818</v>
      </c>
      <c r="C805" s="1">
        <v>44720</v>
      </c>
      <c r="D805">
        <v>12</v>
      </c>
      <c r="E805" t="s">
        <v>4</v>
      </c>
      <c r="F805" t="s">
        <v>1311</v>
      </c>
      <c r="G805">
        <v>1</v>
      </c>
      <c r="H805" s="3">
        <v>1857169</v>
      </c>
      <c r="I805" s="3">
        <v>57498</v>
      </c>
      <c r="J805" s="3">
        <v>574975</v>
      </c>
      <c r="K805" s="3">
        <v>371433.8</v>
      </c>
      <c r="L805" t="s">
        <v>1191</v>
      </c>
      <c r="M805">
        <v>1473618</v>
      </c>
      <c r="N805" t="s">
        <v>1602</v>
      </c>
      <c r="P805" t="s">
        <v>1943</v>
      </c>
      <c r="Q805" t="s">
        <v>1268</v>
      </c>
      <c r="R805">
        <v>22180</v>
      </c>
      <c r="S805" t="s">
        <v>1776</v>
      </c>
      <c r="T805" t="s">
        <v>965</v>
      </c>
      <c r="U805">
        <v>0</v>
      </c>
      <c r="V805">
        <v>10</v>
      </c>
      <c r="W805" t="s">
        <v>1194</v>
      </c>
      <c r="X805" t="s">
        <v>973</v>
      </c>
      <c r="Y805">
        <v>10000</v>
      </c>
      <c r="Z805" s="2" t="s">
        <v>1194</v>
      </c>
      <c r="AA805" s="2" t="s">
        <v>1238</v>
      </c>
      <c r="AB805" t="s">
        <v>1238</v>
      </c>
      <c r="AC805">
        <v>696</v>
      </c>
      <c r="AD805" t="s">
        <v>1279</v>
      </c>
      <c r="AE805">
        <v>1</v>
      </c>
      <c r="AF805" t="s">
        <v>1290</v>
      </c>
      <c r="AG805">
        <v>0</v>
      </c>
      <c r="AH805">
        <v>0</v>
      </c>
      <c r="AI805">
        <v>0</v>
      </c>
      <c r="AJ805">
        <v>2014</v>
      </c>
      <c r="AK805" t="s">
        <v>1194</v>
      </c>
      <c r="AL805" t="s">
        <v>1194</v>
      </c>
      <c r="AM805" s="4" t="s">
        <v>1238</v>
      </c>
      <c r="AN805">
        <v>0</v>
      </c>
      <c r="AO805" t="s">
        <v>1317</v>
      </c>
      <c r="AP805">
        <f t="shared" si="24"/>
        <v>0</v>
      </c>
      <c r="AQ805">
        <v>0</v>
      </c>
      <c r="AR805" t="s">
        <v>1993</v>
      </c>
      <c r="AS805" t="s">
        <v>1995</v>
      </c>
      <c r="AT805" t="s">
        <v>1996</v>
      </c>
      <c r="AU805" t="s">
        <v>1996</v>
      </c>
      <c r="AV805" t="s">
        <v>1996</v>
      </c>
      <c r="AW805" t="s">
        <v>1995</v>
      </c>
      <c r="AX805" t="s">
        <v>2003</v>
      </c>
      <c r="AY805" t="s">
        <v>1996</v>
      </c>
      <c r="AZ805">
        <v>6400</v>
      </c>
      <c r="BA805" t="s">
        <v>1194</v>
      </c>
      <c r="BB805" t="s">
        <v>1194</v>
      </c>
      <c r="BC805" s="3">
        <v>0</v>
      </c>
      <c r="BD805" s="3">
        <v>0</v>
      </c>
      <c r="BE805" s="3">
        <v>0</v>
      </c>
      <c r="BF805" s="3">
        <v>0</v>
      </c>
      <c r="BG805" s="3">
        <v>175</v>
      </c>
      <c r="BH805" s="3">
        <v>0</v>
      </c>
      <c r="BI805" s="3">
        <v>0</v>
      </c>
      <c r="BJ805" s="3">
        <v>5617.14</v>
      </c>
      <c r="BK805" s="3">
        <v>-20</v>
      </c>
      <c r="BL805" s="3">
        <v>5597.14</v>
      </c>
      <c r="BM805" s="2">
        <f t="shared" ca="1" si="25"/>
        <v>0</v>
      </c>
      <c r="BN805" s="3">
        <v>2000000</v>
      </c>
      <c r="BO805" s="3">
        <v>50000</v>
      </c>
      <c r="BP805" s="3">
        <v>100000</v>
      </c>
      <c r="BQ805" s="3">
        <v>1000000</v>
      </c>
      <c r="BR805" s="3">
        <v>100000</v>
      </c>
      <c r="BS805">
        <v>1000000</v>
      </c>
      <c r="BT805">
        <v>0</v>
      </c>
      <c r="BU805">
        <v>0</v>
      </c>
      <c r="BV805">
        <v>1</v>
      </c>
      <c r="BW805">
        <v>0</v>
      </c>
      <c r="BX805">
        <v>0</v>
      </c>
      <c r="BY805">
        <v>0</v>
      </c>
      <c r="BZ805" t="s">
        <v>2949</v>
      </c>
      <c r="CA805" t="s">
        <v>1194</v>
      </c>
      <c r="CB805" t="s">
        <v>2949</v>
      </c>
    </row>
    <row r="806" spans="1:80" x14ac:dyDescent="0.25">
      <c r="A806">
        <v>805</v>
      </c>
      <c r="B806" t="s">
        <v>2819</v>
      </c>
      <c r="C806" s="1">
        <v>44824</v>
      </c>
      <c r="D806">
        <v>12</v>
      </c>
      <c r="E806" t="s">
        <v>4</v>
      </c>
      <c r="F806" t="s">
        <v>1311</v>
      </c>
      <c r="G806">
        <v>1</v>
      </c>
      <c r="H806" s="3">
        <v>1767980</v>
      </c>
      <c r="I806" s="3">
        <v>185300</v>
      </c>
      <c r="J806" s="3">
        <v>883990</v>
      </c>
      <c r="K806" s="3">
        <v>353596</v>
      </c>
      <c r="L806" t="s">
        <v>1191</v>
      </c>
      <c r="M806">
        <v>1591075</v>
      </c>
      <c r="N806" t="s">
        <v>1603</v>
      </c>
      <c r="P806" t="s">
        <v>1944</v>
      </c>
      <c r="Q806" t="s">
        <v>1262</v>
      </c>
      <c r="R806">
        <v>97138</v>
      </c>
      <c r="S806" t="s">
        <v>1945</v>
      </c>
      <c r="T806" t="s">
        <v>965</v>
      </c>
      <c r="U806">
        <v>0</v>
      </c>
      <c r="V806">
        <v>1</v>
      </c>
      <c r="W806" t="s">
        <v>1194</v>
      </c>
      <c r="X806" t="s">
        <v>973</v>
      </c>
      <c r="Y806">
        <v>10000</v>
      </c>
      <c r="Z806" s="2" t="s">
        <v>1194</v>
      </c>
      <c r="AA806" s="2" t="s">
        <v>1238</v>
      </c>
      <c r="AB806" t="s">
        <v>1238</v>
      </c>
      <c r="AC806">
        <v>712</v>
      </c>
      <c r="AD806" t="s">
        <v>1279</v>
      </c>
      <c r="AE806">
        <v>3</v>
      </c>
      <c r="AF806" t="s">
        <v>1290</v>
      </c>
      <c r="AG806">
        <v>0</v>
      </c>
      <c r="AH806">
        <v>0</v>
      </c>
      <c r="AI806">
        <v>0</v>
      </c>
      <c r="AJ806">
        <v>1924</v>
      </c>
      <c r="AK806" t="s">
        <v>1194</v>
      </c>
      <c r="AL806" t="s">
        <v>1194</v>
      </c>
      <c r="AM806" s="4" t="s">
        <v>1238</v>
      </c>
      <c r="AN806">
        <v>1</v>
      </c>
      <c r="AO806" t="s">
        <v>1316</v>
      </c>
      <c r="AP806">
        <f t="shared" si="24"/>
        <v>0</v>
      </c>
      <c r="AQ806">
        <v>1</v>
      </c>
      <c r="AR806" t="s">
        <v>1992</v>
      </c>
      <c r="AS806" t="s">
        <v>1996</v>
      </c>
      <c r="AT806" t="s">
        <v>1996</v>
      </c>
      <c r="AU806" t="s">
        <v>1996</v>
      </c>
      <c r="AV806" t="s">
        <v>1996</v>
      </c>
      <c r="AW806" t="s">
        <v>1996</v>
      </c>
      <c r="AX806" t="s">
        <v>1194</v>
      </c>
      <c r="AY806" t="s">
        <v>1996</v>
      </c>
      <c r="AZ806">
        <v>2684</v>
      </c>
      <c r="BA806" t="s">
        <v>1194</v>
      </c>
      <c r="BB806" t="s">
        <v>2016</v>
      </c>
      <c r="BC806" s="3">
        <v>0</v>
      </c>
      <c r="BD806" s="3">
        <v>806.36</v>
      </c>
      <c r="BE806" s="3">
        <v>0</v>
      </c>
      <c r="BF806" s="3">
        <v>806.36</v>
      </c>
      <c r="BG806" s="3">
        <v>210</v>
      </c>
      <c r="BH806" s="3">
        <v>0</v>
      </c>
      <c r="BI806" s="3">
        <v>0</v>
      </c>
      <c r="BJ806" s="3">
        <v>6630.66</v>
      </c>
      <c r="BK806" s="3">
        <v>400</v>
      </c>
      <c r="BL806" s="3">
        <v>7030.66</v>
      </c>
      <c r="BM806" s="2">
        <f t="shared" ca="1" si="25"/>
        <v>3</v>
      </c>
      <c r="BN806" s="3" t="s">
        <v>2916</v>
      </c>
      <c r="BO806" s="3">
        <v>1000000</v>
      </c>
      <c r="BP806" s="3" t="s">
        <v>2922</v>
      </c>
      <c r="BQ806" s="3">
        <v>1000000</v>
      </c>
      <c r="BR806" s="3">
        <v>250000</v>
      </c>
      <c r="BS806">
        <v>50000</v>
      </c>
      <c r="BT806">
        <v>0</v>
      </c>
      <c r="BU806">
        <v>0</v>
      </c>
      <c r="BV806">
        <v>0</v>
      </c>
      <c r="BW806">
        <v>1</v>
      </c>
      <c r="BX806">
        <v>1</v>
      </c>
      <c r="BY806">
        <v>0</v>
      </c>
      <c r="BZ806" t="s">
        <v>2958</v>
      </c>
      <c r="CA806" t="s">
        <v>1194</v>
      </c>
      <c r="CB806" t="s">
        <v>2941</v>
      </c>
    </row>
    <row r="807" spans="1:80" x14ac:dyDescent="0.25">
      <c r="A807">
        <v>806</v>
      </c>
      <c r="B807" t="s">
        <v>2820</v>
      </c>
      <c r="C807" s="1">
        <v>44743</v>
      </c>
      <c r="D807">
        <v>12</v>
      </c>
      <c r="E807" t="s">
        <v>4</v>
      </c>
      <c r="F807" t="s">
        <v>1311</v>
      </c>
      <c r="G807">
        <v>1</v>
      </c>
      <c r="H807" s="3">
        <v>4043900</v>
      </c>
      <c r="I807" s="3">
        <v>808780</v>
      </c>
      <c r="J807" s="3">
        <v>2021950</v>
      </c>
      <c r="K807" s="3">
        <v>0</v>
      </c>
      <c r="L807" t="s">
        <v>1191</v>
      </c>
      <c r="M807">
        <v>1480717</v>
      </c>
      <c r="N807" t="s">
        <v>1604</v>
      </c>
      <c r="P807" t="s">
        <v>1712</v>
      </c>
      <c r="Q807" t="s">
        <v>1239</v>
      </c>
      <c r="R807">
        <v>80304</v>
      </c>
      <c r="S807" t="s">
        <v>1712</v>
      </c>
      <c r="T807" t="s">
        <v>965</v>
      </c>
      <c r="U807">
        <v>0</v>
      </c>
      <c r="V807">
        <v>76</v>
      </c>
      <c r="W807" t="s">
        <v>1194</v>
      </c>
      <c r="X807" t="s">
        <v>973</v>
      </c>
      <c r="Y807">
        <v>10000</v>
      </c>
      <c r="Z807" s="2">
        <v>0.618215089</v>
      </c>
      <c r="AA807" s="2">
        <v>1</v>
      </c>
      <c r="AB807" t="s">
        <v>1277</v>
      </c>
      <c r="AC807">
        <v>794</v>
      </c>
      <c r="AD807" t="s">
        <v>1279</v>
      </c>
      <c r="AE807">
        <v>3</v>
      </c>
      <c r="AF807" t="s">
        <v>1290</v>
      </c>
      <c r="AG807">
        <v>0</v>
      </c>
      <c r="AH807">
        <v>0</v>
      </c>
      <c r="AI807">
        <v>0</v>
      </c>
      <c r="AJ807">
        <v>2017</v>
      </c>
      <c r="AK807" t="s">
        <v>1194</v>
      </c>
      <c r="AL807" t="s">
        <v>1194</v>
      </c>
      <c r="AM807" s="4" t="s">
        <v>1238</v>
      </c>
      <c r="AN807">
        <v>1</v>
      </c>
      <c r="AO807" t="s">
        <v>1317</v>
      </c>
      <c r="AP807">
        <f t="shared" si="24"/>
        <v>0</v>
      </c>
      <c r="AQ807">
        <v>1</v>
      </c>
      <c r="AR807" t="s">
        <v>1992</v>
      </c>
      <c r="AS807" t="s">
        <v>1996</v>
      </c>
      <c r="AT807" t="s">
        <v>1995</v>
      </c>
      <c r="AU807" t="s">
        <v>1995</v>
      </c>
      <c r="AV807" t="s">
        <v>1996</v>
      </c>
      <c r="AW807" t="s">
        <v>1996</v>
      </c>
      <c r="AX807" t="s">
        <v>1194</v>
      </c>
      <c r="AY807" t="s">
        <v>1996</v>
      </c>
      <c r="AZ807">
        <v>5329</v>
      </c>
      <c r="BA807">
        <v>3</v>
      </c>
      <c r="BB807" t="s">
        <v>2014</v>
      </c>
      <c r="BC807" s="3">
        <v>0</v>
      </c>
      <c r="BD807" s="3">
        <v>0</v>
      </c>
      <c r="BE807" s="3">
        <v>0</v>
      </c>
      <c r="BF807" s="3">
        <v>893.6</v>
      </c>
      <c r="BG807" s="3">
        <v>175</v>
      </c>
      <c r="BH807" s="3">
        <v>0</v>
      </c>
      <c r="BI807" s="3">
        <v>0</v>
      </c>
      <c r="BJ807" s="3">
        <v>11664.35</v>
      </c>
      <c r="BK807" s="3">
        <v>1174</v>
      </c>
      <c r="BL807" s="3">
        <v>12838.35</v>
      </c>
      <c r="BM807" s="2">
        <f t="shared" ca="1" si="25"/>
        <v>1</v>
      </c>
      <c r="BN807" s="3">
        <v>1000000</v>
      </c>
      <c r="BO807" s="3">
        <v>25000</v>
      </c>
      <c r="BP807" s="3">
        <v>50000</v>
      </c>
      <c r="BQ807" s="3">
        <v>1000000</v>
      </c>
      <c r="BR807" s="3" t="s">
        <v>2916</v>
      </c>
      <c r="BS807">
        <v>50000</v>
      </c>
      <c r="BT807">
        <v>0</v>
      </c>
      <c r="BU807">
        <v>0</v>
      </c>
      <c r="BV807">
        <v>0</v>
      </c>
      <c r="BW807">
        <v>1</v>
      </c>
      <c r="BX807">
        <v>0</v>
      </c>
      <c r="BY807">
        <v>0</v>
      </c>
      <c r="BZ807" t="s">
        <v>2958</v>
      </c>
      <c r="CA807" t="s">
        <v>1194</v>
      </c>
      <c r="CB807" t="s">
        <v>2952</v>
      </c>
    </row>
    <row r="808" spans="1:80" x14ac:dyDescent="0.25">
      <c r="A808">
        <v>807</v>
      </c>
      <c r="B808" t="s">
        <v>2821</v>
      </c>
      <c r="C808" s="1">
        <v>44742</v>
      </c>
      <c r="D808">
        <v>12</v>
      </c>
      <c r="E808" t="s">
        <v>6</v>
      </c>
      <c r="F808" t="s">
        <v>1310</v>
      </c>
      <c r="G808">
        <v>0</v>
      </c>
      <c r="H808" s="3">
        <v>3750660</v>
      </c>
      <c r="I808" s="3">
        <v>670132</v>
      </c>
      <c r="J808" s="3">
        <v>1675330</v>
      </c>
      <c r="K808" s="3">
        <v>0</v>
      </c>
      <c r="L808" t="s">
        <v>1191</v>
      </c>
      <c r="M808">
        <v>1481363</v>
      </c>
      <c r="N808" t="s">
        <v>1605</v>
      </c>
      <c r="P808" t="s">
        <v>1946</v>
      </c>
      <c r="Q808" t="s">
        <v>1270</v>
      </c>
      <c r="R808">
        <v>98077</v>
      </c>
      <c r="S808" t="s">
        <v>1796</v>
      </c>
      <c r="T808" t="s">
        <v>965</v>
      </c>
      <c r="U808">
        <v>0</v>
      </c>
      <c r="V808">
        <v>137</v>
      </c>
      <c r="W808" t="s">
        <v>1194</v>
      </c>
      <c r="X808" t="s">
        <v>973</v>
      </c>
      <c r="Y808">
        <v>10000</v>
      </c>
      <c r="Z808" s="2" t="s">
        <v>1194</v>
      </c>
      <c r="AA808" s="2" t="s">
        <v>1238</v>
      </c>
      <c r="AB808" t="s">
        <v>1238</v>
      </c>
      <c r="AC808" t="s">
        <v>1194</v>
      </c>
      <c r="AD808" t="s">
        <v>1279</v>
      </c>
      <c r="AE808">
        <v>4</v>
      </c>
      <c r="AF808" t="s">
        <v>1290</v>
      </c>
      <c r="AG808">
        <v>0</v>
      </c>
      <c r="AH808">
        <v>0</v>
      </c>
      <c r="AI808">
        <v>0</v>
      </c>
      <c r="AJ808">
        <v>2002</v>
      </c>
      <c r="AK808" t="s">
        <v>1194</v>
      </c>
      <c r="AL808" t="s">
        <v>1194</v>
      </c>
      <c r="AM808" s="4" t="s">
        <v>1305</v>
      </c>
      <c r="AN808">
        <v>1</v>
      </c>
      <c r="AO808" t="s">
        <v>1315</v>
      </c>
      <c r="AP808">
        <f t="shared" si="24"/>
        <v>0</v>
      </c>
      <c r="AQ808">
        <v>0</v>
      </c>
      <c r="AR808" t="s">
        <v>1993</v>
      </c>
      <c r="AS808" t="s">
        <v>1995</v>
      </c>
      <c r="AT808" t="s">
        <v>1995</v>
      </c>
      <c r="AU808" t="s">
        <v>1996</v>
      </c>
      <c r="AV808" t="s">
        <v>1996</v>
      </c>
      <c r="AW808" t="s">
        <v>1995</v>
      </c>
      <c r="AX808" t="s">
        <v>1194</v>
      </c>
      <c r="AY808" t="s">
        <v>1996</v>
      </c>
      <c r="AZ808">
        <v>6820</v>
      </c>
      <c r="BA808" t="s">
        <v>1194</v>
      </c>
      <c r="BB808" t="s">
        <v>2016</v>
      </c>
      <c r="BC808" s="3">
        <v>0</v>
      </c>
      <c r="BD808" s="3">
        <v>0</v>
      </c>
      <c r="BE808" s="3">
        <v>0</v>
      </c>
      <c r="BF808" s="3">
        <v>0</v>
      </c>
      <c r="BG808" s="3">
        <v>110</v>
      </c>
      <c r="BH808" s="3">
        <v>0</v>
      </c>
      <c r="BI808" s="3">
        <v>0</v>
      </c>
      <c r="BJ808" s="3">
        <v>7602.79</v>
      </c>
      <c r="BK808" s="3">
        <v>4469.6899999999996</v>
      </c>
      <c r="BL808" s="3">
        <v>12072.48</v>
      </c>
      <c r="BM808" s="2">
        <f t="shared" ca="1" si="25"/>
        <v>5</v>
      </c>
      <c r="BN808" s="3" t="s">
        <v>2916</v>
      </c>
      <c r="BO808" s="3">
        <v>50000</v>
      </c>
      <c r="BP808" s="3">
        <v>100000</v>
      </c>
      <c r="BQ808" s="3">
        <v>50000</v>
      </c>
      <c r="BR808" s="3">
        <v>1000000</v>
      </c>
      <c r="BS808">
        <v>500000</v>
      </c>
      <c r="BT808">
        <v>0</v>
      </c>
      <c r="BU808">
        <v>1</v>
      </c>
      <c r="BV808">
        <v>1</v>
      </c>
      <c r="BW808">
        <v>0</v>
      </c>
      <c r="BX808">
        <v>0</v>
      </c>
      <c r="BY808">
        <v>0</v>
      </c>
      <c r="BZ808" t="s">
        <v>2949</v>
      </c>
      <c r="CA808" t="s">
        <v>1194</v>
      </c>
      <c r="CB808" t="s">
        <v>2949</v>
      </c>
    </row>
    <row r="809" spans="1:80" x14ac:dyDescent="0.25">
      <c r="A809">
        <v>808</v>
      </c>
      <c r="B809" t="s">
        <v>2822</v>
      </c>
      <c r="C809" s="1">
        <v>44774</v>
      </c>
      <c r="D809">
        <v>12</v>
      </c>
      <c r="E809" t="s">
        <v>5</v>
      </c>
      <c r="F809" t="s">
        <v>1310</v>
      </c>
      <c r="G809">
        <v>1</v>
      </c>
      <c r="H809" s="3">
        <v>3467355</v>
      </c>
      <c r="I809" s="3">
        <v>173310</v>
      </c>
      <c r="J809" s="3">
        <v>1733678</v>
      </c>
      <c r="K809" s="3">
        <v>0</v>
      </c>
      <c r="L809" t="s">
        <v>1191</v>
      </c>
      <c r="M809">
        <v>1256445</v>
      </c>
      <c r="N809" t="s">
        <v>1606</v>
      </c>
      <c r="P809" t="s">
        <v>1901</v>
      </c>
      <c r="Q809" t="s">
        <v>1259</v>
      </c>
      <c r="R809">
        <v>89451</v>
      </c>
      <c r="S809" t="s">
        <v>1902</v>
      </c>
      <c r="T809" t="s">
        <v>965</v>
      </c>
      <c r="U809">
        <v>0</v>
      </c>
      <c r="V809">
        <v>2</v>
      </c>
      <c r="W809" t="s">
        <v>1194</v>
      </c>
      <c r="X809" t="s">
        <v>973</v>
      </c>
      <c r="Y809">
        <v>25000</v>
      </c>
      <c r="Z809" s="2" t="s">
        <v>1194</v>
      </c>
      <c r="AA809" s="2" t="s">
        <v>1238</v>
      </c>
      <c r="AB809" t="s">
        <v>1238</v>
      </c>
      <c r="AC809">
        <v>696</v>
      </c>
      <c r="AD809" t="s">
        <v>1279</v>
      </c>
      <c r="AE809">
        <v>1</v>
      </c>
      <c r="AF809" t="s">
        <v>1290</v>
      </c>
      <c r="AG809">
        <v>0</v>
      </c>
      <c r="AH809">
        <v>0</v>
      </c>
      <c r="AI809">
        <v>0</v>
      </c>
      <c r="AJ809">
        <v>1970</v>
      </c>
      <c r="AK809">
        <v>2017</v>
      </c>
      <c r="AL809">
        <v>2006</v>
      </c>
      <c r="AM809" s="4" t="s">
        <v>1304</v>
      </c>
      <c r="AN809">
        <v>0</v>
      </c>
      <c r="AO809" t="s">
        <v>1315</v>
      </c>
      <c r="AP809">
        <f t="shared" si="24"/>
        <v>0</v>
      </c>
      <c r="AQ809">
        <v>1</v>
      </c>
      <c r="AR809" t="s">
        <v>1992</v>
      </c>
      <c r="AS809" t="s">
        <v>1995</v>
      </c>
      <c r="AT809" t="s">
        <v>1996</v>
      </c>
      <c r="AU809" t="s">
        <v>1995</v>
      </c>
      <c r="AV809" t="s">
        <v>1995</v>
      </c>
      <c r="AW809" t="s">
        <v>1996</v>
      </c>
      <c r="AX809" t="s">
        <v>1194</v>
      </c>
      <c r="AY809" t="s">
        <v>1996</v>
      </c>
      <c r="AZ809">
        <v>3383</v>
      </c>
      <c r="BA809">
        <v>2</v>
      </c>
      <c r="BB809" t="s">
        <v>2018</v>
      </c>
      <c r="BC809" s="3">
        <v>0</v>
      </c>
      <c r="BD809" s="3">
        <v>1554.21</v>
      </c>
      <c r="BE809" s="3">
        <v>0</v>
      </c>
      <c r="BF809" s="3">
        <v>1554.21</v>
      </c>
      <c r="BG809" s="3">
        <v>175</v>
      </c>
      <c r="BH809" s="3">
        <v>0</v>
      </c>
      <c r="BI809" s="3">
        <v>0</v>
      </c>
      <c r="BJ809" s="3">
        <v>6188.31</v>
      </c>
      <c r="BK809" s="3">
        <v>716</v>
      </c>
      <c r="BL809" s="3">
        <v>6904.31</v>
      </c>
      <c r="BM809" s="2">
        <f t="shared" ca="1" si="25"/>
        <v>1</v>
      </c>
      <c r="BN809" s="3">
        <v>2000000</v>
      </c>
      <c r="BO809" s="3">
        <v>25000</v>
      </c>
      <c r="BP809" s="3">
        <v>50000</v>
      </c>
      <c r="BQ809" s="3">
        <v>2000000</v>
      </c>
      <c r="BR809" s="3">
        <v>2000000</v>
      </c>
      <c r="BS809">
        <v>50000</v>
      </c>
      <c r="BT809">
        <v>0</v>
      </c>
      <c r="BU809">
        <v>0</v>
      </c>
      <c r="BV809">
        <v>1</v>
      </c>
      <c r="BW809">
        <v>0</v>
      </c>
      <c r="BX809">
        <v>0</v>
      </c>
      <c r="BY809">
        <v>0</v>
      </c>
      <c r="BZ809" t="s">
        <v>2958</v>
      </c>
      <c r="CA809" t="s">
        <v>1194</v>
      </c>
      <c r="CB809" t="s">
        <v>2945</v>
      </c>
    </row>
    <row r="810" spans="1:80" x14ac:dyDescent="0.25">
      <c r="A810">
        <v>809</v>
      </c>
      <c r="B810" t="s">
        <v>2823</v>
      </c>
      <c r="C810" s="1">
        <v>44757</v>
      </c>
      <c r="D810">
        <v>12</v>
      </c>
      <c r="E810" t="s">
        <v>4</v>
      </c>
      <c r="F810" t="s">
        <v>1311</v>
      </c>
      <c r="G810">
        <v>0</v>
      </c>
      <c r="H810" s="3">
        <v>2281915</v>
      </c>
      <c r="I810" s="3">
        <v>310487</v>
      </c>
      <c r="J810" s="3">
        <v>776216</v>
      </c>
      <c r="K810" s="3">
        <v>456383</v>
      </c>
      <c r="L810" t="s">
        <v>1191</v>
      </c>
      <c r="M810">
        <v>1478339</v>
      </c>
      <c r="N810" t="s">
        <v>1607</v>
      </c>
      <c r="P810" t="s">
        <v>1757</v>
      </c>
      <c r="Q810" t="s">
        <v>1261</v>
      </c>
      <c r="R810">
        <v>73120</v>
      </c>
      <c r="S810" t="s">
        <v>1758</v>
      </c>
      <c r="T810" t="s">
        <v>965</v>
      </c>
      <c r="U810">
        <v>0</v>
      </c>
      <c r="V810">
        <v>1</v>
      </c>
      <c r="W810" t="s">
        <v>1194</v>
      </c>
      <c r="X810" t="s">
        <v>973</v>
      </c>
      <c r="Y810">
        <v>10000</v>
      </c>
      <c r="Z810" s="2">
        <v>0.99999342700000005</v>
      </c>
      <c r="AA810" s="2">
        <v>1</v>
      </c>
      <c r="AB810" t="s">
        <v>1277</v>
      </c>
      <c r="AC810">
        <v>811</v>
      </c>
      <c r="AD810" t="s">
        <v>1284</v>
      </c>
      <c r="AE810">
        <v>2</v>
      </c>
      <c r="AF810" t="s">
        <v>1290</v>
      </c>
      <c r="AG810">
        <v>0</v>
      </c>
      <c r="AH810">
        <v>0</v>
      </c>
      <c r="AI810">
        <v>0</v>
      </c>
      <c r="AJ810">
        <v>1974</v>
      </c>
      <c r="AK810">
        <v>2000</v>
      </c>
      <c r="AL810">
        <v>2012</v>
      </c>
      <c r="AM810" s="4" t="s">
        <v>1238</v>
      </c>
      <c r="AN810">
        <v>0</v>
      </c>
      <c r="AO810" t="s">
        <v>1316</v>
      </c>
      <c r="AP810">
        <f t="shared" si="24"/>
        <v>0</v>
      </c>
      <c r="AQ810">
        <v>1</v>
      </c>
      <c r="AR810" t="s">
        <v>1992</v>
      </c>
      <c r="AS810" t="s">
        <v>1996</v>
      </c>
      <c r="AT810" t="s">
        <v>1995</v>
      </c>
      <c r="AU810" t="s">
        <v>1996</v>
      </c>
      <c r="AV810" t="s">
        <v>1996</v>
      </c>
      <c r="AW810" t="s">
        <v>1995</v>
      </c>
      <c r="AX810" t="s">
        <v>1194</v>
      </c>
      <c r="AY810" t="s">
        <v>1996</v>
      </c>
      <c r="AZ810">
        <v>5714</v>
      </c>
      <c r="BA810" t="s">
        <v>1194</v>
      </c>
      <c r="BB810" t="s">
        <v>1194</v>
      </c>
      <c r="BC810" s="3">
        <v>0</v>
      </c>
      <c r="BD810" s="3">
        <v>0</v>
      </c>
      <c r="BE810" s="3">
        <v>0</v>
      </c>
      <c r="BF810" s="3">
        <v>0</v>
      </c>
      <c r="BG810" s="3">
        <v>210</v>
      </c>
      <c r="BH810" s="3">
        <v>0</v>
      </c>
      <c r="BI810" s="3">
        <v>0</v>
      </c>
      <c r="BJ810" s="3">
        <v>15521.12</v>
      </c>
      <c r="BK810" s="3">
        <v>691.38</v>
      </c>
      <c r="BL810" s="3">
        <v>16212.5</v>
      </c>
      <c r="BM810" s="2">
        <f t="shared" ca="1" si="25"/>
        <v>3</v>
      </c>
      <c r="BN810" s="3">
        <v>50000</v>
      </c>
      <c r="BO810" s="3">
        <v>100000</v>
      </c>
      <c r="BP810" s="3">
        <v>50000</v>
      </c>
      <c r="BQ810" s="3">
        <v>500000</v>
      </c>
      <c r="BR810" s="3">
        <v>100000</v>
      </c>
      <c r="BS810">
        <v>100000</v>
      </c>
      <c r="BT810">
        <v>0</v>
      </c>
      <c r="BU810">
        <v>1</v>
      </c>
      <c r="BV810">
        <v>1</v>
      </c>
      <c r="BW810">
        <v>0</v>
      </c>
      <c r="BX810">
        <v>0</v>
      </c>
      <c r="BY810">
        <v>0</v>
      </c>
      <c r="BZ810" t="s">
        <v>2958</v>
      </c>
      <c r="CA810" t="s">
        <v>1194</v>
      </c>
      <c r="CB810" t="s">
        <v>2945</v>
      </c>
    </row>
    <row r="811" spans="1:80" x14ac:dyDescent="0.25">
      <c r="A811">
        <v>810</v>
      </c>
      <c r="B811" t="s">
        <v>2824</v>
      </c>
      <c r="C811" s="1">
        <v>44784</v>
      </c>
      <c r="D811">
        <v>12</v>
      </c>
      <c r="E811" t="s">
        <v>5</v>
      </c>
      <c r="F811" t="s">
        <v>1310</v>
      </c>
      <c r="G811">
        <v>1</v>
      </c>
      <c r="H811" s="3">
        <v>2922007</v>
      </c>
      <c r="I811" s="3">
        <v>584401</v>
      </c>
      <c r="J811" s="3">
        <v>1168803</v>
      </c>
      <c r="K811" s="3">
        <v>584401.4</v>
      </c>
      <c r="L811" t="s">
        <v>1191</v>
      </c>
      <c r="M811">
        <v>1507733</v>
      </c>
      <c r="N811" t="s">
        <v>1608</v>
      </c>
      <c r="P811" t="s">
        <v>1896</v>
      </c>
      <c r="Q811" t="s">
        <v>1239</v>
      </c>
      <c r="R811">
        <v>80108</v>
      </c>
      <c r="S811" t="s">
        <v>1897</v>
      </c>
      <c r="T811" t="s">
        <v>965</v>
      </c>
      <c r="U811">
        <v>0</v>
      </c>
      <c r="V811">
        <v>99</v>
      </c>
      <c r="W811" t="s">
        <v>1194</v>
      </c>
      <c r="X811" t="s">
        <v>973</v>
      </c>
      <c r="Y811">
        <v>10000</v>
      </c>
      <c r="Z811" s="2">
        <v>0.68446105700000004</v>
      </c>
      <c r="AA811" s="2">
        <v>1</v>
      </c>
      <c r="AB811">
        <v>5.0000000000000001E-3</v>
      </c>
      <c r="AC811">
        <v>864</v>
      </c>
      <c r="AD811" t="s">
        <v>1284</v>
      </c>
      <c r="AE811">
        <v>1</v>
      </c>
      <c r="AF811" t="s">
        <v>1290</v>
      </c>
      <c r="AG811">
        <v>0</v>
      </c>
      <c r="AH811">
        <v>0</v>
      </c>
      <c r="AI811">
        <v>0</v>
      </c>
      <c r="AJ811">
        <v>1997</v>
      </c>
      <c r="AK811" t="s">
        <v>1194</v>
      </c>
      <c r="AL811" t="s">
        <v>1194</v>
      </c>
      <c r="AM811" s="4" t="s">
        <v>1305</v>
      </c>
      <c r="AN811">
        <v>1</v>
      </c>
      <c r="AO811" t="s">
        <v>1317</v>
      </c>
      <c r="AP811">
        <f t="shared" si="24"/>
        <v>0</v>
      </c>
      <c r="AQ811">
        <v>0</v>
      </c>
      <c r="AR811" t="s">
        <v>1993</v>
      </c>
      <c r="AS811" t="s">
        <v>1996</v>
      </c>
      <c r="AT811" t="s">
        <v>1995</v>
      </c>
      <c r="AU811" t="s">
        <v>1996</v>
      </c>
      <c r="AV811" t="s">
        <v>1996</v>
      </c>
      <c r="AW811" t="s">
        <v>1995</v>
      </c>
      <c r="AX811" t="s">
        <v>1194</v>
      </c>
      <c r="AY811" t="s">
        <v>1996</v>
      </c>
      <c r="AZ811">
        <v>6138</v>
      </c>
      <c r="BA811">
        <v>3</v>
      </c>
      <c r="BB811" t="s">
        <v>2017</v>
      </c>
      <c r="BC811" s="3">
        <v>0</v>
      </c>
      <c r="BD811" s="3">
        <v>0</v>
      </c>
      <c r="BE811" s="3">
        <v>0</v>
      </c>
      <c r="BF811" s="3">
        <v>785.54</v>
      </c>
      <c r="BG811" s="3">
        <v>210</v>
      </c>
      <c r="BH811" s="3">
        <v>0</v>
      </c>
      <c r="BI811" s="3">
        <v>0</v>
      </c>
      <c r="BJ811" s="3">
        <v>6281.15</v>
      </c>
      <c r="BK811" s="3">
        <v>735.69</v>
      </c>
      <c r="BL811" s="3">
        <v>7016.84</v>
      </c>
      <c r="BM811" s="2">
        <f t="shared" ca="1" si="25"/>
        <v>2</v>
      </c>
      <c r="BN811" s="3">
        <v>1000000</v>
      </c>
      <c r="BO811" s="3">
        <v>100000</v>
      </c>
      <c r="BP811" s="3">
        <v>100000</v>
      </c>
      <c r="BQ811" s="3">
        <v>25000</v>
      </c>
      <c r="BR811" s="3">
        <v>50000</v>
      </c>
      <c r="BS811">
        <v>50000</v>
      </c>
      <c r="BT811">
        <v>0</v>
      </c>
      <c r="BU811">
        <v>0</v>
      </c>
      <c r="BV811">
        <v>1</v>
      </c>
      <c r="BW811">
        <v>0</v>
      </c>
      <c r="BX811">
        <v>0</v>
      </c>
      <c r="BY811">
        <v>0</v>
      </c>
      <c r="BZ811" t="s">
        <v>2967</v>
      </c>
      <c r="CA811" t="s">
        <v>1194</v>
      </c>
      <c r="CB811" t="s">
        <v>2941</v>
      </c>
    </row>
    <row r="812" spans="1:80" x14ac:dyDescent="0.25">
      <c r="A812">
        <v>811</v>
      </c>
      <c r="B812" t="s">
        <v>2825</v>
      </c>
      <c r="C812" s="1">
        <v>44789</v>
      </c>
      <c r="D812">
        <v>9</v>
      </c>
      <c r="E812" t="s">
        <v>4</v>
      </c>
      <c r="F812" t="s">
        <v>1310</v>
      </c>
      <c r="G812">
        <v>0</v>
      </c>
      <c r="H812" s="3">
        <v>2549968</v>
      </c>
      <c r="I812" s="3">
        <v>509994</v>
      </c>
      <c r="J812" s="3">
        <v>1274984</v>
      </c>
      <c r="K812" s="3">
        <v>509993.6</v>
      </c>
      <c r="L812" t="s">
        <v>1191</v>
      </c>
      <c r="M812">
        <v>1509007</v>
      </c>
      <c r="N812" t="s">
        <v>1609</v>
      </c>
      <c r="P812" t="s">
        <v>1866</v>
      </c>
      <c r="Q812" t="s">
        <v>1239</v>
      </c>
      <c r="R812">
        <v>80123</v>
      </c>
      <c r="S812" t="s">
        <v>1736</v>
      </c>
      <c r="T812" t="s">
        <v>965</v>
      </c>
      <c r="U812">
        <v>0</v>
      </c>
      <c r="V812">
        <v>90</v>
      </c>
      <c r="W812" t="s">
        <v>1194</v>
      </c>
      <c r="X812" t="s">
        <v>973</v>
      </c>
      <c r="Y812">
        <v>5000</v>
      </c>
      <c r="Z812" s="2">
        <v>0.39216178400000001</v>
      </c>
      <c r="AA812" s="2">
        <v>1</v>
      </c>
      <c r="AB812">
        <v>5.0000000000000001E-3</v>
      </c>
      <c r="AC812">
        <v>898</v>
      </c>
      <c r="AD812" t="s">
        <v>1284</v>
      </c>
      <c r="AE812">
        <v>1</v>
      </c>
      <c r="AF812" t="s">
        <v>1290</v>
      </c>
      <c r="AG812">
        <v>1</v>
      </c>
      <c r="AH812">
        <v>0</v>
      </c>
      <c r="AI812">
        <v>1</v>
      </c>
      <c r="AJ812">
        <v>1995</v>
      </c>
      <c r="AK812">
        <v>2010</v>
      </c>
      <c r="AL812">
        <v>1996</v>
      </c>
      <c r="AM812" s="4" t="s">
        <v>1305</v>
      </c>
      <c r="AN812">
        <v>0</v>
      </c>
      <c r="AO812" t="s">
        <v>1315</v>
      </c>
      <c r="AP812">
        <f t="shared" si="24"/>
        <v>1</v>
      </c>
      <c r="AQ812">
        <v>0</v>
      </c>
      <c r="AR812" t="s">
        <v>1993</v>
      </c>
      <c r="AS812" t="s">
        <v>1995</v>
      </c>
      <c r="AT812" t="s">
        <v>1995</v>
      </c>
      <c r="AU812" t="s">
        <v>1995</v>
      </c>
      <c r="AV812" t="s">
        <v>1996</v>
      </c>
      <c r="AW812" t="s">
        <v>1995</v>
      </c>
      <c r="AX812" t="s">
        <v>1194</v>
      </c>
      <c r="AY812" t="s">
        <v>1996</v>
      </c>
      <c r="AZ812">
        <v>4021</v>
      </c>
      <c r="BA812">
        <v>3</v>
      </c>
      <c r="BB812" t="s">
        <v>2014</v>
      </c>
      <c r="BC812" s="3">
        <v>0</v>
      </c>
      <c r="BD812" s="3">
        <v>0</v>
      </c>
      <c r="BE812" s="3">
        <v>0</v>
      </c>
      <c r="BF812" s="3">
        <v>552.92999999999995</v>
      </c>
      <c r="BG812" s="3">
        <v>175</v>
      </c>
      <c r="BH812" s="3">
        <v>0</v>
      </c>
      <c r="BI812" s="3">
        <v>0</v>
      </c>
      <c r="BJ812" s="3">
        <v>13401.24</v>
      </c>
      <c r="BK812" s="3">
        <v>1689.89</v>
      </c>
      <c r="BL812" s="3">
        <v>15091.13</v>
      </c>
      <c r="BM812" s="2">
        <f t="shared" ca="1" si="25"/>
        <v>1</v>
      </c>
      <c r="BN812" s="3" t="s">
        <v>2916</v>
      </c>
      <c r="BO812" s="3">
        <v>500000</v>
      </c>
      <c r="BP812" s="3" t="s">
        <v>2922</v>
      </c>
      <c r="BQ812" s="3">
        <v>50000</v>
      </c>
      <c r="BR812" s="3">
        <v>100000</v>
      </c>
      <c r="BS812">
        <v>100000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0</v>
      </c>
      <c r="BZ812" t="s">
        <v>2967</v>
      </c>
      <c r="CA812" t="s">
        <v>1194</v>
      </c>
      <c r="CB812" t="s">
        <v>2941</v>
      </c>
    </row>
    <row r="813" spans="1:80" x14ac:dyDescent="0.25">
      <c r="A813">
        <v>812</v>
      </c>
      <c r="B813" t="s">
        <v>2826</v>
      </c>
      <c r="C813" s="1">
        <v>44774</v>
      </c>
      <c r="D813">
        <v>12</v>
      </c>
      <c r="E813" t="s">
        <v>4</v>
      </c>
      <c r="F813" t="s">
        <v>1311</v>
      </c>
      <c r="G813">
        <v>0</v>
      </c>
      <c r="H813" s="3">
        <v>3248961</v>
      </c>
      <c r="I813" s="3">
        <v>261600</v>
      </c>
      <c r="J813" s="3">
        <v>545000</v>
      </c>
      <c r="K813" s="3">
        <v>649792.19999999995</v>
      </c>
      <c r="L813" t="s">
        <v>1191</v>
      </c>
      <c r="M813">
        <v>1594808</v>
      </c>
      <c r="N813" t="s">
        <v>1610</v>
      </c>
      <c r="P813" t="s">
        <v>1947</v>
      </c>
      <c r="Q813" t="s">
        <v>1259</v>
      </c>
      <c r="R813">
        <v>89135</v>
      </c>
      <c r="S813" t="s">
        <v>1767</v>
      </c>
      <c r="T813" t="s">
        <v>965</v>
      </c>
      <c r="U813">
        <v>0</v>
      </c>
      <c r="V813">
        <v>1</v>
      </c>
      <c r="W813" t="s">
        <v>1194</v>
      </c>
      <c r="X813" t="s">
        <v>973</v>
      </c>
      <c r="Y813">
        <v>10000</v>
      </c>
      <c r="Z813" s="2" t="s">
        <v>1194</v>
      </c>
      <c r="AA813" s="2" t="s">
        <v>1238</v>
      </c>
      <c r="AB813" t="s">
        <v>1238</v>
      </c>
      <c r="AC813">
        <v>743</v>
      </c>
      <c r="AD813" t="s">
        <v>1279</v>
      </c>
      <c r="AE813">
        <v>1</v>
      </c>
      <c r="AF813" t="s">
        <v>1290</v>
      </c>
      <c r="AG813">
        <v>0</v>
      </c>
      <c r="AH813">
        <v>0</v>
      </c>
      <c r="AI813">
        <v>0</v>
      </c>
      <c r="AJ813">
        <v>2010</v>
      </c>
      <c r="AK813" t="s">
        <v>1194</v>
      </c>
      <c r="AL813" t="s">
        <v>1194</v>
      </c>
      <c r="AM813" s="4" t="s">
        <v>1238</v>
      </c>
      <c r="AN813">
        <v>1</v>
      </c>
      <c r="AO813" t="s">
        <v>1315</v>
      </c>
      <c r="AP813">
        <f t="shared" si="24"/>
        <v>0</v>
      </c>
      <c r="AQ813">
        <v>0</v>
      </c>
      <c r="AR813" t="s">
        <v>1993</v>
      </c>
      <c r="AS813" t="s">
        <v>1995</v>
      </c>
      <c r="AT813" t="s">
        <v>1996</v>
      </c>
      <c r="AU813" t="s">
        <v>1996</v>
      </c>
      <c r="AV813" t="s">
        <v>1996</v>
      </c>
      <c r="AW813" t="s">
        <v>1995</v>
      </c>
      <c r="AX813" t="s">
        <v>1194</v>
      </c>
      <c r="AY813" t="s">
        <v>1996</v>
      </c>
      <c r="AZ813">
        <v>6188</v>
      </c>
      <c r="BA813" t="s">
        <v>1194</v>
      </c>
      <c r="BB813" t="s">
        <v>2014</v>
      </c>
      <c r="BC813" s="3">
        <v>0</v>
      </c>
      <c r="BD813" s="3">
        <v>131.94</v>
      </c>
      <c r="BE813" s="3">
        <v>0</v>
      </c>
      <c r="BF813" s="3">
        <v>131.94</v>
      </c>
      <c r="BG813" s="3">
        <v>175</v>
      </c>
      <c r="BH813" s="3">
        <v>0</v>
      </c>
      <c r="BI813" s="3">
        <v>0</v>
      </c>
      <c r="BJ813" s="3">
        <v>5657.26</v>
      </c>
      <c r="BK813" s="3">
        <v>661</v>
      </c>
      <c r="BL813" s="3">
        <v>6318.26</v>
      </c>
      <c r="BM813" s="2">
        <f t="shared" ca="1" si="25"/>
        <v>5</v>
      </c>
      <c r="BN813" s="3">
        <v>2000000</v>
      </c>
      <c r="BO813" s="3">
        <v>250000</v>
      </c>
      <c r="BP813" s="3">
        <v>50000</v>
      </c>
      <c r="BQ813" s="3">
        <v>1000000</v>
      </c>
      <c r="BR813" s="3">
        <v>500000</v>
      </c>
      <c r="BS813">
        <v>500000</v>
      </c>
      <c r="BT813">
        <v>0</v>
      </c>
      <c r="BU813">
        <v>0</v>
      </c>
      <c r="BV813">
        <v>1</v>
      </c>
      <c r="BW813">
        <v>0</v>
      </c>
      <c r="BX813">
        <v>0</v>
      </c>
      <c r="BY813">
        <v>0</v>
      </c>
      <c r="BZ813" t="s">
        <v>2961</v>
      </c>
      <c r="CA813" t="s">
        <v>1194</v>
      </c>
      <c r="CB813" t="s">
        <v>2941</v>
      </c>
    </row>
    <row r="814" spans="1:80" x14ac:dyDescent="0.25">
      <c r="A814">
        <v>813</v>
      </c>
      <c r="B814" t="s">
        <v>2827</v>
      </c>
      <c r="C814" s="1">
        <v>44776</v>
      </c>
      <c r="D814">
        <v>15</v>
      </c>
      <c r="E814" t="s">
        <v>4</v>
      </c>
      <c r="F814" t="s">
        <v>1311</v>
      </c>
      <c r="G814">
        <v>0</v>
      </c>
      <c r="H814" s="3">
        <v>5545920</v>
      </c>
      <c r="I814" s="3">
        <v>554592</v>
      </c>
      <c r="J814" s="3">
        <v>0</v>
      </c>
      <c r="K814" s="3">
        <v>0</v>
      </c>
      <c r="L814" t="s">
        <v>1191</v>
      </c>
      <c r="M814">
        <v>1517094</v>
      </c>
      <c r="N814" t="s">
        <v>1611</v>
      </c>
      <c r="P814" t="s">
        <v>1948</v>
      </c>
      <c r="Q814" t="s">
        <v>1320</v>
      </c>
      <c r="R814">
        <v>3602</v>
      </c>
      <c r="S814" t="s">
        <v>1949</v>
      </c>
      <c r="T814" t="s">
        <v>965</v>
      </c>
      <c r="U814">
        <v>0</v>
      </c>
      <c r="V814">
        <v>1</v>
      </c>
      <c r="W814" t="s">
        <v>1194</v>
      </c>
      <c r="X814" t="s">
        <v>973</v>
      </c>
      <c r="Y814">
        <v>10000</v>
      </c>
      <c r="Z814" s="2" t="s">
        <v>1194</v>
      </c>
      <c r="AA814" s="2">
        <v>1</v>
      </c>
      <c r="AB814">
        <v>0.02</v>
      </c>
      <c r="AC814">
        <v>0</v>
      </c>
      <c r="AD814" t="s">
        <v>1279</v>
      </c>
      <c r="AE814">
        <v>10</v>
      </c>
      <c r="AF814" t="s">
        <v>1290</v>
      </c>
      <c r="AG814">
        <v>0</v>
      </c>
      <c r="AH814">
        <v>0</v>
      </c>
      <c r="AI814">
        <v>0</v>
      </c>
      <c r="AJ814">
        <v>1790</v>
      </c>
      <c r="AK814" t="s">
        <v>1194</v>
      </c>
      <c r="AL814" t="s">
        <v>1194</v>
      </c>
      <c r="AM814" s="4" t="s">
        <v>1238</v>
      </c>
      <c r="AN814">
        <v>1</v>
      </c>
      <c r="AO814" t="s">
        <v>1315</v>
      </c>
      <c r="AP814">
        <f t="shared" si="24"/>
        <v>0</v>
      </c>
      <c r="AQ814">
        <v>1</v>
      </c>
      <c r="AR814" t="s">
        <v>1992</v>
      </c>
      <c r="AS814" t="s">
        <v>1996</v>
      </c>
      <c r="AT814" t="s">
        <v>1995</v>
      </c>
      <c r="AU814" t="s">
        <v>1996</v>
      </c>
      <c r="AV814" t="s">
        <v>1996</v>
      </c>
      <c r="AW814" t="s">
        <v>1995</v>
      </c>
      <c r="AX814" t="s">
        <v>1194</v>
      </c>
      <c r="AY814" t="s">
        <v>1996</v>
      </c>
      <c r="AZ814">
        <v>6000</v>
      </c>
      <c r="BA814" t="s">
        <v>1194</v>
      </c>
      <c r="BB814" t="s">
        <v>1194</v>
      </c>
      <c r="BC814" s="3">
        <v>0</v>
      </c>
      <c r="BD814" s="3">
        <v>0</v>
      </c>
      <c r="BE814" s="3">
        <v>0</v>
      </c>
      <c r="BF814" s="3">
        <v>0</v>
      </c>
      <c r="BG814" s="3">
        <v>80</v>
      </c>
      <c r="BH814" s="3">
        <v>0</v>
      </c>
      <c r="BI814" s="3">
        <v>0</v>
      </c>
      <c r="BJ814" s="3">
        <v>21553.19</v>
      </c>
      <c r="BK814" s="3">
        <v>235</v>
      </c>
      <c r="BL814" s="3">
        <v>21788.19</v>
      </c>
      <c r="BM814" s="2">
        <f t="shared" ca="1" si="25"/>
        <v>1</v>
      </c>
      <c r="BN814" s="3">
        <v>2000000</v>
      </c>
      <c r="BO814" s="3">
        <v>1000000</v>
      </c>
      <c r="BP814" s="3">
        <v>50000</v>
      </c>
      <c r="BQ814" s="3">
        <v>250000</v>
      </c>
      <c r="BR814" s="3">
        <v>2000000</v>
      </c>
      <c r="BS814">
        <v>50000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0</v>
      </c>
      <c r="BZ814" t="s">
        <v>2949</v>
      </c>
      <c r="CA814" t="s">
        <v>1194</v>
      </c>
      <c r="CB814" t="s">
        <v>2949</v>
      </c>
    </row>
    <row r="815" spans="1:80" x14ac:dyDescent="0.25">
      <c r="A815">
        <v>814</v>
      </c>
      <c r="B815" t="s">
        <v>2828</v>
      </c>
      <c r="C815" s="1">
        <v>44800</v>
      </c>
      <c r="D815">
        <v>12</v>
      </c>
      <c r="E815" t="s">
        <v>5</v>
      </c>
      <c r="F815" t="s">
        <v>1310</v>
      </c>
      <c r="G815">
        <v>1</v>
      </c>
      <c r="H815" s="3">
        <v>1461527</v>
      </c>
      <c r="I815" s="3">
        <v>1002800</v>
      </c>
      <c r="J815" s="3">
        <v>730763</v>
      </c>
      <c r="K815" s="3">
        <v>0</v>
      </c>
      <c r="L815" t="s">
        <v>1191</v>
      </c>
      <c r="M815">
        <v>1535272</v>
      </c>
      <c r="N815" t="s">
        <v>1612</v>
      </c>
      <c r="P815" t="s">
        <v>180</v>
      </c>
      <c r="Q815" t="s">
        <v>1269</v>
      </c>
      <c r="R815">
        <v>5445</v>
      </c>
      <c r="S815" t="s">
        <v>1950</v>
      </c>
      <c r="T815" t="s">
        <v>965</v>
      </c>
      <c r="U815">
        <v>0</v>
      </c>
      <c r="V815">
        <v>1</v>
      </c>
      <c r="W815" t="s">
        <v>1194</v>
      </c>
      <c r="X815" t="s">
        <v>973</v>
      </c>
      <c r="Y815">
        <v>10000</v>
      </c>
      <c r="Z815" s="2" t="s">
        <v>1194</v>
      </c>
      <c r="AA815" s="2">
        <v>1</v>
      </c>
      <c r="AB815">
        <v>5.0000000000000001E-3</v>
      </c>
      <c r="AC815">
        <v>871</v>
      </c>
      <c r="AD815" t="s">
        <v>1279</v>
      </c>
      <c r="AE815">
        <v>9</v>
      </c>
      <c r="AF815" t="s">
        <v>1290</v>
      </c>
      <c r="AG815">
        <v>0</v>
      </c>
      <c r="AH815">
        <v>0</v>
      </c>
      <c r="AI815">
        <v>0</v>
      </c>
      <c r="AJ815">
        <v>1985</v>
      </c>
      <c r="AK815">
        <v>2014</v>
      </c>
      <c r="AL815" t="s">
        <v>1194</v>
      </c>
      <c r="AM815" s="4" t="s">
        <v>1304</v>
      </c>
      <c r="AN815">
        <v>1</v>
      </c>
      <c r="AO815" t="s">
        <v>1315</v>
      </c>
      <c r="AP815">
        <f t="shared" si="24"/>
        <v>0</v>
      </c>
      <c r="AQ815">
        <v>1</v>
      </c>
      <c r="AR815" t="s">
        <v>1992</v>
      </c>
      <c r="AS815" t="s">
        <v>1995</v>
      </c>
      <c r="AT815" t="s">
        <v>1996</v>
      </c>
      <c r="AU815" t="s">
        <v>1996</v>
      </c>
      <c r="AV815" t="s">
        <v>1995</v>
      </c>
      <c r="AW815" t="s">
        <v>1996</v>
      </c>
      <c r="AX815" t="s">
        <v>1194</v>
      </c>
      <c r="AY815" t="s">
        <v>1996</v>
      </c>
      <c r="AZ815">
        <v>3618</v>
      </c>
      <c r="BA815" t="s">
        <v>1194</v>
      </c>
      <c r="BB815" t="s">
        <v>1194</v>
      </c>
      <c r="BC815" s="3">
        <v>0</v>
      </c>
      <c r="BD815" s="3">
        <v>0</v>
      </c>
      <c r="BE815" s="3">
        <v>0</v>
      </c>
      <c r="BF815" s="3">
        <v>0</v>
      </c>
      <c r="BG815" s="3">
        <v>140</v>
      </c>
      <c r="BH815" s="3">
        <v>0</v>
      </c>
      <c r="BI815" s="3">
        <v>0</v>
      </c>
      <c r="BJ815" s="3">
        <v>4176.7299999999996</v>
      </c>
      <c r="BK815" s="3">
        <v>-15</v>
      </c>
      <c r="BL815" s="3">
        <v>4161.7299999999996</v>
      </c>
      <c r="BM815" s="2">
        <f t="shared" ca="1" si="25"/>
        <v>4</v>
      </c>
      <c r="BN815" s="3">
        <v>2000000</v>
      </c>
      <c r="BO815" s="3">
        <v>100000</v>
      </c>
      <c r="BP815" s="3" t="s">
        <v>2922</v>
      </c>
      <c r="BQ815" s="3">
        <v>50000</v>
      </c>
      <c r="BR815" s="3">
        <v>1000000</v>
      </c>
      <c r="BS815">
        <v>250000</v>
      </c>
      <c r="BT815">
        <v>0</v>
      </c>
      <c r="BU815">
        <v>0</v>
      </c>
      <c r="BV815">
        <v>1</v>
      </c>
      <c r="BW815">
        <v>0</v>
      </c>
      <c r="BX815">
        <v>0</v>
      </c>
      <c r="BY815">
        <v>0</v>
      </c>
      <c r="BZ815" t="s">
        <v>2949</v>
      </c>
      <c r="CA815" t="s">
        <v>1194</v>
      </c>
      <c r="CB815" t="s">
        <v>2941</v>
      </c>
    </row>
    <row r="816" spans="1:80" x14ac:dyDescent="0.25">
      <c r="A816">
        <v>815</v>
      </c>
      <c r="B816" t="s">
        <v>2829</v>
      </c>
      <c r="C816" s="1">
        <v>44815</v>
      </c>
      <c r="D816">
        <v>12</v>
      </c>
      <c r="E816" t="s">
        <v>4</v>
      </c>
      <c r="F816" t="s">
        <v>1311</v>
      </c>
      <c r="G816">
        <v>1</v>
      </c>
      <c r="H816" s="3">
        <v>1809945</v>
      </c>
      <c r="I816" s="3">
        <v>252989</v>
      </c>
      <c r="J816" s="3">
        <v>632473</v>
      </c>
      <c r="K816" s="3">
        <v>361989</v>
      </c>
      <c r="L816" t="s">
        <v>1191</v>
      </c>
      <c r="M816">
        <v>2072907</v>
      </c>
      <c r="N816" t="s">
        <v>1613</v>
      </c>
      <c r="P816" t="s">
        <v>1951</v>
      </c>
      <c r="Q816" t="s">
        <v>1271</v>
      </c>
      <c r="R816">
        <v>54843</v>
      </c>
      <c r="S816" t="s">
        <v>1952</v>
      </c>
      <c r="T816" t="s">
        <v>965</v>
      </c>
      <c r="U816">
        <v>0</v>
      </c>
      <c r="V816">
        <v>2</v>
      </c>
      <c r="W816" t="s">
        <v>1194</v>
      </c>
      <c r="X816" t="s">
        <v>973</v>
      </c>
      <c r="Y816">
        <v>10000</v>
      </c>
      <c r="Z816" s="2" t="s">
        <v>1194</v>
      </c>
      <c r="AA816" s="2">
        <v>1</v>
      </c>
      <c r="AB816">
        <v>0.01</v>
      </c>
      <c r="AC816">
        <v>771</v>
      </c>
      <c r="AD816" t="s">
        <v>1279</v>
      </c>
      <c r="AE816">
        <v>10</v>
      </c>
      <c r="AF816" t="s">
        <v>1290</v>
      </c>
      <c r="AG816">
        <v>0</v>
      </c>
      <c r="AH816">
        <v>0</v>
      </c>
      <c r="AI816">
        <v>0</v>
      </c>
      <c r="AJ816">
        <v>1992</v>
      </c>
      <c r="AK816" t="s">
        <v>1194</v>
      </c>
      <c r="AL816">
        <v>2020</v>
      </c>
      <c r="AM816" s="4" t="s">
        <v>1238</v>
      </c>
      <c r="AN816">
        <v>0</v>
      </c>
      <c r="AO816" t="s">
        <v>1315</v>
      </c>
      <c r="AP816">
        <f t="shared" si="24"/>
        <v>0</v>
      </c>
      <c r="AQ816">
        <v>0</v>
      </c>
      <c r="AR816" t="s">
        <v>1993</v>
      </c>
      <c r="AS816" t="s">
        <v>1996</v>
      </c>
      <c r="AT816" t="s">
        <v>1995</v>
      </c>
      <c r="AU816" t="s">
        <v>1996</v>
      </c>
      <c r="AV816" t="s">
        <v>1996</v>
      </c>
      <c r="AW816" t="s">
        <v>1995</v>
      </c>
      <c r="AX816" t="s">
        <v>1194</v>
      </c>
      <c r="AY816" t="s">
        <v>1996</v>
      </c>
      <c r="AZ816">
        <v>1632</v>
      </c>
      <c r="BA816" t="s">
        <v>1194</v>
      </c>
      <c r="BB816" t="s">
        <v>1194</v>
      </c>
      <c r="BC816" s="3">
        <v>0</v>
      </c>
      <c r="BD816" s="3">
        <v>0</v>
      </c>
      <c r="BE816" s="3">
        <v>0</v>
      </c>
      <c r="BF816" s="3">
        <v>0</v>
      </c>
      <c r="BG816" s="3">
        <v>175</v>
      </c>
      <c r="BH816" s="3">
        <v>0</v>
      </c>
      <c r="BI816" s="3">
        <v>0</v>
      </c>
      <c r="BJ816" s="3">
        <v>7932.21</v>
      </c>
      <c r="BK816" s="3">
        <v>60</v>
      </c>
      <c r="BL816" s="3">
        <v>7992.21</v>
      </c>
      <c r="BM816" s="2">
        <f t="shared" ca="1" si="25"/>
        <v>1</v>
      </c>
      <c r="BN816" s="3">
        <v>100000</v>
      </c>
      <c r="BO816" s="3">
        <v>20000</v>
      </c>
      <c r="BP816" s="3">
        <v>50000</v>
      </c>
      <c r="BQ816" s="3">
        <v>50000</v>
      </c>
      <c r="BR816" s="3">
        <v>500000</v>
      </c>
      <c r="BS816">
        <v>250000</v>
      </c>
      <c r="BT816">
        <v>0</v>
      </c>
      <c r="BU816">
        <v>0</v>
      </c>
      <c r="BV816">
        <v>0</v>
      </c>
      <c r="BW816">
        <v>1</v>
      </c>
      <c r="BX816">
        <v>1</v>
      </c>
      <c r="BY816">
        <v>0</v>
      </c>
      <c r="BZ816" t="s">
        <v>2958</v>
      </c>
      <c r="CA816" t="s">
        <v>1194</v>
      </c>
      <c r="CB816" t="s">
        <v>2945</v>
      </c>
    </row>
    <row r="817" spans="1:80" x14ac:dyDescent="0.25">
      <c r="A817">
        <v>816</v>
      </c>
      <c r="B817" t="s">
        <v>2830</v>
      </c>
      <c r="C817" s="1">
        <v>44798</v>
      </c>
      <c r="D817">
        <v>12</v>
      </c>
      <c r="E817" t="s">
        <v>4</v>
      </c>
      <c r="F817" t="s">
        <v>1311</v>
      </c>
      <c r="G817">
        <v>1</v>
      </c>
      <c r="H817" s="3">
        <v>1404000</v>
      </c>
      <c r="I817" s="3">
        <v>100000</v>
      </c>
      <c r="J817" s="3">
        <v>1000000</v>
      </c>
      <c r="K817" s="3">
        <v>0</v>
      </c>
      <c r="L817" t="s">
        <v>1191</v>
      </c>
      <c r="M817">
        <v>1960561</v>
      </c>
      <c r="N817" t="s">
        <v>1614</v>
      </c>
      <c r="P817" t="s">
        <v>1953</v>
      </c>
      <c r="Q817" t="s">
        <v>1246</v>
      </c>
      <c r="R817">
        <v>60047</v>
      </c>
      <c r="S817" t="s">
        <v>1780</v>
      </c>
      <c r="T817" t="s">
        <v>965</v>
      </c>
      <c r="U817">
        <v>0</v>
      </c>
      <c r="V817">
        <v>3</v>
      </c>
      <c r="W817" t="s">
        <v>1194</v>
      </c>
      <c r="X817" t="s">
        <v>973</v>
      </c>
      <c r="Y817">
        <v>10000</v>
      </c>
      <c r="Z817" s="2" t="s">
        <v>1194</v>
      </c>
      <c r="AA817" s="2">
        <v>0</v>
      </c>
      <c r="AB817" t="s">
        <v>1238</v>
      </c>
      <c r="AC817">
        <v>850</v>
      </c>
      <c r="AD817" t="s">
        <v>1279</v>
      </c>
      <c r="AE817">
        <v>3</v>
      </c>
      <c r="AF817" t="s">
        <v>1290</v>
      </c>
      <c r="AG817">
        <v>0</v>
      </c>
      <c r="AH817">
        <v>0</v>
      </c>
      <c r="AI817">
        <v>0</v>
      </c>
      <c r="AJ817">
        <v>2005</v>
      </c>
      <c r="AK817" t="s">
        <v>1194</v>
      </c>
      <c r="AL817" t="s">
        <v>1194</v>
      </c>
      <c r="AM817" s="4" t="s">
        <v>1238</v>
      </c>
      <c r="AN817">
        <v>1</v>
      </c>
      <c r="AO817" t="s">
        <v>1315</v>
      </c>
      <c r="AP817">
        <f t="shared" si="24"/>
        <v>0</v>
      </c>
      <c r="AQ817">
        <v>0</v>
      </c>
      <c r="AR817" t="s">
        <v>1993</v>
      </c>
      <c r="AS817" t="s">
        <v>1995</v>
      </c>
      <c r="AT817" t="s">
        <v>1996</v>
      </c>
      <c r="AU817" t="s">
        <v>1996</v>
      </c>
      <c r="AV817" t="s">
        <v>1995</v>
      </c>
      <c r="AW817" t="s">
        <v>1995</v>
      </c>
      <c r="AX817" t="s">
        <v>1194</v>
      </c>
      <c r="AY817" t="s">
        <v>1996</v>
      </c>
      <c r="AZ817">
        <v>2580</v>
      </c>
      <c r="BA817" t="s">
        <v>1194</v>
      </c>
      <c r="BB817" t="s">
        <v>1194</v>
      </c>
      <c r="BC817" s="3">
        <v>0</v>
      </c>
      <c r="BD817" s="3">
        <v>0</v>
      </c>
      <c r="BE817" s="3">
        <v>0</v>
      </c>
      <c r="BF817" s="3">
        <v>0</v>
      </c>
      <c r="BG817" s="3">
        <v>175</v>
      </c>
      <c r="BH817" s="3">
        <v>0</v>
      </c>
      <c r="BI817" s="3">
        <v>0</v>
      </c>
      <c r="BJ817" s="3">
        <v>4839.9399999999996</v>
      </c>
      <c r="BK817" s="3">
        <v>430</v>
      </c>
      <c r="BL817" s="3">
        <v>5269.94</v>
      </c>
      <c r="BM817" s="2">
        <f t="shared" ca="1" si="25"/>
        <v>3</v>
      </c>
      <c r="BN817" s="3">
        <v>1000000</v>
      </c>
      <c r="BO817" s="3">
        <v>50000</v>
      </c>
      <c r="BP817" s="3">
        <v>100000</v>
      </c>
      <c r="BQ817" s="3">
        <v>500000</v>
      </c>
      <c r="BR817" s="3">
        <v>1000000</v>
      </c>
      <c r="BS817">
        <v>50000</v>
      </c>
      <c r="BT817">
        <v>0</v>
      </c>
      <c r="BU817">
        <v>0</v>
      </c>
      <c r="BV817">
        <v>1</v>
      </c>
      <c r="BW817">
        <v>0</v>
      </c>
      <c r="BX817">
        <v>0</v>
      </c>
      <c r="BY817">
        <v>0</v>
      </c>
      <c r="BZ817" t="s">
        <v>2958</v>
      </c>
      <c r="CA817" t="s">
        <v>1194</v>
      </c>
      <c r="CB817" t="s">
        <v>2945</v>
      </c>
    </row>
    <row r="818" spans="1:80" x14ac:dyDescent="0.25">
      <c r="A818">
        <v>817</v>
      </c>
      <c r="B818" t="s">
        <v>2831</v>
      </c>
      <c r="C818" s="1">
        <v>44792</v>
      </c>
      <c r="D818">
        <v>12</v>
      </c>
      <c r="E818" t="s">
        <v>4</v>
      </c>
      <c r="F818" t="s">
        <v>1311</v>
      </c>
      <c r="G818">
        <v>1</v>
      </c>
      <c r="H818" s="3">
        <v>1525000</v>
      </c>
      <c r="I818" s="3">
        <v>270000</v>
      </c>
      <c r="J818" s="3">
        <v>675000</v>
      </c>
      <c r="K818" s="3">
        <v>0</v>
      </c>
      <c r="L818" t="s">
        <v>1191</v>
      </c>
      <c r="M818">
        <v>1971021</v>
      </c>
      <c r="N818" t="s">
        <v>1615</v>
      </c>
      <c r="P818" t="s">
        <v>1766</v>
      </c>
      <c r="Q818" t="s">
        <v>1259</v>
      </c>
      <c r="R818">
        <v>89134</v>
      </c>
      <c r="S818" t="s">
        <v>1767</v>
      </c>
      <c r="T818" t="s">
        <v>965</v>
      </c>
      <c r="U818">
        <v>0</v>
      </c>
      <c r="V818">
        <v>1</v>
      </c>
      <c r="W818" t="s">
        <v>1194</v>
      </c>
      <c r="X818" t="s">
        <v>973</v>
      </c>
      <c r="Y818">
        <v>10000</v>
      </c>
      <c r="Z818" s="2" t="s">
        <v>1194</v>
      </c>
      <c r="AA818" s="2" t="s">
        <v>1238</v>
      </c>
      <c r="AB818" t="s">
        <v>1238</v>
      </c>
      <c r="AC818">
        <v>735</v>
      </c>
      <c r="AD818" t="s">
        <v>1279</v>
      </c>
      <c r="AE818">
        <v>1</v>
      </c>
      <c r="AF818" t="s">
        <v>1290</v>
      </c>
      <c r="AG818">
        <v>0</v>
      </c>
      <c r="AH818">
        <v>0</v>
      </c>
      <c r="AI818">
        <v>0</v>
      </c>
      <c r="AJ818">
        <v>1996</v>
      </c>
      <c r="AK818" t="s">
        <v>1194</v>
      </c>
      <c r="AL818" t="s">
        <v>1194</v>
      </c>
      <c r="AM818" s="4" t="s">
        <v>1238</v>
      </c>
      <c r="AN818">
        <v>0</v>
      </c>
      <c r="AO818" t="s">
        <v>1316</v>
      </c>
      <c r="AP818">
        <f t="shared" si="24"/>
        <v>0</v>
      </c>
      <c r="AQ818">
        <v>0</v>
      </c>
      <c r="AR818" t="s">
        <v>1993</v>
      </c>
      <c r="AS818" t="s">
        <v>1996</v>
      </c>
      <c r="AT818" t="s">
        <v>1995</v>
      </c>
      <c r="AU818" t="s">
        <v>1995</v>
      </c>
      <c r="AV818" t="s">
        <v>1995</v>
      </c>
      <c r="AW818" t="s">
        <v>1996</v>
      </c>
      <c r="AX818" t="s">
        <v>1194</v>
      </c>
      <c r="AY818" t="s">
        <v>1996</v>
      </c>
      <c r="AZ818">
        <v>3355</v>
      </c>
      <c r="BA818" t="s">
        <v>1194</v>
      </c>
      <c r="BB818" t="s">
        <v>2014</v>
      </c>
      <c r="BC818" s="3">
        <v>0</v>
      </c>
      <c r="BD818" s="3">
        <v>68.69</v>
      </c>
      <c r="BE818" s="3">
        <v>0</v>
      </c>
      <c r="BF818" s="3">
        <v>68.69</v>
      </c>
      <c r="BG818" s="3">
        <v>175</v>
      </c>
      <c r="BH818" s="3">
        <v>0</v>
      </c>
      <c r="BI818" s="3">
        <v>0</v>
      </c>
      <c r="BJ818" s="3">
        <v>3504.64</v>
      </c>
      <c r="BK818" s="3">
        <v>55</v>
      </c>
      <c r="BL818" s="3">
        <v>3559.64</v>
      </c>
      <c r="BM818" s="2">
        <f t="shared" ca="1" si="25"/>
        <v>2</v>
      </c>
      <c r="BN818" s="3">
        <v>50000</v>
      </c>
      <c r="BO818" s="3">
        <v>1000000</v>
      </c>
      <c r="BP818" s="3" t="s">
        <v>2922</v>
      </c>
      <c r="BQ818" s="3">
        <v>250000</v>
      </c>
      <c r="BR818" s="3">
        <v>250000</v>
      </c>
      <c r="BS818">
        <v>50000</v>
      </c>
      <c r="BT818">
        <v>0</v>
      </c>
      <c r="BU818">
        <v>0</v>
      </c>
      <c r="BV818">
        <v>0</v>
      </c>
      <c r="BW818">
        <v>1</v>
      </c>
      <c r="BX818">
        <v>1</v>
      </c>
      <c r="BY818">
        <v>1</v>
      </c>
      <c r="BZ818" t="s">
        <v>2961</v>
      </c>
      <c r="CA818" t="s">
        <v>1194</v>
      </c>
      <c r="CB818" t="s">
        <v>2949</v>
      </c>
    </row>
    <row r="819" spans="1:80" x14ac:dyDescent="0.25">
      <c r="A819">
        <v>818</v>
      </c>
      <c r="B819" t="s">
        <v>2832</v>
      </c>
      <c r="C819" s="1">
        <v>44958</v>
      </c>
      <c r="D819">
        <v>12</v>
      </c>
      <c r="E819" t="s">
        <v>4</v>
      </c>
      <c r="F819" t="s">
        <v>1311</v>
      </c>
      <c r="G819">
        <v>0</v>
      </c>
      <c r="H819" s="3">
        <v>25000000</v>
      </c>
      <c r="I819" s="3">
        <v>5000000</v>
      </c>
      <c r="J819" s="3">
        <v>1582500</v>
      </c>
      <c r="K819" s="3">
        <v>0</v>
      </c>
      <c r="L819" t="s">
        <v>1191</v>
      </c>
      <c r="M819">
        <v>474750</v>
      </c>
      <c r="N819" t="s">
        <v>1616</v>
      </c>
      <c r="P819" t="s">
        <v>1954</v>
      </c>
      <c r="Q819" t="s">
        <v>1252</v>
      </c>
      <c r="R819">
        <v>48025</v>
      </c>
      <c r="S819" t="s">
        <v>1914</v>
      </c>
      <c r="T819" t="s">
        <v>965</v>
      </c>
      <c r="U819">
        <v>0</v>
      </c>
      <c r="V819">
        <v>5</v>
      </c>
      <c r="W819" t="s">
        <v>1194</v>
      </c>
      <c r="X819" t="s">
        <v>973</v>
      </c>
      <c r="Y819">
        <v>50000</v>
      </c>
      <c r="Z819" s="2" t="s">
        <v>1194</v>
      </c>
      <c r="AA819" s="2">
        <v>1</v>
      </c>
      <c r="AB819">
        <v>2.5000000000000001E-3</v>
      </c>
      <c r="AC819">
        <v>719</v>
      </c>
      <c r="AD819" t="s">
        <v>1279</v>
      </c>
      <c r="AE819">
        <v>4</v>
      </c>
      <c r="AF819" t="s">
        <v>1290</v>
      </c>
      <c r="AG819">
        <v>0</v>
      </c>
      <c r="AH819">
        <v>0</v>
      </c>
      <c r="AI819">
        <v>0</v>
      </c>
      <c r="AJ819">
        <v>1939</v>
      </c>
      <c r="AK819">
        <v>2022</v>
      </c>
      <c r="AL819" t="s">
        <v>1194</v>
      </c>
      <c r="AM819" s="4" t="s">
        <v>1238</v>
      </c>
      <c r="AN819">
        <v>0</v>
      </c>
      <c r="AO819" t="s">
        <v>1316</v>
      </c>
      <c r="AP819">
        <f t="shared" si="24"/>
        <v>0</v>
      </c>
      <c r="AQ819">
        <v>0</v>
      </c>
      <c r="AR819" t="s">
        <v>1993</v>
      </c>
      <c r="AS819" t="s">
        <v>1996</v>
      </c>
      <c r="AT819" t="s">
        <v>1996</v>
      </c>
      <c r="AU819" t="s">
        <v>1995</v>
      </c>
      <c r="AV819" t="s">
        <v>1995</v>
      </c>
      <c r="AW819" t="s">
        <v>1996</v>
      </c>
      <c r="AX819" t="s">
        <v>1194</v>
      </c>
      <c r="AY819" t="s">
        <v>1996</v>
      </c>
      <c r="AZ819">
        <v>17558</v>
      </c>
      <c r="BA819" t="s">
        <v>1194</v>
      </c>
      <c r="BB819" t="s">
        <v>1194</v>
      </c>
      <c r="BC819" s="3">
        <v>0</v>
      </c>
      <c r="BD819" s="3">
        <v>0</v>
      </c>
      <c r="BE819" s="3">
        <v>0</v>
      </c>
      <c r="BF819" s="3">
        <v>0</v>
      </c>
      <c r="BG819" s="3">
        <v>200</v>
      </c>
      <c r="BH819" s="3">
        <v>0</v>
      </c>
      <c r="BI819" s="3">
        <v>0</v>
      </c>
      <c r="BJ819" s="3">
        <v>54798.33</v>
      </c>
      <c r="BK819" s="3">
        <v>-15</v>
      </c>
      <c r="BL819" s="3">
        <v>54783.33</v>
      </c>
      <c r="BM819" s="2">
        <f t="shared" ca="1" si="25"/>
        <v>5</v>
      </c>
      <c r="BN819" s="3">
        <v>1000000</v>
      </c>
      <c r="BO819" s="3">
        <v>500000</v>
      </c>
      <c r="BP819" s="3">
        <v>100000</v>
      </c>
      <c r="BQ819" s="3">
        <v>50000</v>
      </c>
      <c r="BR819" s="3">
        <v>250000</v>
      </c>
      <c r="BS819">
        <v>50000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0</v>
      </c>
      <c r="BZ819" t="s">
        <v>2949</v>
      </c>
      <c r="CA819" t="s">
        <v>1194</v>
      </c>
      <c r="CB819" t="s">
        <v>2952</v>
      </c>
    </row>
    <row r="820" spans="1:80" x14ac:dyDescent="0.25">
      <c r="A820">
        <v>819</v>
      </c>
      <c r="B820" t="s">
        <v>2833</v>
      </c>
      <c r="C820" s="1">
        <v>44644</v>
      </c>
      <c r="D820">
        <v>12</v>
      </c>
      <c r="E820" t="s">
        <v>4</v>
      </c>
      <c r="F820" t="s">
        <v>1311</v>
      </c>
      <c r="G820">
        <v>0</v>
      </c>
      <c r="H820" s="3">
        <v>0</v>
      </c>
      <c r="I820" s="3">
        <v>0</v>
      </c>
      <c r="J820" s="3">
        <v>1200000</v>
      </c>
      <c r="K820" s="3">
        <v>240000</v>
      </c>
      <c r="L820" t="s">
        <v>1192</v>
      </c>
      <c r="M820">
        <v>1865921</v>
      </c>
      <c r="N820" t="s">
        <v>1617</v>
      </c>
      <c r="P820" t="s">
        <v>1955</v>
      </c>
      <c r="Q820" t="s">
        <v>1239</v>
      </c>
      <c r="R820">
        <v>81435</v>
      </c>
      <c r="S820" t="s">
        <v>1956</v>
      </c>
      <c r="T820" t="s">
        <v>965</v>
      </c>
      <c r="U820">
        <v>0</v>
      </c>
      <c r="V820">
        <v>103</v>
      </c>
      <c r="W820" t="s">
        <v>1194</v>
      </c>
      <c r="X820" t="s">
        <v>973</v>
      </c>
      <c r="Y820">
        <v>10000</v>
      </c>
      <c r="Z820" s="2" t="s">
        <v>1194</v>
      </c>
      <c r="AA820" s="2">
        <v>1</v>
      </c>
      <c r="AB820" t="s">
        <v>1277</v>
      </c>
      <c r="AC820">
        <v>794</v>
      </c>
      <c r="AD820" t="s">
        <v>1279</v>
      </c>
      <c r="AE820">
        <v>3</v>
      </c>
      <c r="AF820" t="s">
        <v>1290</v>
      </c>
      <c r="AG820">
        <v>0</v>
      </c>
      <c r="AH820">
        <v>0</v>
      </c>
      <c r="AI820">
        <v>0</v>
      </c>
      <c r="AJ820">
        <v>1986</v>
      </c>
      <c r="AK820" t="s">
        <v>1194</v>
      </c>
      <c r="AL820" t="s">
        <v>1194</v>
      </c>
      <c r="AM820" s="4" t="s">
        <v>1238</v>
      </c>
      <c r="AN820">
        <v>1</v>
      </c>
      <c r="AO820" t="s">
        <v>1315</v>
      </c>
      <c r="AP820">
        <f t="shared" si="24"/>
        <v>0</v>
      </c>
      <c r="AQ820">
        <v>0</v>
      </c>
      <c r="AR820" t="s">
        <v>1993</v>
      </c>
      <c r="AS820" t="s">
        <v>1996</v>
      </c>
      <c r="AT820" t="s">
        <v>1996</v>
      </c>
      <c r="AU820" t="s">
        <v>1995</v>
      </c>
      <c r="AV820" t="s">
        <v>1995</v>
      </c>
      <c r="AW820" t="s">
        <v>1996</v>
      </c>
      <c r="AX820" t="s">
        <v>1194</v>
      </c>
      <c r="AY820" t="s">
        <v>1996</v>
      </c>
      <c r="AZ820">
        <v>1763</v>
      </c>
      <c r="BA820">
        <v>1</v>
      </c>
      <c r="BB820" t="s">
        <v>2017</v>
      </c>
      <c r="BC820" s="3">
        <v>0</v>
      </c>
      <c r="BD820" s="3">
        <v>0</v>
      </c>
      <c r="BE820" s="3">
        <v>0</v>
      </c>
      <c r="BF820" s="3">
        <v>2385.9699999999998</v>
      </c>
      <c r="BG820" s="3">
        <v>210</v>
      </c>
      <c r="BH820" s="3">
        <v>0</v>
      </c>
      <c r="BI820" s="3">
        <v>0</v>
      </c>
      <c r="BJ820" s="3">
        <v>5859.41</v>
      </c>
      <c r="BK820" s="3">
        <v>-5</v>
      </c>
      <c r="BL820" s="3">
        <v>5854.41</v>
      </c>
      <c r="BM820" s="2">
        <f t="shared" ca="1" si="25"/>
        <v>5</v>
      </c>
      <c r="BN820" s="3">
        <v>500000</v>
      </c>
      <c r="BO820" s="3">
        <v>2000000</v>
      </c>
      <c r="BP820" s="3">
        <v>100000</v>
      </c>
      <c r="BQ820" s="3">
        <v>100000</v>
      </c>
      <c r="BR820" s="3">
        <v>500000</v>
      </c>
      <c r="BS820">
        <v>50000</v>
      </c>
      <c r="BT820">
        <v>0</v>
      </c>
      <c r="BU820">
        <v>0</v>
      </c>
      <c r="BV820">
        <v>0</v>
      </c>
      <c r="BW820">
        <v>1</v>
      </c>
      <c r="BX820">
        <v>1</v>
      </c>
      <c r="BY820">
        <v>0</v>
      </c>
      <c r="BZ820" t="s">
        <v>1194</v>
      </c>
      <c r="CA820" t="s">
        <v>1194</v>
      </c>
      <c r="CB820" t="s">
        <v>1194</v>
      </c>
    </row>
    <row r="821" spans="1:80" x14ac:dyDescent="0.25">
      <c r="A821">
        <v>820</v>
      </c>
      <c r="B821" t="s">
        <v>2834</v>
      </c>
      <c r="C821" s="1">
        <v>44913</v>
      </c>
      <c r="D821">
        <v>12</v>
      </c>
      <c r="E821" t="s">
        <v>5</v>
      </c>
      <c r="F821" t="s">
        <v>1310</v>
      </c>
      <c r="G821">
        <v>1</v>
      </c>
      <c r="H821" s="3">
        <v>2935938</v>
      </c>
      <c r="I821" s="3">
        <v>515868</v>
      </c>
      <c r="J821" s="3">
        <v>1289669</v>
      </c>
      <c r="K821" s="3">
        <v>587187.6</v>
      </c>
      <c r="L821" t="s">
        <v>1191</v>
      </c>
      <c r="M821">
        <v>1573427</v>
      </c>
      <c r="N821" t="s">
        <v>1618</v>
      </c>
      <c r="P821" t="s">
        <v>1957</v>
      </c>
      <c r="Q821" t="s">
        <v>1268</v>
      </c>
      <c r="R821">
        <v>23185</v>
      </c>
      <c r="S821" t="s">
        <v>1958</v>
      </c>
      <c r="T821" t="s">
        <v>965</v>
      </c>
      <c r="U821">
        <v>0</v>
      </c>
      <c r="V821">
        <v>8</v>
      </c>
      <c r="W821" t="s">
        <v>1194</v>
      </c>
      <c r="X821" t="s">
        <v>973</v>
      </c>
      <c r="Y821">
        <v>10000</v>
      </c>
      <c r="Z821" s="2" t="s">
        <v>1194</v>
      </c>
      <c r="AA821" s="2" t="s">
        <v>1238</v>
      </c>
      <c r="AB821" t="s">
        <v>1238</v>
      </c>
      <c r="AC821">
        <v>908</v>
      </c>
      <c r="AD821" t="s">
        <v>1284</v>
      </c>
      <c r="AE821">
        <v>2</v>
      </c>
      <c r="AF821" t="s">
        <v>1290</v>
      </c>
      <c r="AG821">
        <v>1</v>
      </c>
      <c r="AH821">
        <v>0</v>
      </c>
      <c r="AI821">
        <v>1</v>
      </c>
      <c r="AJ821">
        <v>1996</v>
      </c>
      <c r="AK821" t="s">
        <v>1194</v>
      </c>
      <c r="AL821" t="s">
        <v>1194</v>
      </c>
      <c r="AM821" s="4" t="s">
        <v>1306</v>
      </c>
      <c r="AN821">
        <v>1</v>
      </c>
      <c r="AO821" t="s">
        <v>1317</v>
      </c>
      <c r="AP821">
        <f t="shared" si="24"/>
        <v>1</v>
      </c>
      <c r="AQ821">
        <v>0</v>
      </c>
      <c r="AR821" t="s">
        <v>1993</v>
      </c>
      <c r="AS821" t="s">
        <v>1995</v>
      </c>
      <c r="AT821" t="s">
        <v>1996</v>
      </c>
      <c r="AU821" t="s">
        <v>1996</v>
      </c>
      <c r="AV821" t="s">
        <v>1996</v>
      </c>
      <c r="AW821" t="s">
        <v>1995</v>
      </c>
      <c r="AX821" t="s">
        <v>2003</v>
      </c>
      <c r="AY821" t="s">
        <v>1996</v>
      </c>
      <c r="AZ821">
        <v>6274</v>
      </c>
      <c r="BA821" t="s">
        <v>1194</v>
      </c>
      <c r="BB821" t="s">
        <v>1194</v>
      </c>
      <c r="BC821" s="3">
        <v>0</v>
      </c>
      <c r="BD821" s="3">
        <v>0</v>
      </c>
      <c r="BE821" s="3">
        <v>0</v>
      </c>
      <c r="BF821" s="3">
        <v>0</v>
      </c>
      <c r="BG821" s="3">
        <v>210</v>
      </c>
      <c r="BH821" s="3">
        <v>0</v>
      </c>
      <c r="BI821" s="3">
        <v>0</v>
      </c>
      <c r="BJ821" s="3">
        <v>4416.03</v>
      </c>
      <c r="BK821" s="3">
        <v>-15</v>
      </c>
      <c r="BL821" s="3">
        <v>4401.03</v>
      </c>
      <c r="BM821" s="2">
        <f t="shared" ca="1" si="25"/>
        <v>3</v>
      </c>
      <c r="BN821" s="3">
        <v>50000</v>
      </c>
      <c r="BO821" s="3">
        <v>2000000</v>
      </c>
      <c r="BP821" s="3">
        <v>50000</v>
      </c>
      <c r="BQ821" s="3">
        <v>1000000</v>
      </c>
      <c r="BR821" s="3">
        <v>500000</v>
      </c>
      <c r="BS821">
        <v>500000</v>
      </c>
      <c r="BT821">
        <v>0</v>
      </c>
      <c r="BU821">
        <v>0</v>
      </c>
      <c r="BV821">
        <v>1</v>
      </c>
      <c r="BW821">
        <v>0</v>
      </c>
      <c r="BX821">
        <v>0</v>
      </c>
      <c r="BY821">
        <v>0</v>
      </c>
      <c r="BZ821" t="s">
        <v>2949</v>
      </c>
      <c r="CA821" t="s">
        <v>1194</v>
      </c>
      <c r="CB821" t="s">
        <v>2949</v>
      </c>
    </row>
    <row r="822" spans="1:80" x14ac:dyDescent="0.25">
      <c r="A822">
        <v>821</v>
      </c>
      <c r="B822" t="s">
        <v>2835</v>
      </c>
      <c r="C822" s="1">
        <v>44681</v>
      </c>
      <c r="D822">
        <v>12</v>
      </c>
      <c r="E822" t="s">
        <v>4</v>
      </c>
      <c r="F822" t="s">
        <v>1311</v>
      </c>
      <c r="G822">
        <v>0</v>
      </c>
      <c r="H822" s="3">
        <v>2725000</v>
      </c>
      <c r="I822" s="3">
        <v>163500</v>
      </c>
      <c r="J822" s="3">
        <v>817500</v>
      </c>
      <c r="K822" s="3">
        <v>0</v>
      </c>
      <c r="L822" t="s">
        <v>1191</v>
      </c>
      <c r="M822">
        <v>1580515</v>
      </c>
      <c r="N822" t="s">
        <v>1619</v>
      </c>
      <c r="P822" t="s">
        <v>1849</v>
      </c>
      <c r="Q822" t="s">
        <v>1240</v>
      </c>
      <c r="R822">
        <v>6820</v>
      </c>
      <c r="S822" t="s">
        <v>1706</v>
      </c>
      <c r="T822" t="s">
        <v>979</v>
      </c>
      <c r="U822">
        <v>0</v>
      </c>
      <c r="V822">
        <v>51</v>
      </c>
      <c r="W822" t="s">
        <v>1194</v>
      </c>
      <c r="X822" t="s">
        <v>973</v>
      </c>
      <c r="Y822">
        <v>10000</v>
      </c>
      <c r="Z822" s="2" t="s">
        <v>1194</v>
      </c>
      <c r="AA822" s="2" t="s">
        <v>1238</v>
      </c>
      <c r="AB822" t="s">
        <v>1238</v>
      </c>
      <c r="AC822">
        <v>812</v>
      </c>
      <c r="AD822" t="s">
        <v>1279</v>
      </c>
      <c r="AE822">
        <v>5</v>
      </c>
      <c r="AF822" t="s">
        <v>1290</v>
      </c>
      <c r="AG822">
        <v>0</v>
      </c>
      <c r="AH822">
        <v>0</v>
      </c>
      <c r="AI822">
        <v>0</v>
      </c>
      <c r="AJ822">
        <v>1962</v>
      </c>
      <c r="AK822" t="s">
        <v>1194</v>
      </c>
      <c r="AL822" t="s">
        <v>1194</v>
      </c>
      <c r="AM822" s="4" t="s">
        <v>1238</v>
      </c>
      <c r="AN822">
        <v>0</v>
      </c>
      <c r="AO822" t="s">
        <v>1315</v>
      </c>
      <c r="AP822">
        <f t="shared" si="24"/>
        <v>0</v>
      </c>
      <c r="AQ822">
        <v>1</v>
      </c>
      <c r="AR822" t="s">
        <v>1992</v>
      </c>
      <c r="AS822" t="s">
        <v>1996</v>
      </c>
      <c r="AT822" t="s">
        <v>1996</v>
      </c>
      <c r="AU822" t="s">
        <v>1995</v>
      </c>
      <c r="AV822" t="s">
        <v>1995</v>
      </c>
      <c r="AW822" t="s">
        <v>1995</v>
      </c>
      <c r="AX822" t="s">
        <v>2003</v>
      </c>
      <c r="AY822" t="s">
        <v>1996</v>
      </c>
      <c r="AZ822">
        <v>3469</v>
      </c>
      <c r="BA822" t="s">
        <v>1194</v>
      </c>
      <c r="BB822" t="s">
        <v>1194</v>
      </c>
      <c r="BC822" s="3">
        <v>0</v>
      </c>
      <c r="BD822" s="3">
        <v>2009.99</v>
      </c>
      <c r="BE822" s="3">
        <v>0</v>
      </c>
      <c r="BF822" s="3">
        <v>0</v>
      </c>
      <c r="BG822" s="3">
        <v>130</v>
      </c>
      <c r="BH822" s="3">
        <v>0</v>
      </c>
      <c r="BI822" s="3">
        <v>0</v>
      </c>
      <c r="BJ822" s="3">
        <v>14775</v>
      </c>
      <c r="BK822" s="3">
        <v>240</v>
      </c>
      <c r="BL822" s="3">
        <v>15015</v>
      </c>
      <c r="BM822" s="2">
        <f t="shared" ca="1" si="25"/>
        <v>0</v>
      </c>
      <c r="BN822" s="3">
        <v>50000</v>
      </c>
      <c r="BO822" s="3">
        <v>2000000</v>
      </c>
      <c r="BP822" s="3">
        <v>50000</v>
      </c>
      <c r="BQ822" s="3">
        <v>1000000</v>
      </c>
      <c r="BR822" s="3">
        <v>250000</v>
      </c>
      <c r="BS822">
        <v>250000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1</v>
      </c>
      <c r="BZ822" t="s">
        <v>2949</v>
      </c>
      <c r="CA822" t="s">
        <v>1194</v>
      </c>
      <c r="CB822" t="s">
        <v>2949</v>
      </c>
    </row>
    <row r="823" spans="1:80" x14ac:dyDescent="0.25">
      <c r="A823">
        <v>822</v>
      </c>
      <c r="B823" t="s">
        <v>2836</v>
      </c>
      <c r="C823" s="1">
        <v>44938</v>
      </c>
      <c r="D823">
        <v>30</v>
      </c>
      <c r="E823" t="s">
        <v>4</v>
      </c>
      <c r="F823" t="s">
        <v>1311</v>
      </c>
      <c r="G823">
        <v>1</v>
      </c>
      <c r="H823" s="3">
        <v>0</v>
      </c>
      <c r="I823" s="3">
        <v>0</v>
      </c>
      <c r="J823" s="3">
        <v>2043000</v>
      </c>
      <c r="K823" s="3">
        <v>0</v>
      </c>
      <c r="L823" t="s">
        <v>1192</v>
      </c>
      <c r="M823">
        <v>1587141</v>
      </c>
      <c r="N823" t="s">
        <v>1620</v>
      </c>
      <c r="P823" t="s">
        <v>1695</v>
      </c>
      <c r="Q823" t="s">
        <v>1239</v>
      </c>
      <c r="R823">
        <v>80206</v>
      </c>
      <c r="S823" t="s">
        <v>1695</v>
      </c>
      <c r="T823" t="s">
        <v>965</v>
      </c>
      <c r="U823">
        <v>0</v>
      </c>
      <c r="V823">
        <v>94</v>
      </c>
      <c r="W823" t="s">
        <v>1194</v>
      </c>
      <c r="X823" t="s">
        <v>973</v>
      </c>
      <c r="Y823">
        <v>10000</v>
      </c>
      <c r="Z823" s="2" t="s">
        <v>1194</v>
      </c>
      <c r="AA823" s="2">
        <v>1</v>
      </c>
      <c r="AB823">
        <v>0.03</v>
      </c>
      <c r="AC823">
        <v>807</v>
      </c>
      <c r="AD823" t="s">
        <v>1281</v>
      </c>
      <c r="AE823">
        <v>1</v>
      </c>
      <c r="AF823" t="s">
        <v>1290</v>
      </c>
      <c r="AG823">
        <v>0</v>
      </c>
      <c r="AH823">
        <v>0</v>
      </c>
      <c r="AI823">
        <v>0</v>
      </c>
      <c r="AJ823">
        <v>1980</v>
      </c>
      <c r="AK823" t="s">
        <v>1194</v>
      </c>
      <c r="AL823" t="s">
        <v>1194</v>
      </c>
      <c r="AM823" s="4" t="s">
        <v>1238</v>
      </c>
      <c r="AN823">
        <v>0</v>
      </c>
      <c r="AO823" t="s">
        <v>1316</v>
      </c>
      <c r="AP823">
        <f t="shared" si="24"/>
        <v>0</v>
      </c>
      <c r="AQ823">
        <v>1</v>
      </c>
      <c r="AR823" t="s">
        <v>1992</v>
      </c>
      <c r="AS823" t="s">
        <v>1996</v>
      </c>
      <c r="AT823" t="s">
        <v>1995</v>
      </c>
      <c r="AU823" t="s">
        <v>1995</v>
      </c>
      <c r="AV823" t="s">
        <v>1995</v>
      </c>
      <c r="AW823" t="s">
        <v>1995</v>
      </c>
      <c r="AX823" t="s">
        <v>1194</v>
      </c>
      <c r="AY823" t="s">
        <v>1996</v>
      </c>
      <c r="AZ823">
        <v>3876</v>
      </c>
      <c r="BA823" t="s">
        <v>1194</v>
      </c>
      <c r="BB823" t="s">
        <v>2014</v>
      </c>
      <c r="BC823" s="3">
        <v>0</v>
      </c>
      <c r="BD823" s="3">
        <v>0</v>
      </c>
      <c r="BE823" s="3">
        <v>0</v>
      </c>
      <c r="BF823" s="3">
        <v>128.62</v>
      </c>
      <c r="BG823" s="3">
        <v>175</v>
      </c>
      <c r="BH823" s="3">
        <v>0</v>
      </c>
      <c r="BI823" s="3">
        <v>0</v>
      </c>
      <c r="BJ823" s="3">
        <v>3722.42</v>
      </c>
      <c r="BK823" s="3">
        <v>370</v>
      </c>
      <c r="BL823" s="3">
        <v>4092.42</v>
      </c>
      <c r="BM823" s="2">
        <f t="shared" ca="1" si="25"/>
        <v>3</v>
      </c>
      <c r="BN823" s="3">
        <v>50000</v>
      </c>
      <c r="BO823" s="3">
        <v>50000</v>
      </c>
      <c r="BP823" s="3">
        <v>200000</v>
      </c>
      <c r="BQ823" s="3">
        <v>250000</v>
      </c>
      <c r="BR823" s="3">
        <v>50000</v>
      </c>
      <c r="BS823">
        <v>50000</v>
      </c>
      <c r="BT823">
        <v>0</v>
      </c>
      <c r="BU823">
        <v>0</v>
      </c>
      <c r="BV823">
        <v>0</v>
      </c>
      <c r="BW823">
        <v>1</v>
      </c>
      <c r="BX823">
        <v>1</v>
      </c>
      <c r="BY823">
        <v>0</v>
      </c>
      <c r="BZ823" t="s">
        <v>1194</v>
      </c>
      <c r="CA823" t="s">
        <v>1194</v>
      </c>
      <c r="CB823" t="s">
        <v>1194</v>
      </c>
    </row>
    <row r="824" spans="1:80" x14ac:dyDescent="0.25">
      <c r="A824">
        <v>823</v>
      </c>
      <c r="B824" t="s">
        <v>2837</v>
      </c>
      <c r="C824" s="1">
        <v>44677</v>
      </c>
      <c r="D824">
        <v>12</v>
      </c>
      <c r="E824" t="s">
        <v>4</v>
      </c>
      <c r="F824" t="s">
        <v>1311</v>
      </c>
      <c r="G824">
        <v>0</v>
      </c>
      <c r="H824" s="3">
        <v>1308000</v>
      </c>
      <c r="I824" s="3">
        <v>261600</v>
      </c>
      <c r="J824" s="3">
        <v>850200</v>
      </c>
      <c r="K824" s="3">
        <v>0</v>
      </c>
      <c r="L824" t="s">
        <v>1191</v>
      </c>
      <c r="M824">
        <v>1675669</v>
      </c>
      <c r="N824" t="s">
        <v>1621</v>
      </c>
      <c r="P824" t="s">
        <v>1861</v>
      </c>
      <c r="Q824" t="s">
        <v>1266</v>
      </c>
      <c r="R824">
        <v>37919</v>
      </c>
      <c r="S824" t="s">
        <v>1862</v>
      </c>
      <c r="T824" t="s">
        <v>965</v>
      </c>
      <c r="U824">
        <v>0</v>
      </c>
      <c r="V824">
        <v>5</v>
      </c>
      <c r="W824" t="s">
        <v>1194</v>
      </c>
      <c r="X824" t="s">
        <v>973</v>
      </c>
      <c r="Y824">
        <v>10000</v>
      </c>
      <c r="Z824" s="2" t="s">
        <v>1194</v>
      </c>
      <c r="AA824" s="2" t="s">
        <v>1238</v>
      </c>
      <c r="AB824" t="s">
        <v>1238</v>
      </c>
      <c r="AC824">
        <v>827</v>
      </c>
      <c r="AD824" t="s">
        <v>1284</v>
      </c>
      <c r="AE824">
        <v>2</v>
      </c>
      <c r="AF824" t="s">
        <v>1290</v>
      </c>
      <c r="AG824">
        <v>0</v>
      </c>
      <c r="AH824">
        <v>0</v>
      </c>
      <c r="AI824">
        <v>0</v>
      </c>
      <c r="AJ824">
        <v>1992</v>
      </c>
      <c r="AK824" t="s">
        <v>1194</v>
      </c>
      <c r="AL824">
        <v>2012</v>
      </c>
      <c r="AM824" s="4" t="s">
        <v>1238</v>
      </c>
      <c r="AN824">
        <v>1</v>
      </c>
      <c r="AO824" t="s">
        <v>1317</v>
      </c>
      <c r="AP824">
        <f t="shared" si="24"/>
        <v>0</v>
      </c>
      <c r="AQ824">
        <v>0</v>
      </c>
      <c r="AR824" t="s">
        <v>1993</v>
      </c>
      <c r="AS824" t="s">
        <v>1996</v>
      </c>
      <c r="AT824" t="s">
        <v>1995</v>
      </c>
      <c r="AU824" t="s">
        <v>1996</v>
      </c>
      <c r="AV824" t="s">
        <v>1996</v>
      </c>
      <c r="AW824" t="s">
        <v>1995</v>
      </c>
      <c r="AX824" t="s">
        <v>1194</v>
      </c>
      <c r="AY824" t="s">
        <v>1996</v>
      </c>
      <c r="AZ824">
        <v>3878</v>
      </c>
      <c r="BA824" t="s">
        <v>1194</v>
      </c>
      <c r="BB824" t="s">
        <v>1194</v>
      </c>
      <c r="BC824" s="3">
        <v>0</v>
      </c>
      <c r="BD824" s="3">
        <v>720.52</v>
      </c>
      <c r="BE824" s="3">
        <v>0</v>
      </c>
      <c r="BF824" s="3">
        <v>0</v>
      </c>
      <c r="BG824" s="3">
        <v>175</v>
      </c>
      <c r="BH824" s="3">
        <v>0</v>
      </c>
      <c r="BI824" s="3">
        <v>0</v>
      </c>
      <c r="BJ824" s="3">
        <v>3842.73</v>
      </c>
      <c r="BK824" s="3">
        <v>250</v>
      </c>
      <c r="BL824" s="3">
        <v>4092.73</v>
      </c>
      <c r="BM824" s="2">
        <f t="shared" ca="1" si="25"/>
        <v>2</v>
      </c>
      <c r="BN824" s="3">
        <v>1000000</v>
      </c>
      <c r="BO824" s="3">
        <v>50000</v>
      </c>
      <c r="BP824" s="3">
        <v>50000</v>
      </c>
      <c r="BQ824" s="3">
        <v>50000</v>
      </c>
      <c r="BR824" s="3">
        <v>50000</v>
      </c>
      <c r="BS824">
        <v>500000</v>
      </c>
      <c r="BT824">
        <v>0</v>
      </c>
      <c r="BU824">
        <v>0</v>
      </c>
      <c r="BV824">
        <v>1</v>
      </c>
      <c r="BW824">
        <v>0</v>
      </c>
      <c r="BX824">
        <v>0</v>
      </c>
      <c r="BY824">
        <v>0</v>
      </c>
      <c r="BZ824" t="s">
        <v>2958</v>
      </c>
      <c r="CA824" t="s">
        <v>1194</v>
      </c>
      <c r="CB824" t="s">
        <v>2949</v>
      </c>
    </row>
    <row r="825" spans="1:80" x14ac:dyDescent="0.25">
      <c r="A825">
        <v>824</v>
      </c>
      <c r="B825" t="s">
        <v>2838</v>
      </c>
      <c r="C825" s="1">
        <v>44723</v>
      </c>
      <c r="D825">
        <v>12</v>
      </c>
      <c r="E825" t="s">
        <v>4</v>
      </c>
      <c r="F825" t="s">
        <v>1311</v>
      </c>
      <c r="G825">
        <v>0</v>
      </c>
      <c r="H825" s="3">
        <v>2516810</v>
      </c>
      <c r="I825" s="3">
        <v>327000</v>
      </c>
      <c r="J825" s="3">
        <v>1258405</v>
      </c>
      <c r="K825" s="3">
        <v>503362</v>
      </c>
      <c r="L825" t="s">
        <v>1191</v>
      </c>
      <c r="M825">
        <v>1610683</v>
      </c>
      <c r="N825" t="s">
        <v>1622</v>
      </c>
      <c r="P825" t="s">
        <v>1959</v>
      </c>
      <c r="Q825" t="s">
        <v>1270</v>
      </c>
      <c r="R825">
        <v>98004</v>
      </c>
      <c r="S825" t="s">
        <v>1796</v>
      </c>
      <c r="T825" t="s">
        <v>965</v>
      </c>
      <c r="U825">
        <v>1</v>
      </c>
      <c r="V825">
        <v>137</v>
      </c>
      <c r="W825" t="s">
        <v>1194</v>
      </c>
      <c r="X825" t="s">
        <v>1309</v>
      </c>
      <c r="Y825">
        <v>10000</v>
      </c>
      <c r="Z825" s="2" t="s">
        <v>1194</v>
      </c>
      <c r="AA825" s="2" t="s">
        <v>1238</v>
      </c>
      <c r="AB825" t="s">
        <v>1238</v>
      </c>
      <c r="AC825" t="s">
        <v>1194</v>
      </c>
      <c r="AD825" t="s">
        <v>1279</v>
      </c>
      <c r="AE825">
        <v>2</v>
      </c>
      <c r="AF825" t="s">
        <v>1290</v>
      </c>
      <c r="AG825">
        <v>0</v>
      </c>
      <c r="AH825">
        <v>0</v>
      </c>
      <c r="AI825">
        <v>0</v>
      </c>
      <c r="AJ825">
        <v>1965</v>
      </c>
      <c r="AK825" t="s">
        <v>1194</v>
      </c>
      <c r="AL825" t="s">
        <v>1194</v>
      </c>
      <c r="AM825" s="4" t="s">
        <v>1238</v>
      </c>
      <c r="AN825">
        <v>1</v>
      </c>
      <c r="AO825" t="s">
        <v>1315</v>
      </c>
      <c r="AP825">
        <f t="shared" si="24"/>
        <v>0</v>
      </c>
      <c r="AQ825">
        <v>1</v>
      </c>
      <c r="AR825" t="s">
        <v>1992</v>
      </c>
      <c r="AS825" t="s">
        <v>1995</v>
      </c>
      <c r="AT825" t="s">
        <v>1995</v>
      </c>
      <c r="AU825" t="s">
        <v>1996</v>
      </c>
      <c r="AV825" t="s">
        <v>1995</v>
      </c>
      <c r="AW825" t="s">
        <v>1995</v>
      </c>
      <c r="AX825" t="s">
        <v>1194</v>
      </c>
      <c r="AY825" t="s">
        <v>1996</v>
      </c>
      <c r="AZ825">
        <v>4950</v>
      </c>
      <c r="BA825" t="s">
        <v>1194</v>
      </c>
      <c r="BB825" t="s">
        <v>2014</v>
      </c>
      <c r="BC825" s="3">
        <v>0</v>
      </c>
      <c r="BD825" s="3">
        <v>0</v>
      </c>
      <c r="BE825" s="3">
        <v>0</v>
      </c>
      <c r="BF825" s="3">
        <v>0</v>
      </c>
      <c r="BG825" s="3">
        <v>110</v>
      </c>
      <c r="BH825" s="3">
        <v>0</v>
      </c>
      <c r="BI825" s="3">
        <v>0</v>
      </c>
      <c r="BJ825" s="3">
        <v>6666.19</v>
      </c>
      <c r="BK825" s="3">
        <v>593</v>
      </c>
      <c r="BL825" s="3">
        <v>7259.19</v>
      </c>
      <c r="BM825" s="2">
        <f t="shared" ca="1" si="25"/>
        <v>1</v>
      </c>
      <c r="BN825" s="3" t="s">
        <v>2916</v>
      </c>
      <c r="BO825" s="3">
        <v>25000</v>
      </c>
      <c r="BP825" s="3">
        <v>200000</v>
      </c>
      <c r="BQ825" s="3">
        <v>50000</v>
      </c>
      <c r="BR825" s="3">
        <v>50000</v>
      </c>
      <c r="BS825">
        <v>100000</v>
      </c>
      <c r="BT825">
        <v>0</v>
      </c>
      <c r="BU825">
        <v>0</v>
      </c>
      <c r="BV825">
        <v>0</v>
      </c>
      <c r="BW825">
        <v>1</v>
      </c>
      <c r="BX825">
        <v>1</v>
      </c>
      <c r="BY825">
        <v>0</v>
      </c>
      <c r="BZ825" t="s">
        <v>2949</v>
      </c>
      <c r="CA825" t="s">
        <v>1194</v>
      </c>
      <c r="CB825" t="s">
        <v>2949</v>
      </c>
    </row>
    <row r="826" spans="1:80" x14ac:dyDescent="0.25">
      <c r="A826">
        <v>825</v>
      </c>
      <c r="B826" t="s">
        <v>2839</v>
      </c>
      <c r="C826" s="1">
        <v>44742</v>
      </c>
      <c r="D826">
        <v>12</v>
      </c>
      <c r="E826" t="s">
        <v>4</v>
      </c>
      <c r="F826" t="s">
        <v>1311</v>
      </c>
      <c r="G826">
        <v>1</v>
      </c>
      <c r="H826" s="3">
        <v>1800000</v>
      </c>
      <c r="I826" s="3">
        <v>360000</v>
      </c>
      <c r="J826" s="3">
        <v>900000</v>
      </c>
      <c r="K826" s="3">
        <v>360000</v>
      </c>
      <c r="L826" t="s">
        <v>1191</v>
      </c>
      <c r="M826">
        <v>1927338</v>
      </c>
      <c r="N826" t="s">
        <v>1623</v>
      </c>
      <c r="P826" t="s">
        <v>615</v>
      </c>
      <c r="Q826" t="s">
        <v>1252</v>
      </c>
      <c r="R826">
        <v>49456</v>
      </c>
      <c r="S826" t="s">
        <v>1755</v>
      </c>
      <c r="T826" t="s">
        <v>965</v>
      </c>
      <c r="U826">
        <v>0</v>
      </c>
      <c r="V826">
        <v>8</v>
      </c>
      <c r="W826" t="s">
        <v>1194</v>
      </c>
      <c r="X826" t="s">
        <v>973</v>
      </c>
      <c r="Y826">
        <v>10000</v>
      </c>
      <c r="Z826" s="2" t="s">
        <v>1194</v>
      </c>
      <c r="AA826" s="2">
        <v>1</v>
      </c>
      <c r="AB826">
        <v>0.02</v>
      </c>
      <c r="AC826">
        <v>926</v>
      </c>
      <c r="AD826" t="s">
        <v>1279</v>
      </c>
      <c r="AE826">
        <v>4</v>
      </c>
      <c r="AF826" t="s">
        <v>1290</v>
      </c>
      <c r="AG826">
        <v>0</v>
      </c>
      <c r="AH826">
        <v>0</v>
      </c>
      <c r="AI826">
        <v>0</v>
      </c>
      <c r="AJ826">
        <v>1988</v>
      </c>
      <c r="AK826">
        <v>2011</v>
      </c>
      <c r="AL826" t="s">
        <v>1194</v>
      </c>
      <c r="AM826" s="4" t="s">
        <v>1238</v>
      </c>
      <c r="AN826">
        <v>1</v>
      </c>
      <c r="AO826" t="s">
        <v>1316</v>
      </c>
      <c r="AP826">
        <f t="shared" si="24"/>
        <v>0</v>
      </c>
      <c r="AQ826">
        <v>1</v>
      </c>
      <c r="AR826" t="s">
        <v>1992</v>
      </c>
      <c r="AS826" t="s">
        <v>1996</v>
      </c>
      <c r="AT826" t="s">
        <v>1995</v>
      </c>
      <c r="AU826" t="s">
        <v>1995</v>
      </c>
      <c r="AV826" t="s">
        <v>1996</v>
      </c>
      <c r="AW826" t="s">
        <v>1995</v>
      </c>
      <c r="AX826" t="s">
        <v>1194</v>
      </c>
      <c r="AY826" t="s">
        <v>1996</v>
      </c>
      <c r="AZ826">
        <v>5000</v>
      </c>
      <c r="BA826" t="s">
        <v>1194</v>
      </c>
      <c r="BB826" t="s">
        <v>1194</v>
      </c>
      <c r="BC826" s="3">
        <v>0</v>
      </c>
      <c r="BD826" s="3">
        <v>0</v>
      </c>
      <c r="BE826" s="3">
        <v>0</v>
      </c>
      <c r="BF826" s="3">
        <v>0</v>
      </c>
      <c r="BG826" s="3">
        <v>200</v>
      </c>
      <c r="BH826" s="3">
        <v>0</v>
      </c>
      <c r="BI826" s="3">
        <v>0</v>
      </c>
      <c r="BJ826" s="3">
        <v>4462.82</v>
      </c>
      <c r="BK826" s="3">
        <v>320</v>
      </c>
      <c r="BL826" s="3">
        <v>4782.82</v>
      </c>
      <c r="BM826" s="2">
        <f t="shared" ca="1" si="25"/>
        <v>1</v>
      </c>
      <c r="BN826" s="3">
        <v>250000</v>
      </c>
      <c r="BO826" s="3">
        <v>1000000</v>
      </c>
      <c r="BP826" s="3">
        <v>100000</v>
      </c>
      <c r="BQ826" s="3">
        <v>25000</v>
      </c>
      <c r="BR826" s="3">
        <v>250000</v>
      </c>
      <c r="BS826">
        <v>250000</v>
      </c>
      <c r="BT826">
        <v>0</v>
      </c>
      <c r="BU826">
        <v>0</v>
      </c>
      <c r="BV826">
        <v>1</v>
      </c>
      <c r="BW826">
        <v>0</v>
      </c>
      <c r="BX826">
        <v>0</v>
      </c>
      <c r="BY826">
        <v>0</v>
      </c>
      <c r="BZ826" t="s">
        <v>2958</v>
      </c>
      <c r="CA826" t="s">
        <v>1194</v>
      </c>
      <c r="CB826" t="s">
        <v>2941</v>
      </c>
    </row>
    <row r="827" spans="1:80" x14ac:dyDescent="0.25">
      <c r="A827">
        <v>826</v>
      </c>
      <c r="B827" t="s">
        <v>2840</v>
      </c>
      <c r="C827" s="1">
        <v>44837</v>
      </c>
      <c r="D827">
        <v>12</v>
      </c>
      <c r="E827" t="s">
        <v>5</v>
      </c>
      <c r="F827" t="s">
        <v>1310</v>
      </c>
      <c r="G827">
        <v>0</v>
      </c>
      <c r="H827" s="3">
        <v>0</v>
      </c>
      <c r="I827" s="3">
        <v>0</v>
      </c>
      <c r="J827" s="3">
        <v>100000</v>
      </c>
      <c r="K827" s="3">
        <v>0</v>
      </c>
      <c r="L827" t="s">
        <v>1321</v>
      </c>
      <c r="M827">
        <v>207207</v>
      </c>
      <c r="N827" t="s">
        <v>1624</v>
      </c>
      <c r="P827" t="s">
        <v>1895</v>
      </c>
      <c r="Q827" t="s">
        <v>1240</v>
      </c>
      <c r="R827">
        <v>6854</v>
      </c>
      <c r="S827" t="s">
        <v>1706</v>
      </c>
      <c r="T827" t="s">
        <v>979</v>
      </c>
      <c r="U827">
        <v>0</v>
      </c>
      <c r="V827">
        <v>51</v>
      </c>
      <c r="W827" t="s">
        <v>1194</v>
      </c>
      <c r="X827" t="s">
        <v>973</v>
      </c>
      <c r="Y827">
        <v>25000</v>
      </c>
      <c r="Z827" s="2" t="s">
        <v>1194</v>
      </c>
      <c r="AA827" s="2" t="s">
        <v>1238</v>
      </c>
      <c r="AB827" t="s">
        <v>1238</v>
      </c>
      <c r="AC827">
        <v>818</v>
      </c>
      <c r="AD827" t="s">
        <v>1279</v>
      </c>
      <c r="AE827">
        <v>3</v>
      </c>
      <c r="AF827" t="s">
        <v>1290</v>
      </c>
      <c r="AG827">
        <v>0</v>
      </c>
      <c r="AH827">
        <v>0</v>
      </c>
      <c r="AI827">
        <v>0</v>
      </c>
      <c r="AJ827">
        <v>1900</v>
      </c>
      <c r="AK827">
        <v>2020</v>
      </c>
      <c r="AL827">
        <v>2011</v>
      </c>
      <c r="AM827" s="4" t="s">
        <v>1304</v>
      </c>
      <c r="AN827">
        <v>1</v>
      </c>
      <c r="AO827" t="s">
        <v>1316</v>
      </c>
      <c r="AP827">
        <f t="shared" si="24"/>
        <v>0</v>
      </c>
      <c r="AQ827">
        <v>0</v>
      </c>
      <c r="AR827" t="s">
        <v>1993</v>
      </c>
      <c r="AS827" t="s">
        <v>1996</v>
      </c>
      <c r="AT827" t="s">
        <v>1996</v>
      </c>
      <c r="AU827" t="s">
        <v>1995</v>
      </c>
      <c r="AV827" t="s">
        <v>1995</v>
      </c>
      <c r="AW827" t="s">
        <v>1995</v>
      </c>
      <c r="AX827" t="s">
        <v>2003</v>
      </c>
      <c r="AY827" t="s">
        <v>1996</v>
      </c>
      <c r="AZ827">
        <v>2916</v>
      </c>
      <c r="BA827" t="s">
        <v>1194</v>
      </c>
      <c r="BB827" t="s">
        <v>1194</v>
      </c>
      <c r="BC827" s="3">
        <v>0</v>
      </c>
      <c r="BD827" s="3">
        <v>0</v>
      </c>
      <c r="BE827" s="3">
        <v>0</v>
      </c>
      <c r="BF827" s="3">
        <v>0</v>
      </c>
      <c r="BG827" s="3">
        <v>160</v>
      </c>
      <c r="BH827" s="3">
        <v>0</v>
      </c>
      <c r="BI827" s="3">
        <v>0</v>
      </c>
      <c r="BJ827" s="3">
        <v>699</v>
      </c>
      <c r="BK827" s="3">
        <v>395</v>
      </c>
      <c r="BL827" s="3">
        <v>1094</v>
      </c>
      <c r="BM827" s="2">
        <f t="shared" ca="1" si="25"/>
        <v>2</v>
      </c>
      <c r="BN827" s="3" t="s">
        <v>2916</v>
      </c>
      <c r="BO827" s="3">
        <v>50000</v>
      </c>
      <c r="BP827" s="3">
        <v>100000</v>
      </c>
      <c r="BQ827" s="3">
        <v>100000</v>
      </c>
      <c r="BR827" s="3">
        <v>2000000</v>
      </c>
      <c r="BS827">
        <v>50000</v>
      </c>
      <c r="BT827">
        <v>0</v>
      </c>
      <c r="BU827">
        <v>0</v>
      </c>
      <c r="BV827">
        <v>1</v>
      </c>
      <c r="BW827">
        <v>0</v>
      </c>
      <c r="BX827">
        <v>0</v>
      </c>
      <c r="BY827">
        <v>0</v>
      </c>
      <c r="BZ827" t="s">
        <v>2949</v>
      </c>
      <c r="CA827" t="s">
        <v>1194</v>
      </c>
      <c r="CB827" t="s">
        <v>2949</v>
      </c>
    </row>
    <row r="828" spans="1:80" x14ac:dyDescent="0.25">
      <c r="A828">
        <v>827</v>
      </c>
      <c r="B828" t="s">
        <v>2841</v>
      </c>
      <c r="C828" s="1">
        <v>44962</v>
      </c>
      <c r="D828">
        <v>30</v>
      </c>
      <c r="E828" t="s">
        <v>6</v>
      </c>
      <c r="F828" t="s">
        <v>1310</v>
      </c>
      <c r="G828">
        <v>1</v>
      </c>
      <c r="H828" s="3">
        <v>3162363</v>
      </c>
      <c r="I828" s="3">
        <v>114995</v>
      </c>
      <c r="J828" s="3">
        <v>1581181</v>
      </c>
      <c r="K828" s="3">
        <v>632472.6</v>
      </c>
      <c r="L828" t="s">
        <v>1191</v>
      </c>
      <c r="M828">
        <v>1620718</v>
      </c>
      <c r="N828" t="s">
        <v>1625</v>
      </c>
      <c r="P828" t="s">
        <v>1733</v>
      </c>
      <c r="Q828" t="s">
        <v>1246</v>
      </c>
      <c r="R828">
        <v>60615</v>
      </c>
      <c r="S828" t="s">
        <v>1734</v>
      </c>
      <c r="T828" t="s">
        <v>965</v>
      </c>
      <c r="U828">
        <v>0</v>
      </c>
      <c r="V828">
        <v>7</v>
      </c>
      <c r="W828" t="s">
        <v>1194</v>
      </c>
      <c r="X828" t="s">
        <v>973</v>
      </c>
      <c r="Y828">
        <v>10000</v>
      </c>
      <c r="Z828" s="2" t="s">
        <v>1194</v>
      </c>
      <c r="AA828" s="2">
        <v>0</v>
      </c>
      <c r="AB828" t="s">
        <v>1238</v>
      </c>
      <c r="AC828">
        <v>836</v>
      </c>
      <c r="AD828" t="s">
        <v>1279</v>
      </c>
      <c r="AE828">
        <v>1</v>
      </c>
      <c r="AF828" t="s">
        <v>1290</v>
      </c>
      <c r="AG828">
        <v>0</v>
      </c>
      <c r="AH828">
        <v>0</v>
      </c>
      <c r="AI828">
        <v>0</v>
      </c>
      <c r="AJ828">
        <v>1890</v>
      </c>
      <c r="AK828">
        <v>2021</v>
      </c>
      <c r="AL828">
        <v>2019</v>
      </c>
      <c r="AM828" s="4" t="s">
        <v>1304</v>
      </c>
      <c r="AN828">
        <v>0</v>
      </c>
      <c r="AO828" t="s">
        <v>1315</v>
      </c>
      <c r="AP828">
        <f t="shared" si="24"/>
        <v>0</v>
      </c>
      <c r="AQ828">
        <v>0</v>
      </c>
      <c r="AR828" t="s">
        <v>1993</v>
      </c>
      <c r="AS828" t="s">
        <v>1996</v>
      </c>
      <c r="AT828" t="s">
        <v>1996</v>
      </c>
      <c r="AU828" t="s">
        <v>1996</v>
      </c>
      <c r="AV828" t="s">
        <v>1995</v>
      </c>
      <c r="AW828" t="s">
        <v>1996</v>
      </c>
      <c r="AX828" t="s">
        <v>1194</v>
      </c>
      <c r="AY828" t="s">
        <v>1996</v>
      </c>
      <c r="AZ828">
        <v>2243</v>
      </c>
      <c r="BA828" t="s">
        <v>1194</v>
      </c>
      <c r="BB828" t="s">
        <v>1194</v>
      </c>
      <c r="BC828" s="3">
        <v>0</v>
      </c>
      <c r="BD828" s="3">
        <v>0</v>
      </c>
      <c r="BE828" s="3">
        <v>0</v>
      </c>
      <c r="BF828" s="3">
        <v>0</v>
      </c>
      <c r="BG828" s="3">
        <v>175</v>
      </c>
      <c r="BH828" s="3">
        <v>0</v>
      </c>
      <c r="BI828" s="3">
        <v>0</v>
      </c>
      <c r="BJ828" s="3">
        <v>4883.88</v>
      </c>
      <c r="BK828" s="3">
        <v>250</v>
      </c>
      <c r="BL828" s="3">
        <v>5133.88</v>
      </c>
      <c r="BM828" s="2">
        <f t="shared" ca="1" si="25"/>
        <v>3</v>
      </c>
      <c r="BN828" s="3" t="s">
        <v>2916</v>
      </c>
      <c r="BO828" s="3">
        <v>250000</v>
      </c>
      <c r="BP828" s="3">
        <v>50000</v>
      </c>
      <c r="BQ828" s="3">
        <v>500000</v>
      </c>
      <c r="BR828" s="3">
        <v>1000000</v>
      </c>
      <c r="BS828">
        <v>1000000</v>
      </c>
      <c r="BT828">
        <v>0</v>
      </c>
      <c r="BU828">
        <v>0</v>
      </c>
      <c r="BV828">
        <v>1</v>
      </c>
      <c r="BW828">
        <v>0</v>
      </c>
      <c r="BX828">
        <v>0</v>
      </c>
      <c r="BY828">
        <v>0</v>
      </c>
      <c r="BZ828" t="s">
        <v>2958</v>
      </c>
      <c r="CA828" t="s">
        <v>1194</v>
      </c>
      <c r="CB828" t="s">
        <v>2945</v>
      </c>
    </row>
    <row r="829" spans="1:80" x14ac:dyDescent="0.25">
      <c r="A829">
        <v>828</v>
      </c>
      <c r="B829" t="s">
        <v>2842</v>
      </c>
      <c r="C829" s="1">
        <v>44633</v>
      </c>
      <c r="D829">
        <v>12</v>
      </c>
      <c r="E829" t="s">
        <v>4</v>
      </c>
      <c r="F829" t="s">
        <v>1311</v>
      </c>
      <c r="G829">
        <v>0</v>
      </c>
      <c r="H829" s="3">
        <v>2500000</v>
      </c>
      <c r="I829" s="3">
        <v>139000</v>
      </c>
      <c r="J829" s="3">
        <v>400000</v>
      </c>
      <c r="K829" s="3">
        <v>0</v>
      </c>
      <c r="L829" t="s">
        <v>1191</v>
      </c>
      <c r="M829">
        <v>1624597</v>
      </c>
      <c r="N829" t="s">
        <v>1626</v>
      </c>
      <c r="P829" t="s">
        <v>1960</v>
      </c>
      <c r="Q829" t="s">
        <v>1320</v>
      </c>
      <c r="R829">
        <v>3782</v>
      </c>
      <c r="S829" t="s">
        <v>1787</v>
      </c>
      <c r="T829" t="s">
        <v>965</v>
      </c>
      <c r="U829">
        <v>0</v>
      </c>
      <c r="V829">
        <v>1</v>
      </c>
      <c r="W829" t="s">
        <v>1194</v>
      </c>
      <c r="X829" t="s">
        <v>973</v>
      </c>
      <c r="Y829">
        <v>10000</v>
      </c>
      <c r="Z829" s="2" t="s">
        <v>1194</v>
      </c>
      <c r="AA829" s="2">
        <v>1</v>
      </c>
      <c r="AB829">
        <v>0.02</v>
      </c>
      <c r="AC829">
        <v>795</v>
      </c>
      <c r="AD829" t="s">
        <v>1279</v>
      </c>
      <c r="AE829">
        <v>9</v>
      </c>
      <c r="AF829" t="s">
        <v>1290</v>
      </c>
      <c r="AG829">
        <v>0</v>
      </c>
      <c r="AH829">
        <v>0</v>
      </c>
      <c r="AI829">
        <v>0</v>
      </c>
      <c r="AJ829">
        <v>1900</v>
      </c>
      <c r="AK829" t="s">
        <v>1194</v>
      </c>
      <c r="AL829" t="s">
        <v>1194</v>
      </c>
      <c r="AM829" s="4" t="s">
        <v>1238</v>
      </c>
      <c r="AN829">
        <v>0</v>
      </c>
      <c r="AO829" t="s">
        <v>1316</v>
      </c>
      <c r="AP829">
        <f t="shared" si="24"/>
        <v>0</v>
      </c>
      <c r="AQ829">
        <v>0</v>
      </c>
      <c r="AR829" t="s">
        <v>1993</v>
      </c>
      <c r="AS829" t="s">
        <v>1996</v>
      </c>
      <c r="AT829" t="s">
        <v>1996</v>
      </c>
      <c r="AU829" t="s">
        <v>1995</v>
      </c>
      <c r="AV829" t="s">
        <v>1996</v>
      </c>
      <c r="AW829" t="s">
        <v>1996</v>
      </c>
      <c r="AX829" t="s">
        <v>1194</v>
      </c>
      <c r="AY829" t="s">
        <v>1996</v>
      </c>
      <c r="AZ829">
        <v>3521</v>
      </c>
      <c r="BA829" t="s">
        <v>1194</v>
      </c>
      <c r="BB829" t="s">
        <v>1194</v>
      </c>
      <c r="BC829" s="3">
        <v>0</v>
      </c>
      <c r="BD829" s="3">
        <v>0</v>
      </c>
      <c r="BE829" s="3">
        <v>0</v>
      </c>
      <c r="BF829" s="3">
        <v>0</v>
      </c>
      <c r="BG829" s="3">
        <v>140</v>
      </c>
      <c r="BH829" s="3">
        <v>0</v>
      </c>
      <c r="BI829" s="3">
        <v>0</v>
      </c>
      <c r="BJ829" s="3">
        <v>8502.24</v>
      </c>
      <c r="BK829" s="3">
        <v>-15</v>
      </c>
      <c r="BL829" s="3">
        <v>8487.24</v>
      </c>
      <c r="BM829" s="2">
        <f t="shared" ca="1" si="25"/>
        <v>4</v>
      </c>
      <c r="BN829" s="3">
        <v>500000</v>
      </c>
      <c r="BO829" s="3">
        <v>1000000</v>
      </c>
      <c r="BP829" s="3">
        <v>100000</v>
      </c>
      <c r="BQ829" s="3">
        <v>1000000</v>
      </c>
      <c r="BR829" s="3">
        <v>2000000</v>
      </c>
      <c r="BS829">
        <v>100000</v>
      </c>
      <c r="BT829">
        <v>0</v>
      </c>
      <c r="BU829">
        <v>0</v>
      </c>
      <c r="BV829">
        <v>0</v>
      </c>
      <c r="BW829">
        <v>1</v>
      </c>
      <c r="BX829">
        <v>0</v>
      </c>
      <c r="BY829">
        <v>0</v>
      </c>
      <c r="BZ829" t="s">
        <v>2949</v>
      </c>
      <c r="CA829" t="s">
        <v>1194</v>
      </c>
      <c r="CB829" t="s">
        <v>2949</v>
      </c>
    </row>
    <row r="830" spans="1:80" x14ac:dyDescent="0.25">
      <c r="A830">
        <v>829</v>
      </c>
      <c r="B830" t="s">
        <v>2843</v>
      </c>
      <c r="C830" s="1">
        <v>44982</v>
      </c>
      <c r="D830">
        <v>12</v>
      </c>
      <c r="E830" t="s">
        <v>4</v>
      </c>
      <c r="F830" t="s">
        <v>1311</v>
      </c>
      <c r="G830">
        <v>0</v>
      </c>
      <c r="H830" s="3">
        <v>11445000</v>
      </c>
      <c r="I830" s="3">
        <v>2180000</v>
      </c>
      <c r="J830" s="3">
        <v>0</v>
      </c>
      <c r="K830" s="3">
        <v>0</v>
      </c>
      <c r="L830" t="s">
        <v>1191</v>
      </c>
      <c r="M830">
        <v>1630518</v>
      </c>
      <c r="N830" t="s">
        <v>1627</v>
      </c>
      <c r="P830" t="s">
        <v>1961</v>
      </c>
      <c r="Q830" t="s">
        <v>1237</v>
      </c>
      <c r="R830">
        <v>85253</v>
      </c>
      <c r="S830" t="s">
        <v>1705</v>
      </c>
      <c r="T830" t="s">
        <v>965</v>
      </c>
      <c r="U830">
        <v>0</v>
      </c>
      <c r="V830">
        <v>9</v>
      </c>
      <c r="W830" t="s">
        <v>1194</v>
      </c>
      <c r="X830" t="s">
        <v>973</v>
      </c>
      <c r="Y830">
        <v>25000</v>
      </c>
      <c r="Z830" s="2" t="s">
        <v>1194</v>
      </c>
      <c r="AA830" s="2" t="s">
        <v>1238</v>
      </c>
      <c r="AB830" t="s">
        <v>1238</v>
      </c>
      <c r="AC830">
        <v>721</v>
      </c>
      <c r="AD830" t="s">
        <v>1280</v>
      </c>
      <c r="AE830">
        <v>1</v>
      </c>
      <c r="AF830" t="s">
        <v>1290</v>
      </c>
      <c r="AG830">
        <v>0</v>
      </c>
      <c r="AH830">
        <v>0</v>
      </c>
      <c r="AI830">
        <v>0</v>
      </c>
      <c r="AJ830">
        <v>1993</v>
      </c>
      <c r="AK830" t="s">
        <v>1194</v>
      </c>
      <c r="AL830" t="s">
        <v>1194</v>
      </c>
      <c r="AM830" s="4" t="s">
        <v>1238</v>
      </c>
      <c r="AN830">
        <v>1</v>
      </c>
      <c r="AO830" t="s">
        <v>1315</v>
      </c>
      <c r="AP830">
        <f t="shared" si="24"/>
        <v>0</v>
      </c>
      <c r="AQ830">
        <v>1</v>
      </c>
      <c r="AR830" t="s">
        <v>1992</v>
      </c>
      <c r="AS830" t="s">
        <v>1995</v>
      </c>
      <c r="AT830" t="s">
        <v>1996</v>
      </c>
      <c r="AU830" t="s">
        <v>1995</v>
      </c>
      <c r="AV830" t="s">
        <v>1996</v>
      </c>
      <c r="AW830" t="s">
        <v>1995</v>
      </c>
      <c r="AX830" t="s">
        <v>1194</v>
      </c>
      <c r="AY830" t="s">
        <v>1996</v>
      </c>
      <c r="AZ830">
        <v>10535</v>
      </c>
      <c r="BA830">
        <v>3</v>
      </c>
      <c r="BB830" t="s">
        <v>2016</v>
      </c>
      <c r="BC830" s="3">
        <v>0</v>
      </c>
      <c r="BD830" s="3">
        <v>0</v>
      </c>
      <c r="BE830" s="3">
        <v>0</v>
      </c>
      <c r="BF830" s="3">
        <v>0</v>
      </c>
      <c r="BG830" s="3">
        <v>210</v>
      </c>
      <c r="BH830" s="3">
        <v>0</v>
      </c>
      <c r="BI830" s="3">
        <v>0</v>
      </c>
      <c r="BJ830" s="3">
        <v>31816.34</v>
      </c>
      <c r="BK830" s="3">
        <v>-5</v>
      </c>
      <c r="BL830" s="3">
        <v>28391</v>
      </c>
      <c r="BM830" s="2">
        <f t="shared" ca="1" si="25"/>
        <v>4</v>
      </c>
      <c r="BN830" s="3">
        <v>500000</v>
      </c>
      <c r="BO830" s="3">
        <v>100000</v>
      </c>
      <c r="BP830" s="3">
        <v>50000</v>
      </c>
      <c r="BQ830" s="3">
        <v>250000</v>
      </c>
      <c r="BR830" s="3">
        <v>100000</v>
      </c>
      <c r="BS830">
        <v>500000</v>
      </c>
      <c r="BT830">
        <v>0</v>
      </c>
      <c r="BU830">
        <v>0</v>
      </c>
      <c r="BV830">
        <v>0</v>
      </c>
      <c r="BW830">
        <v>1</v>
      </c>
      <c r="BX830">
        <v>0</v>
      </c>
      <c r="BY830">
        <v>0</v>
      </c>
      <c r="BZ830" t="s">
        <v>2961</v>
      </c>
      <c r="CA830" t="s">
        <v>1194</v>
      </c>
      <c r="CB830" t="s">
        <v>2945</v>
      </c>
    </row>
    <row r="831" spans="1:80" x14ac:dyDescent="0.25">
      <c r="A831">
        <v>830</v>
      </c>
      <c r="B831" t="s">
        <v>2844</v>
      </c>
      <c r="C831" s="1">
        <v>44695</v>
      </c>
      <c r="D831">
        <v>39</v>
      </c>
      <c r="E831" t="s">
        <v>4</v>
      </c>
      <c r="F831" t="s">
        <v>1311</v>
      </c>
      <c r="G831">
        <v>0</v>
      </c>
      <c r="H831" s="3">
        <v>0</v>
      </c>
      <c r="I831" s="3">
        <v>0</v>
      </c>
      <c r="J831" s="3">
        <v>1362500</v>
      </c>
      <c r="K831" s="3">
        <v>272500</v>
      </c>
      <c r="L831" t="s">
        <v>1192</v>
      </c>
      <c r="M831">
        <v>1675587</v>
      </c>
      <c r="N831" t="s">
        <v>1628</v>
      </c>
      <c r="P831" t="s">
        <v>1704</v>
      </c>
      <c r="Q831" t="s">
        <v>1237</v>
      </c>
      <c r="R831">
        <v>85258</v>
      </c>
      <c r="S831" t="s">
        <v>1705</v>
      </c>
      <c r="T831" t="s">
        <v>965</v>
      </c>
      <c r="U831">
        <v>0</v>
      </c>
      <c r="V831">
        <v>7</v>
      </c>
      <c r="W831" t="s">
        <v>1194</v>
      </c>
      <c r="X831" t="s">
        <v>973</v>
      </c>
      <c r="Y831">
        <v>10000</v>
      </c>
      <c r="Z831" s="2" t="s">
        <v>1194</v>
      </c>
      <c r="AA831" s="2" t="s">
        <v>1238</v>
      </c>
      <c r="AB831" t="s">
        <v>1238</v>
      </c>
      <c r="AC831">
        <v>909</v>
      </c>
      <c r="AD831" t="s">
        <v>1279</v>
      </c>
      <c r="AE831">
        <v>2</v>
      </c>
      <c r="AF831" t="s">
        <v>1290</v>
      </c>
      <c r="AG831">
        <v>0</v>
      </c>
      <c r="AH831">
        <v>0</v>
      </c>
      <c r="AI831">
        <v>0</v>
      </c>
      <c r="AJ831">
        <v>1982</v>
      </c>
      <c r="AK831" t="s">
        <v>1194</v>
      </c>
      <c r="AL831" t="s">
        <v>1194</v>
      </c>
      <c r="AM831" s="4" t="s">
        <v>1238</v>
      </c>
      <c r="AN831">
        <v>0</v>
      </c>
      <c r="AO831" t="s">
        <v>1315</v>
      </c>
      <c r="AP831">
        <f t="shared" si="24"/>
        <v>0</v>
      </c>
      <c r="AQ831">
        <v>1</v>
      </c>
      <c r="AR831" t="s">
        <v>1992</v>
      </c>
      <c r="AS831" t="s">
        <v>1995</v>
      </c>
      <c r="AT831" t="s">
        <v>1996</v>
      </c>
      <c r="AU831" t="s">
        <v>1996</v>
      </c>
      <c r="AV831" t="s">
        <v>1996</v>
      </c>
      <c r="AW831" t="s">
        <v>1996</v>
      </c>
      <c r="AX831" t="s">
        <v>1194</v>
      </c>
      <c r="AY831" t="s">
        <v>1996</v>
      </c>
      <c r="AZ831">
        <v>2688</v>
      </c>
      <c r="BA831" t="s">
        <v>1194</v>
      </c>
      <c r="BB831" t="s">
        <v>2014</v>
      </c>
      <c r="BC831" s="3">
        <v>0</v>
      </c>
      <c r="BD831" s="3">
        <v>0</v>
      </c>
      <c r="BE831" s="3">
        <v>0</v>
      </c>
      <c r="BF831" s="3">
        <v>0</v>
      </c>
      <c r="BG831" s="3">
        <v>210</v>
      </c>
      <c r="BH831" s="3">
        <v>0</v>
      </c>
      <c r="BI831" s="3">
        <v>0</v>
      </c>
      <c r="BJ831" s="3">
        <v>5103.05</v>
      </c>
      <c r="BK831" s="3">
        <v>120</v>
      </c>
      <c r="BL831" s="3">
        <v>5223</v>
      </c>
      <c r="BM831" s="2">
        <f t="shared" ca="1" si="25"/>
        <v>1</v>
      </c>
      <c r="BN831" s="3">
        <v>1000000</v>
      </c>
      <c r="BO831" s="3">
        <v>1000000</v>
      </c>
      <c r="BP831" s="3">
        <v>200000</v>
      </c>
      <c r="BQ831" s="3">
        <v>50000</v>
      </c>
      <c r="BR831" s="3">
        <v>100000</v>
      </c>
      <c r="BS831">
        <v>500000</v>
      </c>
      <c r="BT831">
        <v>0</v>
      </c>
      <c r="BU831">
        <v>0</v>
      </c>
      <c r="BV831">
        <v>0</v>
      </c>
      <c r="BW831">
        <v>1</v>
      </c>
      <c r="BX831">
        <v>1</v>
      </c>
      <c r="BY831">
        <v>0</v>
      </c>
      <c r="BZ831" t="s">
        <v>2949</v>
      </c>
      <c r="CA831" t="s">
        <v>1194</v>
      </c>
      <c r="CB831" t="s">
        <v>2949</v>
      </c>
    </row>
    <row r="832" spans="1:80" x14ac:dyDescent="0.25">
      <c r="A832">
        <v>831</v>
      </c>
      <c r="B832" t="s">
        <v>2845</v>
      </c>
      <c r="C832" s="1">
        <v>44828</v>
      </c>
      <c r="D832">
        <v>12</v>
      </c>
      <c r="E832" t="s">
        <v>4</v>
      </c>
      <c r="F832" t="s">
        <v>1311</v>
      </c>
      <c r="G832">
        <v>0</v>
      </c>
      <c r="H832" s="3">
        <v>4269943</v>
      </c>
      <c r="I832" s="3">
        <v>317064</v>
      </c>
      <c r="J832" s="3">
        <v>0</v>
      </c>
      <c r="K832" s="3">
        <v>0</v>
      </c>
      <c r="L832" t="s">
        <v>1191</v>
      </c>
      <c r="M832">
        <v>1756539</v>
      </c>
      <c r="N832" t="s">
        <v>1629</v>
      </c>
      <c r="P832" t="s">
        <v>1883</v>
      </c>
      <c r="Q832" t="s">
        <v>1246</v>
      </c>
      <c r="R832">
        <v>60062</v>
      </c>
      <c r="S832" t="s">
        <v>1734</v>
      </c>
      <c r="T832" t="s">
        <v>965</v>
      </c>
      <c r="U832">
        <v>0</v>
      </c>
      <c r="V832">
        <v>7</v>
      </c>
      <c r="W832" t="s">
        <v>1194</v>
      </c>
      <c r="X832" t="s">
        <v>973</v>
      </c>
      <c r="Y832">
        <v>10000</v>
      </c>
      <c r="Z832" s="2">
        <v>2.000003279</v>
      </c>
      <c r="AA832" s="2">
        <v>0</v>
      </c>
      <c r="AB832" t="s">
        <v>1238</v>
      </c>
      <c r="AC832">
        <v>763</v>
      </c>
      <c r="AD832" t="s">
        <v>1284</v>
      </c>
      <c r="AE832">
        <v>1</v>
      </c>
      <c r="AF832" t="s">
        <v>1290</v>
      </c>
      <c r="AG832">
        <v>0</v>
      </c>
      <c r="AH832">
        <v>0</v>
      </c>
      <c r="AI832">
        <v>0</v>
      </c>
      <c r="AJ832">
        <v>2003</v>
      </c>
      <c r="AK832" t="s">
        <v>1194</v>
      </c>
      <c r="AL832" t="s">
        <v>1194</v>
      </c>
      <c r="AM832" s="4" t="s">
        <v>1238</v>
      </c>
      <c r="AN832">
        <v>1</v>
      </c>
      <c r="AO832" t="s">
        <v>1317</v>
      </c>
      <c r="AP832">
        <f t="shared" si="24"/>
        <v>0</v>
      </c>
      <c r="AQ832">
        <v>0</v>
      </c>
      <c r="AR832" t="s">
        <v>1993</v>
      </c>
      <c r="AS832" t="s">
        <v>1995</v>
      </c>
      <c r="AT832" t="s">
        <v>1995</v>
      </c>
      <c r="AU832" t="s">
        <v>1995</v>
      </c>
      <c r="AV832" t="s">
        <v>1996</v>
      </c>
      <c r="AW832" t="s">
        <v>1996</v>
      </c>
      <c r="AX832" t="s">
        <v>1194</v>
      </c>
      <c r="AY832" t="s">
        <v>1996</v>
      </c>
      <c r="AZ832">
        <v>5839</v>
      </c>
      <c r="BA832" t="s">
        <v>1194</v>
      </c>
      <c r="BB832" t="s">
        <v>1194</v>
      </c>
      <c r="BC832" s="3">
        <v>0</v>
      </c>
      <c r="BD832" s="3">
        <v>0</v>
      </c>
      <c r="BE832" s="3">
        <v>0</v>
      </c>
      <c r="BF832" s="3">
        <v>0</v>
      </c>
      <c r="BG832" s="3">
        <v>175</v>
      </c>
      <c r="BH832" s="3">
        <v>0</v>
      </c>
      <c r="BI832" s="3">
        <v>0</v>
      </c>
      <c r="BJ832" s="3">
        <v>7493.82</v>
      </c>
      <c r="BK832" s="3">
        <v>-10</v>
      </c>
      <c r="BL832" s="3">
        <v>7483.82</v>
      </c>
      <c r="BM832" s="2">
        <f t="shared" ca="1" si="25"/>
        <v>3</v>
      </c>
      <c r="BN832" s="3">
        <v>250000</v>
      </c>
      <c r="BO832" s="3">
        <v>50000</v>
      </c>
      <c r="BP832" s="3">
        <v>100000</v>
      </c>
      <c r="BQ832" s="3">
        <v>500000</v>
      </c>
      <c r="BR832" s="3" t="s">
        <v>2916</v>
      </c>
      <c r="BS832">
        <v>250000</v>
      </c>
      <c r="BT832">
        <v>0</v>
      </c>
      <c r="BU832">
        <v>0</v>
      </c>
      <c r="BV832">
        <v>1</v>
      </c>
      <c r="BW832">
        <v>0</v>
      </c>
      <c r="BX832">
        <v>0</v>
      </c>
      <c r="BY832">
        <v>0</v>
      </c>
      <c r="BZ832" t="s">
        <v>2963</v>
      </c>
      <c r="CA832" t="s">
        <v>1194</v>
      </c>
      <c r="CB832" t="s">
        <v>2945</v>
      </c>
    </row>
    <row r="833" spans="1:80" x14ac:dyDescent="0.25">
      <c r="A833">
        <v>832</v>
      </c>
      <c r="B833" t="s">
        <v>2846</v>
      </c>
      <c r="C833" s="1">
        <v>44688</v>
      </c>
      <c r="D833">
        <v>12</v>
      </c>
      <c r="E833" t="s">
        <v>4</v>
      </c>
      <c r="F833" t="s">
        <v>1311</v>
      </c>
      <c r="G833">
        <v>0</v>
      </c>
      <c r="H833" s="3">
        <v>3270000</v>
      </c>
      <c r="I833" s="3">
        <v>327000</v>
      </c>
      <c r="J833" s="3">
        <v>981000</v>
      </c>
      <c r="K833" s="3">
        <v>654000</v>
      </c>
      <c r="L833" t="s">
        <v>1191</v>
      </c>
      <c r="M833">
        <v>1661170</v>
      </c>
      <c r="N833" t="s">
        <v>1630</v>
      </c>
      <c r="P833" t="s">
        <v>1963</v>
      </c>
      <c r="Q833" t="s">
        <v>1240</v>
      </c>
      <c r="R833">
        <v>6870</v>
      </c>
      <c r="S833" t="s">
        <v>1706</v>
      </c>
      <c r="T833" t="s">
        <v>972</v>
      </c>
      <c r="U833">
        <v>0</v>
      </c>
      <c r="V833">
        <v>53</v>
      </c>
      <c r="W833" t="s">
        <v>1194</v>
      </c>
      <c r="X833" t="s">
        <v>973</v>
      </c>
      <c r="Y833">
        <v>10000</v>
      </c>
      <c r="Z833" s="2" t="s">
        <v>1194</v>
      </c>
      <c r="AA833" s="2" t="s">
        <v>1238</v>
      </c>
      <c r="AB833" t="s">
        <v>1238</v>
      </c>
      <c r="AC833">
        <v>818</v>
      </c>
      <c r="AD833" t="s">
        <v>1279</v>
      </c>
      <c r="AE833">
        <v>2</v>
      </c>
      <c r="AF833" t="s">
        <v>1290</v>
      </c>
      <c r="AG833">
        <v>0</v>
      </c>
      <c r="AH833">
        <v>0</v>
      </c>
      <c r="AI833">
        <v>0</v>
      </c>
      <c r="AJ833">
        <v>1920</v>
      </c>
      <c r="AK833" t="s">
        <v>1194</v>
      </c>
      <c r="AL833" t="s">
        <v>1194</v>
      </c>
      <c r="AM833" s="4" t="s">
        <v>1238</v>
      </c>
      <c r="AN833">
        <v>0</v>
      </c>
      <c r="AO833" t="s">
        <v>1315</v>
      </c>
      <c r="AP833">
        <f t="shared" si="24"/>
        <v>0</v>
      </c>
      <c r="AQ833">
        <v>1</v>
      </c>
      <c r="AR833" t="s">
        <v>1992</v>
      </c>
      <c r="AS833" t="s">
        <v>1996</v>
      </c>
      <c r="AT833" t="s">
        <v>1995</v>
      </c>
      <c r="AU833" t="s">
        <v>1995</v>
      </c>
      <c r="AV833" t="s">
        <v>1996</v>
      </c>
      <c r="AW833" t="s">
        <v>1995</v>
      </c>
      <c r="AX833" t="s">
        <v>2003</v>
      </c>
      <c r="AY833" t="s">
        <v>1996</v>
      </c>
      <c r="AZ833">
        <v>5500</v>
      </c>
      <c r="BA833" t="s">
        <v>1194</v>
      </c>
      <c r="BB833" t="s">
        <v>1194</v>
      </c>
      <c r="BC833" s="3">
        <v>0</v>
      </c>
      <c r="BD833" s="3">
        <v>501.55</v>
      </c>
      <c r="BE833" s="3">
        <v>0</v>
      </c>
      <c r="BF833" s="3">
        <v>0</v>
      </c>
      <c r="BG833" s="3">
        <v>160</v>
      </c>
      <c r="BH833" s="3">
        <v>0</v>
      </c>
      <c r="BI833" s="3">
        <v>0</v>
      </c>
      <c r="BJ833" s="3">
        <v>10658</v>
      </c>
      <c r="BK833" s="3">
        <v>240</v>
      </c>
      <c r="BL833" s="3">
        <v>10898</v>
      </c>
      <c r="BM833" s="2">
        <f t="shared" ca="1" si="25"/>
        <v>2</v>
      </c>
      <c r="BN833" s="3">
        <v>1000000</v>
      </c>
      <c r="BO833" s="3">
        <v>25000</v>
      </c>
      <c r="BP833" s="3">
        <v>100000</v>
      </c>
      <c r="BQ833" s="3">
        <v>100000</v>
      </c>
      <c r="BR833" s="3">
        <v>50000</v>
      </c>
      <c r="BS833">
        <v>500000</v>
      </c>
      <c r="BT833">
        <v>0</v>
      </c>
      <c r="BU833">
        <v>0</v>
      </c>
      <c r="BV833">
        <v>1</v>
      </c>
      <c r="BW833">
        <v>0</v>
      </c>
      <c r="BX833">
        <v>0</v>
      </c>
      <c r="BY833">
        <v>0</v>
      </c>
      <c r="BZ833" t="s">
        <v>2949</v>
      </c>
      <c r="CA833" t="s">
        <v>1194</v>
      </c>
      <c r="CB833" t="s">
        <v>2949</v>
      </c>
    </row>
    <row r="834" spans="1:80" x14ac:dyDescent="0.25">
      <c r="A834">
        <v>833</v>
      </c>
      <c r="B834" t="s">
        <v>2847</v>
      </c>
      <c r="C834" s="1">
        <v>44681</v>
      </c>
      <c r="D834">
        <v>12</v>
      </c>
      <c r="E834" t="s">
        <v>4</v>
      </c>
      <c r="F834" t="s">
        <v>1311</v>
      </c>
      <c r="G834">
        <v>0</v>
      </c>
      <c r="H834" s="3">
        <v>3107376</v>
      </c>
      <c r="I834" s="3">
        <v>545000</v>
      </c>
      <c r="J834" s="3">
        <v>0</v>
      </c>
      <c r="K834" s="3">
        <v>0</v>
      </c>
      <c r="L834" t="s">
        <v>1191</v>
      </c>
      <c r="M834">
        <v>297522</v>
      </c>
      <c r="N834" t="s">
        <v>1631</v>
      </c>
      <c r="P834" t="s">
        <v>1741</v>
      </c>
      <c r="Q834" t="s">
        <v>1246</v>
      </c>
      <c r="R834">
        <v>60022</v>
      </c>
      <c r="S834" t="s">
        <v>1734</v>
      </c>
      <c r="T834" t="s">
        <v>965</v>
      </c>
      <c r="U834">
        <v>0</v>
      </c>
      <c r="V834">
        <v>7</v>
      </c>
      <c r="W834" t="s">
        <v>1194</v>
      </c>
      <c r="X834" t="s">
        <v>973</v>
      </c>
      <c r="Y834">
        <v>10000</v>
      </c>
      <c r="Z834" s="2" t="s">
        <v>1194</v>
      </c>
      <c r="AA834" s="2">
        <v>0</v>
      </c>
      <c r="AB834" t="s">
        <v>1238</v>
      </c>
      <c r="AC834">
        <v>713</v>
      </c>
      <c r="AD834" t="s">
        <v>1283</v>
      </c>
      <c r="AE834">
        <v>2</v>
      </c>
      <c r="AF834" t="s">
        <v>1290</v>
      </c>
      <c r="AG834">
        <v>0</v>
      </c>
      <c r="AH834">
        <v>0</v>
      </c>
      <c r="AI834">
        <v>0</v>
      </c>
      <c r="AJ834">
        <v>1926</v>
      </c>
      <c r="AK834" t="s">
        <v>1194</v>
      </c>
      <c r="AL834">
        <v>2012</v>
      </c>
      <c r="AM834" s="4" t="s">
        <v>1238</v>
      </c>
      <c r="AN834">
        <v>1</v>
      </c>
      <c r="AO834" t="s">
        <v>1315</v>
      </c>
      <c r="AP834">
        <f t="shared" si="24"/>
        <v>0</v>
      </c>
      <c r="AQ834">
        <v>1</v>
      </c>
      <c r="AR834" t="s">
        <v>1992</v>
      </c>
      <c r="AS834" t="s">
        <v>1996</v>
      </c>
      <c r="AT834" t="s">
        <v>1996</v>
      </c>
      <c r="AU834" t="s">
        <v>1996</v>
      </c>
      <c r="AV834" t="s">
        <v>1995</v>
      </c>
      <c r="AW834" t="s">
        <v>1995</v>
      </c>
      <c r="AX834" t="s">
        <v>1194</v>
      </c>
      <c r="AY834" t="s">
        <v>1996</v>
      </c>
      <c r="AZ834">
        <v>4576</v>
      </c>
      <c r="BA834" t="s">
        <v>1194</v>
      </c>
      <c r="BB834" t="s">
        <v>1194</v>
      </c>
      <c r="BC834" s="3">
        <v>0</v>
      </c>
      <c r="BD834" s="3">
        <v>0</v>
      </c>
      <c r="BE834" s="3">
        <v>0</v>
      </c>
      <c r="BF834" s="3">
        <v>0</v>
      </c>
      <c r="BG834" s="3">
        <v>210</v>
      </c>
      <c r="BH834" s="3">
        <v>0</v>
      </c>
      <c r="BI834" s="3">
        <v>0</v>
      </c>
      <c r="BJ834" s="3">
        <v>8845.9500000000007</v>
      </c>
      <c r="BK834" s="3">
        <v>-15</v>
      </c>
      <c r="BL834" s="3">
        <v>8830.9500000000007</v>
      </c>
      <c r="BM834" s="2">
        <f t="shared" ca="1" si="25"/>
        <v>2</v>
      </c>
      <c r="BN834" s="3">
        <v>100000</v>
      </c>
      <c r="BO834" s="3">
        <v>2000000</v>
      </c>
      <c r="BP834" s="3">
        <v>100000</v>
      </c>
      <c r="BQ834" s="3">
        <v>500000</v>
      </c>
      <c r="BR834" s="3">
        <v>50000</v>
      </c>
      <c r="BS834">
        <v>250000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 t="s">
        <v>2959</v>
      </c>
      <c r="CA834" t="s">
        <v>1194</v>
      </c>
      <c r="CB834" t="s">
        <v>2945</v>
      </c>
    </row>
    <row r="835" spans="1:80" x14ac:dyDescent="0.25">
      <c r="A835">
        <v>834</v>
      </c>
      <c r="B835" t="s">
        <v>2848</v>
      </c>
      <c r="C835" s="1">
        <v>44705</v>
      </c>
      <c r="D835">
        <v>12</v>
      </c>
      <c r="E835" t="s">
        <v>4</v>
      </c>
      <c r="F835" t="s">
        <v>1311</v>
      </c>
      <c r="G835">
        <v>1</v>
      </c>
      <c r="H835" s="3">
        <v>3161000</v>
      </c>
      <c r="I835" s="3">
        <v>245250</v>
      </c>
      <c r="J835" s="3">
        <v>981000</v>
      </c>
      <c r="K835" s="3">
        <v>632200</v>
      </c>
      <c r="L835" t="s">
        <v>1191</v>
      </c>
      <c r="M835">
        <v>1669561</v>
      </c>
      <c r="N835" t="s">
        <v>1632</v>
      </c>
      <c r="P835" t="s">
        <v>1849</v>
      </c>
      <c r="Q835" t="s">
        <v>1240</v>
      </c>
      <c r="R835">
        <v>6820</v>
      </c>
      <c r="S835" t="s">
        <v>1706</v>
      </c>
      <c r="T835" t="s">
        <v>972</v>
      </c>
      <c r="U835">
        <v>0</v>
      </c>
      <c r="V835">
        <v>53</v>
      </c>
      <c r="W835" t="s">
        <v>1194</v>
      </c>
      <c r="X835" t="s">
        <v>973</v>
      </c>
      <c r="Y835">
        <v>10000</v>
      </c>
      <c r="Z835" s="2" t="s">
        <v>1194</v>
      </c>
      <c r="AA835" s="2" t="s">
        <v>1238</v>
      </c>
      <c r="AB835" t="s">
        <v>1238</v>
      </c>
      <c r="AC835">
        <v>823</v>
      </c>
      <c r="AD835" t="s">
        <v>1284</v>
      </c>
      <c r="AE835">
        <v>5</v>
      </c>
      <c r="AF835" t="s">
        <v>1290</v>
      </c>
      <c r="AG835">
        <v>0</v>
      </c>
      <c r="AH835">
        <v>0</v>
      </c>
      <c r="AI835">
        <v>0</v>
      </c>
      <c r="AJ835">
        <v>1989</v>
      </c>
      <c r="AK835" t="s">
        <v>1194</v>
      </c>
      <c r="AL835">
        <v>2012</v>
      </c>
      <c r="AM835" s="4" t="s">
        <v>1238</v>
      </c>
      <c r="AN835">
        <v>0</v>
      </c>
      <c r="AO835" t="s">
        <v>1316</v>
      </c>
      <c r="AP835">
        <f t="shared" si="24"/>
        <v>0</v>
      </c>
      <c r="AQ835">
        <v>1</v>
      </c>
      <c r="AR835" t="s">
        <v>1992</v>
      </c>
      <c r="AS835" t="s">
        <v>1995</v>
      </c>
      <c r="AT835" t="s">
        <v>1995</v>
      </c>
      <c r="AU835" t="s">
        <v>1995</v>
      </c>
      <c r="AV835" t="s">
        <v>1995</v>
      </c>
      <c r="AW835" t="s">
        <v>1996</v>
      </c>
      <c r="AX835" t="s">
        <v>2003</v>
      </c>
      <c r="AY835" t="s">
        <v>1996</v>
      </c>
      <c r="AZ835">
        <v>4160</v>
      </c>
      <c r="BA835" t="s">
        <v>1194</v>
      </c>
      <c r="BB835" t="s">
        <v>1194</v>
      </c>
      <c r="BC835" s="3">
        <v>0</v>
      </c>
      <c r="BD835" s="3">
        <v>503.76</v>
      </c>
      <c r="BE835" s="3">
        <v>0</v>
      </c>
      <c r="BF835" s="3">
        <v>0</v>
      </c>
      <c r="BG835" s="3">
        <v>130</v>
      </c>
      <c r="BH835" s="3">
        <v>0</v>
      </c>
      <c r="BI835" s="3">
        <v>0</v>
      </c>
      <c r="BJ835" s="3">
        <v>9303</v>
      </c>
      <c r="BK835" s="3">
        <v>240</v>
      </c>
      <c r="BL835" s="3">
        <v>9543</v>
      </c>
      <c r="BM835" s="2">
        <f t="shared" ca="1" si="25"/>
        <v>1</v>
      </c>
      <c r="BN835" s="3">
        <v>50000</v>
      </c>
      <c r="BO835" s="3">
        <v>1000000</v>
      </c>
      <c r="BP835" s="3">
        <v>100000</v>
      </c>
      <c r="BQ835" s="3">
        <v>250000</v>
      </c>
      <c r="BR835" s="3">
        <v>50000</v>
      </c>
      <c r="BS835">
        <v>500000</v>
      </c>
      <c r="BT835">
        <v>0</v>
      </c>
      <c r="BU835">
        <v>0</v>
      </c>
      <c r="BV835">
        <v>1</v>
      </c>
      <c r="BW835">
        <v>0</v>
      </c>
      <c r="BX835">
        <v>0</v>
      </c>
      <c r="BY835">
        <v>0</v>
      </c>
      <c r="BZ835" t="s">
        <v>2949</v>
      </c>
      <c r="CA835" t="s">
        <v>1194</v>
      </c>
      <c r="CB835" t="s">
        <v>2941</v>
      </c>
    </row>
    <row r="836" spans="1:80" x14ac:dyDescent="0.25">
      <c r="A836">
        <v>835</v>
      </c>
      <c r="B836" t="s">
        <v>2849</v>
      </c>
      <c r="C836" s="1">
        <v>44702</v>
      </c>
      <c r="D836">
        <v>12</v>
      </c>
      <c r="E836" t="s">
        <v>4</v>
      </c>
      <c r="F836" t="s">
        <v>1311</v>
      </c>
      <c r="G836">
        <v>0</v>
      </c>
      <c r="H836" s="3">
        <v>3052812</v>
      </c>
      <c r="I836" s="3">
        <v>436000</v>
      </c>
      <c r="J836" s="3">
        <v>1090000</v>
      </c>
      <c r="K836" s="3">
        <v>0</v>
      </c>
      <c r="L836" t="s">
        <v>1191</v>
      </c>
      <c r="M836">
        <v>1676508</v>
      </c>
      <c r="N836" t="s">
        <v>1633</v>
      </c>
      <c r="P836" t="s">
        <v>1704</v>
      </c>
      <c r="Q836" t="s">
        <v>1237</v>
      </c>
      <c r="R836">
        <v>85255</v>
      </c>
      <c r="S836" t="s">
        <v>1705</v>
      </c>
      <c r="T836" t="s">
        <v>965</v>
      </c>
      <c r="U836">
        <v>0</v>
      </c>
      <c r="V836">
        <v>3</v>
      </c>
      <c r="W836" t="s">
        <v>1194</v>
      </c>
      <c r="X836" t="s">
        <v>973</v>
      </c>
      <c r="Y836">
        <v>10000</v>
      </c>
      <c r="Z836" s="2" t="s">
        <v>1194</v>
      </c>
      <c r="AA836" s="2" t="s">
        <v>1238</v>
      </c>
      <c r="AB836" t="s">
        <v>1238</v>
      </c>
      <c r="AC836">
        <v>808</v>
      </c>
      <c r="AD836" t="s">
        <v>1279</v>
      </c>
      <c r="AE836">
        <v>2</v>
      </c>
      <c r="AF836" t="s">
        <v>1290</v>
      </c>
      <c r="AG836">
        <v>0</v>
      </c>
      <c r="AH836">
        <v>0</v>
      </c>
      <c r="AI836">
        <v>0</v>
      </c>
      <c r="AJ836">
        <v>2006</v>
      </c>
      <c r="AK836" t="s">
        <v>1194</v>
      </c>
      <c r="AL836" t="s">
        <v>1194</v>
      </c>
      <c r="AM836" s="4" t="s">
        <v>1238</v>
      </c>
      <c r="AN836">
        <v>1</v>
      </c>
      <c r="AO836" t="s">
        <v>1315</v>
      </c>
      <c r="AP836">
        <f t="shared" ref="AP836:AP890" si="26">AI836</f>
        <v>0</v>
      </c>
      <c r="AQ836">
        <v>0</v>
      </c>
      <c r="AR836" t="s">
        <v>1993</v>
      </c>
      <c r="AS836" t="s">
        <v>1996</v>
      </c>
      <c r="AT836" t="s">
        <v>1996</v>
      </c>
      <c r="AU836" t="s">
        <v>1996</v>
      </c>
      <c r="AV836" t="s">
        <v>1995</v>
      </c>
      <c r="AW836" t="s">
        <v>1996</v>
      </c>
      <c r="AX836" t="s">
        <v>1194</v>
      </c>
      <c r="AY836" t="s">
        <v>1996</v>
      </c>
      <c r="AZ836">
        <v>4857</v>
      </c>
      <c r="BA836">
        <v>3</v>
      </c>
      <c r="BB836" t="s">
        <v>2014</v>
      </c>
      <c r="BC836" s="3">
        <v>0</v>
      </c>
      <c r="BD836" s="3">
        <v>0</v>
      </c>
      <c r="BE836" s="3">
        <v>0</v>
      </c>
      <c r="BF836" s="3">
        <v>0</v>
      </c>
      <c r="BG836" s="3">
        <v>175</v>
      </c>
      <c r="BH836" s="3">
        <v>0</v>
      </c>
      <c r="BI836" s="3">
        <v>0</v>
      </c>
      <c r="BJ836" s="3">
        <v>5795</v>
      </c>
      <c r="BK836" s="3">
        <v>-15</v>
      </c>
      <c r="BL836" s="3">
        <v>5780</v>
      </c>
      <c r="BM836" s="2">
        <f t="shared" ref="BM836:BM890" ca="1" si="27">IF(ROUND((6*RAND()),0)=0,1,(ROUND((6*RAND()),0)))</f>
        <v>0</v>
      </c>
      <c r="BN836" s="3" t="s">
        <v>2916</v>
      </c>
      <c r="BO836" s="3">
        <v>2000000</v>
      </c>
      <c r="BP836" s="3">
        <v>50000</v>
      </c>
      <c r="BQ836" s="3">
        <v>500000</v>
      </c>
      <c r="BR836" s="3">
        <v>2000000</v>
      </c>
      <c r="BS836">
        <v>1000000</v>
      </c>
      <c r="BT836">
        <v>0</v>
      </c>
      <c r="BU836">
        <v>0</v>
      </c>
      <c r="BV836">
        <v>0</v>
      </c>
      <c r="BW836">
        <v>1</v>
      </c>
      <c r="BX836">
        <v>1</v>
      </c>
      <c r="BY836">
        <v>0</v>
      </c>
      <c r="BZ836" t="s">
        <v>2961</v>
      </c>
      <c r="CA836" t="s">
        <v>1194</v>
      </c>
      <c r="CB836" t="s">
        <v>2949</v>
      </c>
    </row>
    <row r="837" spans="1:80" x14ac:dyDescent="0.25">
      <c r="A837">
        <v>836</v>
      </c>
      <c r="B837" t="s">
        <v>2850</v>
      </c>
      <c r="C837" s="1">
        <v>44805</v>
      </c>
      <c r="D837">
        <v>12</v>
      </c>
      <c r="E837" t="s">
        <v>5</v>
      </c>
      <c r="F837" t="s">
        <v>1310</v>
      </c>
      <c r="G837">
        <v>1</v>
      </c>
      <c r="H837" s="3">
        <v>2180000</v>
      </c>
      <c r="I837" s="3">
        <v>419432</v>
      </c>
      <c r="J837" s="3">
        <v>1126733</v>
      </c>
      <c r="K837" s="3">
        <v>436000</v>
      </c>
      <c r="L837" t="s">
        <v>1191</v>
      </c>
      <c r="M837">
        <v>1679233</v>
      </c>
      <c r="N837" t="s">
        <v>1634</v>
      </c>
      <c r="P837" t="s">
        <v>1964</v>
      </c>
      <c r="Q837" t="s">
        <v>1248</v>
      </c>
      <c r="R837">
        <v>66604</v>
      </c>
      <c r="S837" t="s">
        <v>1965</v>
      </c>
      <c r="T837" t="s">
        <v>965</v>
      </c>
      <c r="U837">
        <v>0</v>
      </c>
      <c r="V837">
        <v>1</v>
      </c>
      <c r="W837" t="s">
        <v>1194</v>
      </c>
      <c r="X837" t="s">
        <v>973</v>
      </c>
      <c r="Y837">
        <v>5000</v>
      </c>
      <c r="Z837" s="2">
        <v>1</v>
      </c>
      <c r="AA837" s="2">
        <v>1</v>
      </c>
      <c r="AB837">
        <v>2.5000000000000001E-3</v>
      </c>
      <c r="AC837">
        <v>786</v>
      </c>
      <c r="AD837" t="s">
        <v>1283</v>
      </c>
      <c r="AE837">
        <v>2</v>
      </c>
      <c r="AF837" t="s">
        <v>1290</v>
      </c>
      <c r="AG837">
        <v>0</v>
      </c>
      <c r="AH837">
        <v>0</v>
      </c>
      <c r="AI837">
        <v>0</v>
      </c>
      <c r="AJ837">
        <v>1927</v>
      </c>
      <c r="AK837">
        <v>2012</v>
      </c>
      <c r="AL837">
        <v>2016</v>
      </c>
      <c r="AM837" s="4" t="s">
        <v>1304</v>
      </c>
      <c r="AN837">
        <v>0</v>
      </c>
      <c r="AO837" t="s">
        <v>1317</v>
      </c>
      <c r="AP837">
        <f t="shared" si="26"/>
        <v>0</v>
      </c>
      <c r="AQ837">
        <v>1</v>
      </c>
      <c r="AR837" t="s">
        <v>1992</v>
      </c>
      <c r="AS837" t="s">
        <v>1995</v>
      </c>
      <c r="AT837" t="s">
        <v>1996</v>
      </c>
      <c r="AU837" t="s">
        <v>1996</v>
      </c>
      <c r="AV837" t="s">
        <v>1996</v>
      </c>
      <c r="AW837" t="s">
        <v>1995</v>
      </c>
      <c r="AX837" t="s">
        <v>1194</v>
      </c>
      <c r="AY837" t="s">
        <v>1996</v>
      </c>
      <c r="AZ837">
        <v>5186</v>
      </c>
      <c r="BA837" t="s">
        <v>1194</v>
      </c>
      <c r="BB837" t="s">
        <v>1194</v>
      </c>
      <c r="BC837" s="3">
        <v>0</v>
      </c>
      <c r="BD837" s="3">
        <v>0</v>
      </c>
      <c r="BE837" s="3">
        <v>0</v>
      </c>
      <c r="BF837" s="3">
        <v>0</v>
      </c>
      <c r="BG837" s="3">
        <v>175</v>
      </c>
      <c r="BH837" s="3">
        <v>0</v>
      </c>
      <c r="BI837" s="3">
        <v>0</v>
      </c>
      <c r="BJ837" s="3">
        <v>6459.51</v>
      </c>
      <c r="BK837" s="3">
        <v>832.8</v>
      </c>
      <c r="BL837" s="3">
        <v>7292.31</v>
      </c>
      <c r="BM837" s="2">
        <f t="shared" ca="1" si="27"/>
        <v>4</v>
      </c>
      <c r="BN837" s="3" t="s">
        <v>2916</v>
      </c>
      <c r="BO837" s="3">
        <v>100000</v>
      </c>
      <c r="BP837" s="3">
        <v>200000</v>
      </c>
      <c r="BQ837" s="3">
        <v>2000000</v>
      </c>
      <c r="BR837" s="3">
        <v>250000</v>
      </c>
      <c r="BS837">
        <v>50000</v>
      </c>
      <c r="BT837">
        <v>0</v>
      </c>
      <c r="BU837">
        <v>1</v>
      </c>
      <c r="BV837">
        <v>1</v>
      </c>
      <c r="BW837">
        <v>0</v>
      </c>
      <c r="BX837">
        <v>0</v>
      </c>
      <c r="BY837">
        <v>0</v>
      </c>
      <c r="BZ837" t="s">
        <v>2966</v>
      </c>
      <c r="CA837" t="s">
        <v>1194</v>
      </c>
      <c r="CB837" t="s">
        <v>2941</v>
      </c>
    </row>
    <row r="838" spans="1:80" x14ac:dyDescent="0.25">
      <c r="A838">
        <v>837</v>
      </c>
      <c r="B838" t="s">
        <v>2851</v>
      </c>
      <c r="C838" s="1">
        <v>44723</v>
      </c>
      <c r="D838">
        <v>18</v>
      </c>
      <c r="E838" t="s">
        <v>4</v>
      </c>
      <c r="F838" t="s">
        <v>1311</v>
      </c>
      <c r="G838">
        <v>0</v>
      </c>
      <c r="H838" s="3">
        <v>1708000</v>
      </c>
      <c r="I838" s="3">
        <v>163500</v>
      </c>
      <c r="J838" s="3">
        <v>408750</v>
      </c>
      <c r="K838" s="3">
        <v>341600</v>
      </c>
      <c r="L838" t="s">
        <v>1191</v>
      </c>
      <c r="M838">
        <v>1684508</v>
      </c>
      <c r="N838" t="s">
        <v>1635</v>
      </c>
      <c r="P838" t="s">
        <v>1966</v>
      </c>
      <c r="Q838" t="s">
        <v>1235</v>
      </c>
      <c r="R838">
        <v>99835</v>
      </c>
      <c r="S838" t="s">
        <v>1966</v>
      </c>
      <c r="T838" t="s">
        <v>1238</v>
      </c>
      <c r="U838">
        <v>1</v>
      </c>
      <c r="V838">
        <v>14</v>
      </c>
      <c r="W838" t="s">
        <v>1194</v>
      </c>
      <c r="X838" t="s">
        <v>1309</v>
      </c>
      <c r="Y838">
        <v>10000</v>
      </c>
      <c r="Z838" s="2" t="s">
        <v>1194</v>
      </c>
      <c r="AA838" s="2">
        <v>1</v>
      </c>
      <c r="AB838">
        <v>2500</v>
      </c>
      <c r="AC838">
        <v>838</v>
      </c>
      <c r="AD838" t="s">
        <v>1279</v>
      </c>
      <c r="AE838">
        <v>4</v>
      </c>
      <c r="AF838" t="s">
        <v>1290</v>
      </c>
      <c r="AG838">
        <v>0</v>
      </c>
      <c r="AH838">
        <v>0</v>
      </c>
      <c r="AI838">
        <v>0</v>
      </c>
      <c r="AJ838">
        <v>1988</v>
      </c>
      <c r="AK838">
        <v>2022</v>
      </c>
      <c r="AL838">
        <v>2022</v>
      </c>
      <c r="AM838" s="4" t="s">
        <v>1238</v>
      </c>
      <c r="AN838">
        <v>0</v>
      </c>
      <c r="AO838" t="s">
        <v>1316</v>
      </c>
      <c r="AP838">
        <f t="shared" si="26"/>
        <v>0</v>
      </c>
      <c r="AQ838">
        <v>1</v>
      </c>
      <c r="AR838" t="s">
        <v>1992</v>
      </c>
      <c r="AS838" t="s">
        <v>1995</v>
      </c>
      <c r="AT838" t="s">
        <v>1996</v>
      </c>
      <c r="AU838" t="s">
        <v>1995</v>
      </c>
      <c r="AV838" t="s">
        <v>1995</v>
      </c>
      <c r="AW838" t="s">
        <v>1996</v>
      </c>
      <c r="AX838" t="s">
        <v>2003</v>
      </c>
      <c r="AY838" t="s">
        <v>1996</v>
      </c>
      <c r="AZ838">
        <v>2625</v>
      </c>
      <c r="BA838" t="s">
        <v>1194</v>
      </c>
      <c r="BB838" t="s">
        <v>1194</v>
      </c>
      <c r="BC838" s="3">
        <v>0</v>
      </c>
      <c r="BD838" s="3">
        <v>0</v>
      </c>
      <c r="BE838" s="3">
        <v>0</v>
      </c>
      <c r="BF838" s="3">
        <v>0</v>
      </c>
      <c r="BG838" s="3">
        <v>140</v>
      </c>
      <c r="BH838" s="3">
        <v>0</v>
      </c>
      <c r="BI838" s="3">
        <v>0</v>
      </c>
      <c r="BJ838" s="3">
        <v>5488.21</v>
      </c>
      <c r="BK838" s="3">
        <v>615</v>
      </c>
      <c r="BL838" s="3">
        <v>6103.21</v>
      </c>
      <c r="BM838" s="2">
        <f t="shared" ca="1" si="27"/>
        <v>5</v>
      </c>
      <c r="BN838" s="3">
        <v>2000000</v>
      </c>
      <c r="BO838" s="3">
        <v>1000000</v>
      </c>
      <c r="BP838" s="3">
        <v>50000</v>
      </c>
      <c r="BQ838" s="3">
        <v>100000</v>
      </c>
      <c r="BR838" s="3">
        <v>1000000</v>
      </c>
      <c r="BS838">
        <v>1000000</v>
      </c>
      <c r="BT838">
        <v>0</v>
      </c>
      <c r="BU838">
        <v>0</v>
      </c>
      <c r="BV838">
        <v>1</v>
      </c>
      <c r="BW838">
        <v>0</v>
      </c>
      <c r="BX838">
        <v>0</v>
      </c>
      <c r="BY838">
        <v>0</v>
      </c>
      <c r="BZ838" t="s">
        <v>2949</v>
      </c>
      <c r="CA838" t="s">
        <v>1194</v>
      </c>
      <c r="CB838" t="s">
        <v>2949</v>
      </c>
    </row>
    <row r="839" spans="1:80" x14ac:dyDescent="0.25">
      <c r="A839">
        <v>838</v>
      </c>
      <c r="B839" t="s">
        <v>2852</v>
      </c>
      <c r="C839" s="1">
        <v>44897</v>
      </c>
      <c r="D839">
        <v>39</v>
      </c>
      <c r="E839" t="s">
        <v>4</v>
      </c>
      <c r="F839" t="s">
        <v>1311</v>
      </c>
      <c r="G839">
        <v>0</v>
      </c>
      <c r="H839" s="3">
        <v>0</v>
      </c>
      <c r="I839" s="3">
        <v>0</v>
      </c>
      <c r="J839" s="3">
        <v>1799000</v>
      </c>
      <c r="K839" s="3">
        <v>359800</v>
      </c>
      <c r="L839" t="s">
        <v>1192</v>
      </c>
      <c r="M839">
        <v>1777402</v>
      </c>
      <c r="N839" t="s">
        <v>1636</v>
      </c>
      <c r="P839" t="s">
        <v>1695</v>
      </c>
      <c r="Q839" t="s">
        <v>1239</v>
      </c>
      <c r="R839">
        <v>80209</v>
      </c>
      <c r="S839" t="s">
        <v>1695</v>
      </c>
      <c r="T839" t="s">
        <v>965</v>
      </c>
      <c r="U839">
        <v>0</v>
      </c>
      <c r="V839">
        <v>94</v>
      </c>
      <c r="W839" t="s">
        <v>1194</v>
      </c>
      <c r="X839" t="s">
        <v>973</v>
      </c>
      <c r="Y839">
        <v>10000</v>
      </c>
      <c r="Z839" s="2" t="s">
        <v>1194</v>
      </c>
      <c r="AA839" s="2">
        <v>1</v>
      </c>
      <c r="AB839">
        <v>2.5000000000000001E-3</v>
      </c>
      <c r="AC839">
        <v>971</v>
      </c>
      <c r="AD839" t="s">
        <v>1284</v>
      </c>
      <c r="AE839">
        <v>1</v>
      </c>
      <c r="AF839" t="s">
        <v>1290</v>
      </c>
      <c r="AG839">
        <v>0</v>
      </c>
      <c r="AH839">
        <v>0</v>
      </c>
      <c r="AI839">
        <v>0</v>
      </c>
      <c r="AJ839">
        <v>1978</v>
      </c>
      <c r="AK839" t="s">
        <v>1194</v>
      </c>
      <c r="AL839" t="s">
        <v>1194</v>
      </c>
      <c r="AM839" s="4" t="s">
        <v>1238</v>
      </c>
      <c r="AN839">
        <v>0</v>
      </c>
      <c r="AO839" t="s">
        <v>1317</v>
      </c>
      <c r="AP839">
        <f t="shared" si="26"/>
        <v>0</v>
      </c>
      <c r="AQ839">
        <v>1</v>
      </c>
      <c r="AR839" t="s">
        <v>1992</v>
      </c>
      <c r="AS839" t="s">
        <v>1996</v>
      </c>
      <c r="AT839" t="s">
        <v>1995</v>
      </c>
      <c r="AU839" t="s">
        <v>1995</v>
      </c>
      <c r="AV839" t="s">
        <v>1996</v>
      </c>
      <c r="AW839" t="s">
        <v>1995</v>
      </c>
      <c r="AX839" t="s">
        <v>1194</v>
      </c>
      <c r="AY839" t="s">
        <v>1996</v>
      </c>
      <c r="AZ839">
        <v>2756</v>
      </c>
      <c r="BA839" t="s">
        <v>1194</v>
      </c>
      <c r="BB839" t="s">
        <v>2014</v>
      </c>
      <c r="BC839" s="3">
        <v>0</v>
      </c>
      <c r="BD839" s="3">
        <v>0</v>
      </c>
      <c r="BE839" s="3">
        <v>0</v>
      </c>
      <c r="BF839" s="3">
        <v>162.53</v>
      </c>
      <c r="BG839" s="3">
        <v>175</v>
      </c>
      <c r="BH839" s="3">
        <v>0</v>
      </c>
      <c r="BI839" s="3">
        <v>0</v>
      </c>
      <c r="BJ839" s="3">
        <v>4135.29</v>
      </c>
      <c r="BK839" s="3">
        <v>-5</v>
      </c>
      <c r="BL839" s="3">
        <v>4130.29</v>
      </c>
      <c r="BM839" s="2">
        <f t="shared" ca="1" si="27"/>
        <v>0</v>
      </c>
      <c r="BN839" s="3" t="s">
        <v>2916</v>
      </c>
      <c r="BO839" s="3">
        <v>25000</v>
      </c>
      <c r="BP839" s="3">
        <v>50000</v>
      </c>
      <c r="BQ839" s="3">
        <v>100000</v>
      </c>
      <c r="BR839" s="3">
        <v>1000000</v>
      </c>
      <c r="BS839">
        <v>1000000</v>
      </c>
      <c r="BT839">
        <v>0</v>
      </c>
      <c r="BU839">
        <v>0</v>
      </c>
      <c r="BV839">
        <v>0</v>
      </c>
      <c r="BW839">
        <v>1</v>
      </c>
      <c r="BX839">
        <v>1</v>
      </c>
      <c r="BY839">
        <v>0</v>
      </c>
      <c r="BZ839" t="s">
        <v>1194</v>
      </c>
      <c r="CA839" t="s">
        <v>1194</v>
      </c>
      <c r="CB839" t="s">
        <v>1194</v>
      </c>
    </row>
    <row r="840" spans="1:80" x14ac:dyDescent="0.25">
      <c r="A840">
        <v>839</v>
      </c>
      <c r="B840" t="s">
        <v>2853</v>
      </c>
      <c r="C840" s="1">
        <v>44716</v>
      </c>
      <c r="D840">
        <v>48</v>
      </c>
      <c r="E840" t="s">
        <v>4</v>
      </c>
      <c r="F840" t="s">
        <v>1311</v>
      </c>
      <c r="G840">
        <v>1</v>
      </c>
      <c r="H840" s="3">
        <v>4905000</v>
      </c>
      <c r="I840" s="3">
        <v>490500</v>
      </c>
      <c r="J840" s="3">
        <v>1090000</v>
      </c>
      <c r="K840" s="3">
        <v>981000</v>
      </c>
      <c r="L840" t="s">
        <v>1191</v>
      </c>
      <c r="M840">
        <v>1686872</v>
      </c>
      <c r="N840" t="s">
        <v>1637</v>
      </c>
      <c r="P840" t="s">
        <v>1727</v>
      </c>
      <c r="Q840" t="s">
        <v>1240</v>
      </c>
      <c r="R840">
        <v>6840</v>
      </c>
      <c r="S840" t="s">
        <v>1706</v>
      </c>
      <c r="T840" t="s">
        <v>965</v>
      </c>
      <c r="U840">
        <v>0</v>
      </c>
      <c r="V840">
        <v>54</v>
      </c>
      <c r="W840" t="s">
        <v>1194</v>
      </c>
      <c r="X840" t="s">
        <v>973</v>
      </c>
      <c r="Y840">
        <v>10000</v>
      </c>
      <c r="Z840" s="2" t="s">
        <v>1194</v>
      </c>
      <c r="AA840" s="2" t="s">
        <v>1238</v>
      </c>
      <c r="AB840" t="s">
        <v>1238</v>
      </c>
      <c r="AC840">
        <v>730</v>
      </c>
      <c r="AD840" t="s">
        <v>1279</v>
      </c>
      <c r="AE840">
        <v>4</v>
      </c>
      <c r="AF840" t="s">
        <v>1290</v>
      </c>
      <c r="AG840">
        <v>0</v>
      </c>
      <c r="AH840">
        <v>0</v>
      </c>
      <c r="AI840">
        <v>0</v>
      </c>
      <c r="AJ840">
        <v>2001</v>
      </c>
      <c r="AK840" t="s">
        <v>1194</v>
      </c>
      <c r="AL840" t="s">
        <v>1194</v>
      </c>
      <c r="AM840" s="4" t="s">
        <v>1238</v>
      </c>
      <c r="AN840">
        <v>0</v>
      </c>
      <c r="AO840" t="s">
        <v>1315</v>
      </c>
      <c r="AP840">
        <f t="shared" si="26"/>
        <v>0</v>
      </c>
      <c r="AQ840">
        <v>1</v>
      </c>
      <c r="AR840" t="s">
        <v>1992</v>
      </c>
      <c r="AS840" t="s">
        <v>1996</v>
      </c>
      <c r="AT840" t="s">
        <v>1996</v>
      </c>
      <c r="AU840" t="s">
        <v>1996</v>
      </c>
      <c r="AV840" t="s">
        <v>1995</v>
      </c>
      <c r="AW840" t="s">
        <v>1995</v>
      </c>
      <c r="AX840" t="s">
        <v>2003</v>
      </c>
      <c r="AY840" t="s">
        <v>1996</v>
      </c>
      <c r="AZ840">
        <v>9000</v>
      </c>
      <c r="BA840" t="s">
        <v>1194</v>
      </c>
      <c r="BB840" t="s">
        <v>1194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15702</v>
      </c>
      <c r="BK840" s="3">
        <v>346</v>
      </c>
      <c r="BL840" s="3">
        <v>16048</v>
      </c>
      <c r="BM840" s="2">
        <f t="shared" ca="1" si="27"/>
        <v>5</v>
      </c>
      <c r="BN840" s="3">
        <v>250000</v>
      </c>
      <c r="BO840" s="3">
        <v>250000</v>
      </c>
      <c r="BP840" s="3">
        <v>50000</v>
      </c>
      <c r="BQ840" s="3">
        <v>250000</v>
      </c>
      <c r="BR840" s="3" t="s">
        <v>2916</v>
      </c>
      <c r="BS840">
        <v>50000</v>
      </c>
      <c r="BT840">
        <v>0</v>
      </c>
      <c r="BU840">
        <v>0</v>
      </c>
      <c r="BV840">
        <v>0</v>
      </c>
      <c r="BW840">
        <v>1</v>
      </c>
      <c r="BX840">
        <v>1</v>
      </c>
      <c r="BY840">
        <v>0</v>
      </c>
      <c r="BZ840" t="s">
        <v>2949</v>
      </c>
      <c r="CA840" t="s">
        <v>1194</v>
      </c>
      <c r="CB840" t="s">
        <v>2949</v>
      </c>
    </row>
    <row r="841" spans="1:80" x14ac:dyDescent="0.25">
      <c r="A841">
        <v>840</v>
      </c>
      <c r="B841" t="s">
        <v>2854</v>
      </c>
      <c r="C841" s="1">
        <v>44819</v>
      </c>
      <c r="D841">
        <v>12</v>
      </c>
      <c r="E841" t="s">
        <v>4</v>
      </c>
      <c r="F841" t="s">
        <v>1311</v>
      </c>
      <c r="G841">
        <v>0</v>
      </c>
      <c r="H841" s="3">
        <v>2300000</v>
      </c>
      <c r="I841" s="3">
        <v>126400</v>
      </c>
      <c r="J841" s="3">
        <v>0</v>
      </c>
      <c r="K841" s="3">
        <v>0</v>
      </c>
      <c r="L841" t="s">
        <v>1191</v>
      </c>
      <c r="M841">
        <v>1986964</v>
      </c>
      <c r="N841" t="s">
        <v>1638</v>
      </c>
      <c r="P841" t="s">
        <v>1934</v>
      </c>
      <c r="Q841" t="s">
        <v>1253</v>
      </c>
      <c r="R841">
        <v>55359</v>
      </c>
      <c r="S841" t="s">
        <v>1714</v>
      </c>
      <c r="T841" t="s">
        <v>965</v>
      </c>
      <c r="U841">
        <v>0</v>
      </c>
      <c r="V841">
        <v>1</v>
      </c>
      <c r="W841" t="s">
        <v>1194</v>
      </c>
      <c r="X841" t="s">
        <v>973</v>
      </c>
      <c r="Y841">
        <v>25000</v>
      </c>
      <c r="Z841" s="2">
        <v>2</v>
      </c>
      <c r="AA841" s="2">
        <v>1</v>
      </c>
      <c r="AB841" t="s">
        <v>1277</v>
      </c>
      <c r="AC841">
        <v>635</v>
      </c>
      <c r="AD841" t="s">
        <v>1279</v>
      </c>
      <c r="AE841">
        <v>4</v>
      </c>
      <c r="AF841" t="s">
        <v>1290</v>
      </c>
      <c r="AG841">
        <v>0</v>
      </c>
      <c r="AH841">
        <v>0</v>
      </c>
      <c r="AI841">
        <v>0</v>
      </c>
      <c r="AJ841">
        <v>1997</v>
      </c>
      <c r="AK841" t="s">
        <v>1194</v>
      </c>
      <c r="AL841">
        <v>2019</v>
      </c>
      <c r="AM841" s="4" t="s">
        <v>1238</v>
      </c>
      <c r="AN841">
        <v>1</v>
      </c>
      <c r="AO841" t="s">
        <v>1315</v>
      </c>
      <c r="AP841">
        <f t="shared" si="26"/>
        <v>0</v>
      </c>
      <c r="AQ841">
        <v>1</v>
      </c>
      <c r="AR841" t="s">
        <v>1992</v>
      </c>
      <c r="AS841" t="s">
        <v>1996</v>
      </c>
      <c r="AT841" t="s">
        <v>1995</v>
      </c>
      <c r="AU841" t="s">
        <v>1996</v>
      </c>
      <c r="AV841" t="s">
        <v>1996</v>
      </c>
      <c r="AW841" t="s">
        <v>1996</v>
      </c>
      <c r="AX841" t="s">
        <v>1194</v>
      </c>
      <c r="AY841" t="s">
        <v>1996</v>
      </c>
      <c r="AZ841">
        <v>3299</v>
      </c>
      <c r="BA841" t="s">
        <v>1194</v>
      </c>
      <c r="BB841" t="s">
        <v>1194</v>
      </c>
      <c r="BC841" s="3">
        <v>0</v>
      </c>
      <c r="BD841" s="3">
        <v>0</v>
      </c>
      <c r="BE841" s="3">
        <v>0</v>
      </c>
      <c r="BF841" s="3">
        <v>0</v>
      </c>
      <c r="BG841" s="3">
        <v>210</v>
      </c>
      <c r="BH841" s="3">
        <v>0</v>
      </c>
      <c r="BI841" s="3">
        <v>0</v>
      </c>
      <c r="BJ841" s="3">
        <v>7462.81</v>
      </c>
      <c r="BK841" s="3">
        <v>65</v>
      </c>
      <c r="BL841" s="3">
        <v>7527.81</v>
      </c>
      <c r="BM841" s="2">
        <f t="shared" ca="1" si="27"/>
        <v>6</v>
      </c>
      <c r="BN841" s="3">
        <v>1000000</v>
      </c>
      <c r="BO841" s="3">
        <v>50000</v>
      </c>
      <c r="BP841" s="3">
        <v>50000</v>
      </c>
      <c r="BQ841" s="3">
        <v>100000</v>
      </c>
      <c r="BR841" s="3">
        <v>500000</v>
      </c>
      <c r="BS841" t="s">
        <v>2916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0</v>
      </c>
      <c r="BZ841" t="s">
        <v>2947</v>
      </c>
      <c r="CA841" t="s">
        <v>1194</v>
      </c>
      <c r="CB841" t="s">
        <v>2941</v>
      </c>
    </row>
    <row r="842" spans="1:80" x14ac:dyDescent="0.25">
      <c r="A842">
        <v>841</v>
      </c>
      <c r="B842" t="s">
        <v>2855</v>
      </c>
      <c r="C842" s="1">
        <v>44774</v>
      </c>
      <c r="D842">
        <v>33</v>
      </c>
      <c r="E842" t="s">
        <v>4</v>
      </c>
      <c r="F842" t="s">
        <v>1311</v>
      </c>
      <c r="G842">
        <v>1</v>
      </c>
      <c r="H842" s="3">
        <v>4435547</v>
      </c>
      <c r="I842" s="3">
        <v>887111</v>
      </c>
      <c r="J842" s="3">
        <v>900949</v>
      </c>
      <c r="K842" s="3">
        <v>0</v>
      </c>
      <c r="L842" t="s">
        <v>1191</v>
      </c>
      <c r="M842">
        <v>1462125</v>
      </c>
      <c r="N842" t="s">
        <v>1639</v>
      </c>
      <c r="P842" t="s">
        <v>1849</v>
      </c>
      <c r="Q842" t="s">
        <v>1240</v>
      </c>
      <c r="R842">
        <v>6820</v>
      </c>
      <c r="S842" t="s">
        <v>1706</v>
      </c>
      <c r="T842" t="s">
        <v>979</v>
      </c>
      <c r="U842">
        <v>0</v>
      </c>
      <c r="V842">
        <v>51</v>
      </c>
      <c r="W842" t="s">
        <v>1194</v>
      </c>
      <c r="X842" t="s">
        <v>973</v>
      </c>
      <c r="Y842">
        <v>50000</v>
      </c>
      <c r="Z842" s="2" t="s">
        <v>1194</v>
      </c>
      <c r="AA842" s="2" t="s">
        <v>1238</v>
      </c>
      <c r="AB842" t="s">
        <v>1238</v>
      </c>
      <c r="AC842">
        <v>950</v>
      </c>
      <c r="AD842" t="s">
        <v>1279</v>
      </c>
      <c r="AE842">
        <v>5</v>
      </c>
      <c r="AF842" t="s">
        <v>1290</v>
      </c>
      <c r="AG842">
        <v>0</v>
      </c>
      <c r="AH842">
        <v>0</v>
      </c>
      <c r="AI842">
        <v>0</v>
      </c>
      <c r="AJ842">
        <v>2004</v>
      </c>
      <c r="AK842" t="s">
        <v>1194</v>
      </c>
      <c r="AL842">
        <v>2004</v>
      </c>
      <c r="AM842" s="4" t="s">
        <v>1238</v>
      </c>
      <c r="AN842">
        <v>1</v>
      </c>
      <c r="AO842" t="s">
        <v>1316</v>
      </c>
      <c r="AP842">
        <f t="shared" si="26"/>
        <v>0</v>
      </c>
      <c r="AQ842">
        <v>1</v>
      </c>
      <c r="AR842" t="s">
        <v>1992</v>
      </c>
      <c r="AS842" t="s">
        <v>1995</v>
      </c>
      <c r="AT842" t="s">
        <v>1996</v>
      </c>
      <c r="AU842" t="s">
        <v>1995</v>
      </c>
      <c r="AV842" t="s">
        <v>1995</v>
      </c>
      <c r="AW842" t="s">
        <v>1996</v>
      </c>
      <c r="AX842" t="s">
        <v>2003</v>
      </c>
      <c r="AY842" t="s">
        <v>1996</v>
      </c>
      <c r="AZ842">
        <v>5597</v>
      </c>
      <c r="BA842" t="s">
        <v>1194</v>
      </c>
      <c r="BB842" t="s">
        <v>1194</v>
      </c>
      <c r="BC842" s="3">
        <v>0</v>
      </c>
      <c r="BD842" s="3">
        <v>2071.6999999999998</v>
      </c>
      <c r="BE842" s="3">
        <v>0</v>
      </c>
      <c r="BF842" s="3">
        <v>0</v>
      </c>
      <c r="BG842" s="3">
        <v>130</v>
      </c>
      <c r="BH842" s="3">
        <v>0</v>
      </c>
      <c r="BI842" s="3">
        <v>0</v>
      </c>
      <c r="BJ842" s="3">
        <v>11948</v>
      </c>
      <c r="BK842" s="3">
        <v>-5</v>
      </c>
      <c r="BL842" s="3">
        <v>11943</v>
      </c>
      <c r="BM842" s="2">
        <f t="shared" ca="1" si="27"/>
        <v>2</v>
      </c>
      <c r="BN842" s="3">
        <v>250000</v>
      </c>
      <c r="BO842" s="3">
        <v>25000</v>
      </c>
      <c r="BP842" s="3">
        <v>50000</v>
      </c>
      <c r="BQ842" s="3">
        <v>50000</v>
      </c>
      <c r="BR842" s="3">
        <v>1000000</v>
      </c>
      <c r="BS842">
        <v>500000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 t="s">
        <v>2949</v>
      </c>
      <c r="CA842" t="s">
        <v>1194</v>
      </c>
      <c r="CB842" t="s">
        <v>2949</v>
      </c>
    </row>
    <row r="843" spans="1:80" x14ac:dyDescent="0.25">
      <c r="A843">
        <v>842</v>
      </c>
      <c r="B843" t="s">
        <v>2856</v>
      </c>
      <c r="C843" s="1">
        <v>44789</v>
      </c>
      <c r="D843">
        <v>42</v>
      </c>
      <c r="E843" t="s">
        <v>5</v>
      </c>
      <c r="F843" t="s">
        <v>1310</v>
      </c>
      <c r="G843">
        <v>1</v>
      </c>
      <c r="H843" s="3">
        <v>3269000</v>
      </c>
      <c r="I843" s="3">
        <v>306975</v>
      </c>
      <c r="J843" s="3">
        <v>1634500</v>
      </c>
      <c r="K843" s="3">
        <v>653800</v>
      </c>
      <c r="L843" t="s">
        <v>1191</v>
      </c>
      <c r="M843">
        <v>932414</v>
      </c>
      <c r="N843" t="s">
        <v>1640</v>
      </c>
      <c r="P843" t="s">
        <v>1849</v>
      </c>
      <c r="Q843" t="s">
        <v>1240</v>
      </c>
      <c r="R843">
        <v>6820</v>
      </c>
      <c r="S843" t="s">
        <v>1706</v>
      </c>
      <c r="T843" t="s">
        <v>972</v>
      </c>
      <c r="U843">
        <v>0</v>
      </c>
      <c r="V843">
        <v>53</v>
      </c>
      <c r="W843" t="s">
        <v>1194</v>
      </c>
      <c r="X843" t="s">
        <v>973</v>
      </c>
      <c r="Y843">
        <v>10000</v>
      </c>
      <c r="Z843" s="2" t="s">
        <v>1194</v>
      </c>
      <c r="AA843" s="2" t="s">
        <v>1238</v>
      </c>
      <c r="AB843" t="s">
        <v>1238</v>
      </c>
      <c r="AC843">
        <v>707</v>
      </c>
      <c r="AD843" t="s">
        <v>1279</v>
      </c>
      <c r="AE843">
        <v>5</v>
      </c>
      <c r="AF843" t="s">
        <v>1290</v>
      </c>
      <c r="AG843">
        <v>1</v>
      </c>
      <c r="AH843">
        <v>1</v>
      </c>
      <c r="AI843">
        <v>2</v>
      </c>
      <c r="AJ843">
        <v>1960</v>
      </c>
      <c r="AK843">
        <v>2012</v>
      </c>
      <c r="AL843">
        <v>2012</v>
      </c>
      <c r="AM843" s="4" t="s">
        <v>1304</v>
      </c>
      <c r="AN843">
        <v>0</v>
      </c>
      <c r="AO843" t="s">
        <v>1316</v>
      </c>
      <c r="AP843">
        <f t="shared" si="26"/>
        <v>2</v>
      </c>
      <c r="AQ843">
        <v>0</v>
      </c>
      <c r="AR843" t="s">
        <v>1993</v>
      </c>
      <c r="AS843" t="s">
        <v>1995</v>
      </c>
      <c r="AT843" t="s">
        <v>1995</v>
      </c>
      <c r="AU843" t="s">
        <v>1996</v>
      </c>
      <c r="AV843" t="s">
        <v>1995</v>
      </c>
      <c r="AW843" t="s">
        <v>1996</v>
      </c>
      <c r="AX843" t="s">
        <v>2003</v>
      </c>
      <c r="AY843" t="s">
        <v>1996</v>
      </c>
      <c r="AZ843">
        <v>5549</v>
      </c>
      <c r="BA843" t="s">
        <v>1194</v>
      </c>
      <c r="BB843" t="s">
        <v>1194</v>
      </c>
      <c r="BC843" s="3">
        <v>0</v>
      </c>
      <c r="BD843" s="3">
        <v>638</v>
      </c>
      <c r="BE843" s="3">
        <v>0</v>
      </c>
      <c r="BF843" s="3">
        <v>0</v>
      </c>
      <c r="BG843" s="3">
        <v>115</v>
      </c>
      <c r="BH843" s="3">
        <v>0</v>
      </c>
      <c r="BI843" s="3">
        <v>0</v>
      </c>
      <c r="BJ843" s="3">
        <v>8572</v>
      </c>
      <c r="BK843" s="3">
        <v>0</v>
      </c>
      <c r="BL843" s="3">
        <v>8572</v>
      </c>
      <c r="BM843" s="2">
        <f t="shared" ca="1" si="27"/>
        <v>4</v>
      </c>
      <c r="BN843" s="3">
        <v>250000</v>
      </c>
      <c r="BO843" s="3">
        <v>100000</v>
      </c>
      <c r="BP843" s="3">
        <v>100000</v>
      </c>
      <c r="BQ843" s="3">
        <v>100000</v>
      </c>
      <c r="BR843" s="3" t="s">
        <v>2916</v>
      </c>
      <c r="BS843">
        <v>100000</v>
      </c>
      <c r="BT843">
        <v>0</v>
      </c>
      <c r="BU843">
        <v>0</v>
      </c>
      <c r="BV843">
        <v>1</v>
      </c>
      <c r="BW843">
        <v>0</v>
      </c>
      <c r="BX843">
        <v>0</v>
      </c>
      <c r="BY843">
        <v>0</v>
      </c>
      <c r="BZ843" t="s">
        <v>2949</v>
      </c>
      <c r="CA843" t="s">
        <v>1194</v>
      </c>
      <c r="CB843" t="s">
        <v>2949</v>
      </c>
    </row>
    <row r="844" spans="1:80" x14ac:dyDescent="0.25">
      <c r="A844">
        <v>843</v>
      </c>
      <c r="B844" t="s">
        <v>2857</v>
      </c>
      <c r="C844" s="1">
        <v>44721</v>
      </c>
      <c r="D844">
        <v>12</v>
      </c>
      <c r="E844" t="s">
        <v>4</v>
      </c>
      <c r="F844" t="s">
        <v>1311</v>
      </c>
      <c r="G844">
        <v>1</v>
      </c>
      <c r="H844" s="3">
        <v>1770000</v>
      </c>
      <c r="I844" s="3">
        <v>237361</v>
      </c>
      <c r="J844" s="3">
        <v>500000</v>
      </c>
      <c r="K844" s="3">
        <v>354000</v>
      </c>
      <c r="L844" t="s">
        <v>1191</v>
      </c>
      <c r="M844">
        <v>542839</v>
      </c>
      <c r="N844" t="s">
        <v>1641</v>
      </c>
      <c r="P844" t="s">
        <v>1962</v>
      </c>
      <c r="Q844" t="s">
        <v>1249</v>
      </c>
      <c r="R844">
        <v>40510</v>
      </c>
      <c r="S844" t="s">
        <v>102</v>
      </c>
      <c r="T844" t="s">
        <v>965</v>
      </c>
      <c r="U844">
        <v>0</v>
      </c>
      <c r="V844">
        <v>1</v>
      </c>
      <c r="W844" t="s">
        <v>1194</v>
      </c>
      <c r="X844" t="s">
        <v>973</v>
      </c>
      <c r="Y844">
        <v>10000</v>
      </c>
      <c r="Z844" s="2" t="s">
        <v>1194</v>
      </c>
      <c r="AA844" s="2">
        <v>1</v>
      </c>
      <c r="AB844">
        <v>2500</v>
      </c>
      <c r="AC844">
        <v>892</v>
      </c>
      <c r="AD844" t="s">
        <v>1284</v>
      </c>
      <c r="AE844">
        <v>10</v>
      </c>
      <c r="AF844" t="s">
        <v>1290</v>
      </c>
      <c r="AG844">
        <v>0</v>
      </c>
      <c r="AH844">
        <v>0</v>
      </c>
      <c r="AI844">
        <v>0</v>
      </c>
      <c r="AJ844">
        <v>2000</v>
      </c>
      <c r="AK844">
        <v>2021</v>
      </c>
      <c r="AL844">
        <v>2021</v>
      </c>
      <c r="AM844" s="4" t="s">
        <v>1238</v>
      </c>
      <c r="AN844">
        <v>0</v>
      </c>
      <c r="AO844" t="s">
        <v>1316</v>
      </c>
      <c r="AP844">
        <f t="shared" si="26"/>
        <v>0</v>
      </c>
      <c r="AQ844">
        <v>1</v>
      </c>
      <c r="AR844" t="s">
        <v>1992</v>
      </c>
      <c r="AS844" t="s">
        <v>1996</v>
      </c>
      <c r="AT844" t="s">
        <v>1995</v>
      </c>
      <c r="AU844" t="s">
        <v>1995</v>
      </c>
      <c r="AV844" t="s">
        <v>1995</v>
      </c>
      <c r="AW844" t="s">
        <v>1995</v>
      </c>
      <c r="AX844" t="s">
        <v>1194</v>
      </c>
      <c r="AY844" t="s">
        <v>1996</v>
      </c>
      <c r="AZ844">
        <v>6233</v>
      </c>
      <c r="BA844" t="s">
        <v>1194</v>
      </c>
      <c r="BB844" t="s">
        <v>1194</v>
      </c>
      <c r="BC844" s="3">
        <v>0</v>
      </c>
      <c r="BD844" s="3">
        <v>0</v>
      </c>
      <c r="BE844" s="3">
        <v>0</v>
      </c>
      <c r="BF844" s="3">
        <v>0</v>
      </c>
      <c r="BG844" s="3">
        <v>175</v>
      </c>
      <c r="BH844" s="3">
        <v>0</v>
      </c>
      <c r="BI844" s="3">
        <v>0</v>
      </c>
      <c r="BJ844" s="3">
        <v>6427.21</v>
      </c>
      <c r="BK844" s="3">
        <v>55</v>
      </c>
      <c r="BL844" s="3">
        <v>6482.21</v>
      </c>
      <c r="BM844" s="2">
        <f t="shared" ca="1" si="27"/>
        <v>6</v>
      </c>
      <c r="BN844" s="3">
        <v>50000</v>
      </c>
      <c r="BO844" s="3">
        <v>25000</v>
      </c>
      <c r="BP844" s="3" t="s">
        <v>2922</v>
      </c>
      <c r="BQ844" s="3">
        <v>50000</v>
      </c>
      <c r="BR844" s="3">
        <v>250000</v>
      </c>
      <c r="BS844">
        <v>50000</v>
      </c>
      <c r="BT844">
        <v>0</v>
      </c>
      <c r="BU844">
        <v>0</v>
      </c>
      <c r="BV844">
        <v>0</v>
      </c>
      <c r="BW844">
        <v>1</v>
      </c>
      <c r="BX844">
        <v>0</v>
      </c>
      <c r="BY844">
        <v>1</v>
      </c>
      <c r="BZ844" t="s">
        <v>2958</v>
      </c>
      <c r="CA844" t="s">
        <v>1194</v>
      </c>
      <c r="CB844" t="s">
        <v>2941</v>
      </c>
    </row>
    <row r="845" spans="1:80" x14ac:dyDescent="0.25">
      <c r="A845">
        <v>844</v>
      </c>
      <c r="B845" t="s">
        <v>2858</v>
      </c>
      <c r="C845" s="1">
        <v>44756</v>
      </c>
      <c r="D845">
        <v>12</v>
      </c>
      <c r="E845" t="s">
        <v>4</v>
      </c>
      <c r="F845" t="s">
        <v>1311</v>
      </c>
      <c r="G845">
        <v>0</v>
      </c>
      <c r="H845" s="3">
        <v>2090620</v>
      </c>
      <c r="I845" s="3">
        <v>136250</v>
      </c>
      <c r="J845" s="3">
        <v>745560</v>
      </c>
      <c r="K845" s="3">
        <v>0</v>
      </c>
      <c r="L845" t="s">
        <v>1191</v>
      </c>
      <c r="M845">
        <v>1705403</v>
      </c>
      <c r="N845" t="s">
        <v>1642</v>
      </c>
      <c r="P845" t="s">
        <v>1774</v>
      </c>
      <c r="Q845" t="s">
        <v>1254</v>
      </c>
      <c r="R845">
        <v>63124</v>
      </c>
      <c r="S845" t="s">
        <v>1698</v>
      </c>
      <c r="T845" t="s">
        <v>965</v>
      </c>
      <c r="U845">
        <v>0</v>
      </c>
      <c r="V845">
        <v>3</v>
      </c>
      <c r="W845" t="s">
        <v>1194</v>
      </c>
      <c r="X845" t="s">
        <v>973</v>
      </c>
      <c r="Y845">
        <v>10000</v>
      </c>
      <c r="Z845" s="2" t="s">
        <v>1194</v>
      </c>
      <c r="AA845" s="2">
        <v>1</v>
      </c>
      <c r="AB845">
        <v>2500</v>
      </c>
      <c r="AC845">
        <v>804</v>
      </c>
      <c r="AD845" t="s">
        <v>1280</v>
      </c>
      <c r="AE845">
        <v>3</v>
      </c>
      <c r="AF845" t="s">
        <v>1290</v>
      </c>
      <c r="AG845">
        <v>0</v>
      </c>
      <c r="AH845">
        <v>0</v>
      </c>
      <c r="AI845">
        <v>0</v>
      </c>
      <c r="AJ845">
        <v>1940</v>
      </c>
      <c r="AK845" t="s">
        <v>1194</v>
      </c>
      <c r="AL845">
        <v>2004</v>
      </c>
      <c r="AM845" s="4" t="s">
        <v>1238</v>
      </c>
      <c r="AN845">
        <v>1</v>
      </c>
      <c r="AO845" t="s">
        <v>1315</v>
      </c>
      <c r="AP845">
        <f t="shared" si="26"/>
        <v>0</v>
      </c>
      <c r="AQ845">
        <v>1</v>
      </c>
      <c r="AR845" t="s">
        <v>1992</v>
      </c>
      <c r="AS845" t="s">
        <v>1995</v>
      </c>
      <c r="AT845" t="s">
        <v>1996</v>
      </c>
      <c r="AU845" t="s">
        <v>1995</v>
      </c>
      <c r="AV845" t="s">
        <v>1996</v>
      </c>
      <c r="AW845" t="s">
        <v>1996</v>
      </c>
      <c r="AX845" t="s">
        <v>1194</v>
      </c>
      <c r="AY845" t="s">
        <v>1996</v>
      </c>
      <c r="AZ845">
        <v>3701</v>
      </c>
      <c r="BA845" t="s">
        <v>1194</v>
      </c>
      <c r="BB845" t="s">
        <v>1194</v>
      </c>
      <c r="BC845" s="3">
        <v>0</v>
      </c>
      <c r="BD845" s="3">
        <v>0</v>
      </c>
      <c r="BE845" s="3">
        <v>0</v>
      </c>
      <c r="BF845" s="3">
        <v>0</v>
      </c>
      <c r="BG845" s="3">
        <v>175</v>
      </c>
      <c r="BH845" s="3">
        <v>0</v>
      </c>
      <c r="BI845" s="3">
        <v>0</v>
      </c>
      <c r="BJ845" s="3">
        <v>9270.5499999999993</v>
      </c>
      <c r="BK845" s="3">
        <v>-15</v>
      </c>
      <c r="BL845" s="3">
        <v>9255.5499999999993</v>
      </c>
      <c r="BM845" s="2">
        <f t="shared" ca="1" si="27"/>
        <v>3</v>
      </c>
      <c r="BN845" s="3">
        <v>1000000</v>
      </c>
      <c r="BO845" s="3">
        <v>1000000</v>
      </c>
      <c r="BP845" s="3">
        <v>100000</v>
      </c>
      <c r="BQ845" s="3">
        <v>1000000</v>
      </c>
      <c r="BR845" s="3">
        <v>100000</v>
      </c>
      <c r="BS845">
        <v>500000</v>
      </c>
      <c r="BT845">
        <v>0</v>
      </c>
      <c r="BU845">
        <v>0</v>
      </c>
      <c r="BV845">
        <v>1</v>
      </c>
      <c r="BW845">
        <v>0</v>
      </c>
      <c r="BX845">
        <v>0</v>
      </c>
      <c r="BY845">
        <v>0</v>
      </c>
      <c r="BZ845" t="s">
        <v>2959</v>
      </c>
      <c r="CA845" t="s">
        <v>1194</v>
      </c>
      <c r="CB845" t="s">
        <v>2945</v>
      </c>
    </row>
    <row r="846" spans="1:80" x14ac:dyDescent="0.25">
      <c r="A846">
        <v>845</v>
      </c>
      <c r="B846" t="s">
        <v>2859</v>
      </c>
      <c r="C846" s="1">
        <v>44819</v>
      </c>
      <c r="D846">
        <v>12</v>
      </c>
      <c r="E846" t="s">
        <v>5</v>
      </c>
      <c r="F846" t="s">
        <v>1310</v>
      </c>
      <c r="G846">
        <v>1</v>
      </c>
      <c r="H846" s="3">
        <v>3528330</v>
      </c>
      <c r="I846" s="3">
        <v>359700</v>
      </c>
      <c r="J846" s="3">
        <v>500000</v>
      </c>
      <c r="K846" s="3">
        <v>705666</v>
      </c>
      <c r="L846" t="s">
        <v>1191</v>
      </c>
      <c r="M846">
        <v>1757117</v>
      </c>
      <c r="N846" t="s">
        <v>1643</v>
      </c>
      <c r="P846" t="s">
        <v>1967</v>
      </c>
      <c r="Q846" t="s">
        <v>1252</v>
      </c>
      <c r="R846">
        <v>48302</v>
      </c>
      <c r="S846" t="s">
        <v>1914</v>
      </c>
      <c r="T846" t="s">
        <v>965</v>
      </c>
      <c r="U846">
        <v>0</v>
      </c>
      <c r="V846">
        <v>5</v>
      </c>
      <c r="W846" t="s">
        <v>1194</v>
      </c>
      <c r="X846" t="s">
        <v>973</v>
      </c>
      <c r="Y846">
        <v>10000</v>
      </c>
      <c r="Z846" s="2" t="s">
        <v>1194</v>
      </c>
      <c r="AA846" s="2">
        <v>1</v>
      </c>
      <c r="AB846" t="s">
        <v>1277</v>
      </c>
      <c r="AC846">
        <v>750</v>
      </c>
      <c r="AD846" t="s">
        <v>1284</v>
      </c>
      <c r="AE846">
        <v>3</v>
      </c>
      <c r="AF846" t="s">
        <v>1290</v>
      </c>
      <c r="AG846">
        <v>0</v>
      </c>
      <c r="AH846">
        <v>0</v>
      </c>
      <c r="AI846">
        <v>0</v>
      </c>
      <c r="AJ846">
        <v>1955</v>
      </c>
      <c r="AK846">
        <v>1978</v>
      </c>
      <c r="AL846">
        <v>2001</v>
      </c>
      <c r="AM846" s="4" t="s">
        <v>1306</v>
      </c>
      <c r="AN846">
        <v>1</v>
      </c>
      <c r="AO846" t="s">
        <v>1317</v>
      </c>
      <c r="AP846">
        <f t="shared" si="26"/>
        <v>0</v>
      </c>
      <c r="AQ846">
        <v>0</v>
      </c>
      <c r="AR846" t="s">
        <v>1993</v>
      </c>
      <c r="AS846" t="s">
        <v>1995</v>
      </c>
      <c r="AT846" t="s">
        <v>1996</v>
      </c>
      <c r="AU846" t="s">
        <v>1995</v>
      </c>
      <c r="AV846" t="s">
        <v>1996</v>
      </c>
      <c r="AW846" t="s">
        <v>1995</v>
      </c>
      <c r="AX846" t="s">
        <v>1194</v>
      </c>
      <c r="AY846" t="s">
        <v>1996</v>
      </c>
      <c r="AZ846">
        <v>4841</v>
      </c>
      <c r="BA846" t="s">
        <v>1194</v>
      </c>
      <c r="BB846" t="s">
        <v>1194</v>
      </c>
      <c r="BC846" s="3">
        <v>0</v>
      </c>
      <c r="BD846" s="3">
        <v>0</v>
      </c>
      <c r="BE846" s="3">
        <v>0</v>
      </c>
      <c r="BF846" s="3">
        <v>0</v>
      </c>
      <c r="BG846" s="3">
        <v>150</v>
      </c>
      <c r="BH846" s="3">
        <v>0</v>
      </c>
      <c r="BI846" s="3">
        <v>0</v>
      </c>
      <c r="BJ846" s="3">
        <v>8516.9</v>
      </c>
      <c r="BK846" s="3">
        <v>-15</v>
      </c>
      <c r="BL846" s="3">
        <v>8501.9</v>
      </c>
      <c r="BM846" s="2">
        <f t="shared" ca="1" si="27"/>
        <v>1</v>
      </c>
      <c r="BN846" s="3">
        <v>1000000</v>
      </c>
      <c r="BO846" s="3">
        <v>100000</v>
      </c>
      <c r="BP846" s="3">
        <v>200000</v>
      </c>
      <c r="BQ846" s="3">
        <v>50000</v>
      </c>
      <c r="BR846" s="3">
        <v>2000000</v>
      </c>
      <c r="BS846">
        <v>50000</v>
      </c>
      <c r="BT846">
        <v>0</v>
      </c>
      <c r="BU846">
        <v>0</v>
      </c>
      <c r="BV846">
        <v>1</v>
      </c>
      <c r="BW846">
        <v>0</v>
      </c>
      <c r="BX846">
        <v>0</v>
      </c>
      <c r="BY846">
        <v>0</v>
      </c>
      <c r="BZ846" t="s">
        <v>2960</v>
      </c>
      <c r="CA846" t="s">
        <v>1194</v>
      </c>
      <c r="CB846" t="s">
        <v>2945</v>
      </c>
    </row>
    <row r="847" spans="1:80" x14ac:dyDescent="0.25">
      <c r="A847">
        <v>846</v>
      </c>
      <c r="B847" t="s">
        <v>2860</v>
      </c>
      <c r="C847" s="1">
        <v>44730</v>
      </c>
      <c r="D847">
        <v>12</v>
      </c>
      <c r="E847" t="s">
        <v>5</v>
      </c>
      <c r="F847" t="s">
        <v>1310</v>
      </c>
      <c r="G847">
        <v>1</v>
      </c>
      <c r="H847" s="3">
        <v>3270000</v>
      </c>
      <c r="I847" s="3">
        <v>1090000</v>
      </c>
      <c r="J847" s="3">
        <v>1635000</v>
      </c>
      <c r="K847" s="3">
        <v>0</v>
      </c>
      <c r="L847" t="s">
        <v>1191</v>
      </c>
      <c r="M847">
        <v>1707477</v>
      </c>
      <c r="N847" t="s">
        <v>1644</v>
      </c>
      <c r="P847" t="s">
        <v>1961</v>
      </c>
      <c r="Q847" t="s">
        <v>1237</v>
      </c>
      <c r="R847">
        <v>85253</v>
      </c>
      <c r="S847" t="s">
        <v>1705</v>
      </c>
      <c r="T847" t="s">
        <v>965</v>
      </c>
      <c r="U847">
        <v>0</v>
      </c>
      <c r="V847">
        <v>9</v>
      </c>
      <c r="W847" t="s">
        <v>1194</v>
      </c>
      <c r="X847" t="s">
        <v>973</v>
      </c>
      <c r="Y847">
        <v>10000</v>
      </c>
      <c r="Z847" s="2" t="s">
        <v>1194</v>
      </c>
      <c r="AA847" s="2" t="s">
        <v>1238</v>
      </c>
      <c r="AB847" t="s">
        <v>1238</v>
      </c>
      <c r="AC847">
        <v>748</v>
      </c>
      <c r="AD847" t="s">
        <v>1279</v>
      </c>
      <c r="AE847">
        <v>1</v>
      </c>
      <c r="AF847" t="s">
        <v>1290</v>
      </c>
      <c r="AG847">
        <v>0</v>
      </c>
      <c r="AH847">
        <v>0</v>
      </c>
      <c r="AI847">
        <v>0</v>
      </c>
      <c r="AJ847">
        <v>2015</v>
      </c>
      <c r="AK847">
        <v>2018</v>
      </c>
      <c r="AL847" t="s">
        <v>1194</v>
      </c>
      <c r="AM847" s="4" t="s">
        <v>1304</v>
      </c>
      <c r="AN847">
        <v>1</v>
      </c>
      <c r="AO847" t="s">
        <v>1315</v>
      </c>
      <c r="AP847">
        <f t="shared" si="26"/>
        <v>0</v>
      </c>
      <c r="AQ847">
        <v>1</v>
      </c>
      <c r="AR847" t="s">
        <v>1992</v>
      </c>
      <c r="AS847" t="s">
        <v>1996</v>
      </c>
      <c r="AT847" t="s">
        <v>1995</v>
      </c>
      <c r="AU847" t="s">
        <v>1995</v>
      </c>
      <c r="AV847" t="s">
        <v>1995</v>
      </c>
      <c r="AW847" t="s">
        <v>1995</v>
      </c>
      <c r="AX847" t="s">
        <v>1194</v>
      </c>
      <c r="AY847" t="s">
        <v>1996</v>
      </c>
      <c r="AZ847">
        <v>9300</v>
      </c>
      <c r="BA847">
        <v>3</v>
      </c>
      <c r="BB847" t="s">
        <v>2016</v>
      </c>
      <c r="BC847" s="3">
        <v>0</v>
      </c>
      <c r="BD847" s="3">
        <v>0</v>
      </c>
      <c r="BE847" s="3">
        <v>0</v>
      </c>
      <c r="BF847" s="3">
        <v>0</v>
      </c>
      <c r="BG847" s="3">
        <v>175</v>
      </c>
      <c r="BH847" s="3">
        <v>0</v>
      </c>
      <c r="BI847" s="3">
        <v>0</v>
      </c>
      <c r="BJ847" s="3">
        <v>6914.94</v>
      </c>
      <c r="BK847" s="3">
        <v>445</v>
      </c>
      <c r="BL847" s="3">
        <v>7360</v>
      </c>
      <c r="BM847" s="2">
        <f t="shared" ca="1" si="27"/>
        <v>1</v>
      </c>
      <c r="BN847" s="3">
        <v>100000</v>
      </c>
      <c r="BO847" s="3">
        <v>25000</v>
      </c>
      <c r="BP847" s="3">
        <v>50000</v>
      </c>
      <c r="BQ847" s="3">
        <v>250000</v>
      </c>
      <c r="BR847" s="3">
        <v>2000000</v>
      </c>
      <c r="BS847">
        <v>50000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0</v>
      </c>
      <c r="BZ847" t="s">
        <v>2961</v>
      </c>
      <c r="CA847" t="s">
        <v>1194</v>
      </c>
      <c r="CB847" t="s">
        <v>2941</v>
      </c>
    </row>
    <row r="848" spans="1:80" x14ac:dyDescent="0.25">
      <c r="A848">
        <v>847</v>
      </c>
      <c r="B848" t="s">
        <v>2861</v>
      </c>
      <c r="C848" s="1">
        <v>44742</v>
      </c>
      <c r="D848">
        <v>12</v>
      </c>
      <c r="E848" t="s">
        <v>6</v>
      </c>
      <c r="F848" t="s">
        <v>1310</v>
      </c>
      <c r="G848">
        <v>0</v>
      </c>
      <c r="H848" s="3">
        <v>2725000</v>
      </c>
      <c r="I848" s="3">
        <v>272500</v>
      </c>
      <c r="J848" s="3">
        <v>1362500</v>
      </c>
      <c r="K848" s="3">
        <v>545000</v>
      </c>
      <c r="L848" t="s">
        <v>1191</v>
      </c>
      <c r="M848">
        <v>1713091</v>
      </c>
      <c r="N848" t="s">
        <v>1645</v>
      </c>
      <c r="P848" t="s">
        <v>1968</v>
      </c>
      <c r="Q848" t="s">
        <v>1253</v>
      </c>
      <c r="R848">
        <v>55318</v>
      </c>
      <c r="S848" t="s">
        <v>1969</v>
      </c>
      <c r="T848" t="s">
        <v>965</v>
      </c>
      <c r="U848">
        <v>0</v>
      </c>
      <c r="V848">
        <v>1</v>
      </c>
      <c r="W848" t="s">
        <v>1194</v>
      </c>
      <c r="X848" t="s">
        <v>973</v>
      </c>
      <c r="Y848">
        <v>10000</v>
      </c>
      <c r="Z848" s="2" t="s">
        <v>1194</v>
      </c>
      <c r="AA848" s="2">
        <v>1</v>
      </c>
      <c r="AB848">
        <v>0.02</v>
      </c>
      <c r="AC848">
        <v>675</v>
      </c>
      <c r="AD848" t="s">
        <v>1279</v>
      </c>
      <c r="AE848">
        <v>4</v>
      </c>
      <c r="AF848" t="s">
        <v>1290</v>
      </c>
      <c r="AG848">
        <v>0</v>
      </c>
      <c r="AH848">
        <v>0</v>
      </c>
      <c r="AI848">
        <v>0</v>
      </c>
      <c r="AJ848">
        <v>2012</v>
      </c>
      <c r="AK848" t="s">
        <v>1194</v>
      </c>
      <c r="AL848" t="s">
        <v>1194</v>
      </c>
      <c r="AM848" s="4" t="s">
        <v>1304</v>
      </c>
      <c r="AN848">
        <v>1</v>
      </c>
      <c r="AO848" t="s">
        <v>1316</v>
      </c>
      <c r="AP848">
        <f t="shared" si="26"/>
        <v>0</v>
      </c>
      <c r="AQ848">
        <v>1</v>
      </c>
      <c r="AR848" t="s">
        <v>1992</v>
      </c>
      <c r="AS848" t="s">
        <v>1996</v>
      </c>
      <c r="AT848" t="s">
        <v>1995</v>
      </c>
      <c r="AU848" t="s">
        <v>1995</v>
      </c>
      <c r="AV848" t="s">
        <v>1995</v>
      </c>
      <c r="AW848" t="s">
        <v>1995</v>
      </c>
      <c r="AX848" t="s">
        <v>1194</v>
      </c>
      <c r="AY848" t="s">
        <v>1996</v>
      </c>
      <c r="AZ848">
        <v>5000</v>
      </c>
      <c r="BA848" t="s">
        <v>1194</v>
      </c>
      <c r="BB848" t="s">
        <v>1194</v>
      </c>
      <c r="BC848" s="3">
        <v>0</v>
      </c>
      <c r="BD848" s="3">
        <v>0</v>
      </c>
      <c r="BE848" s="3">
        <v>0</v>
      </c>
      <c r="BF848" s="3">
        <v>0</v>
      </c>
      <c r="BG848" s="3">
        <v>150</v>
      </c>
      <c r="BH848" s="3">
        <v>0</v>
      </c>
      <c r="BI848" s="3">
        <v>0</v>
      </c>
      <c r="BJ848" s="3">
        <v>8864.84</v>
      </c>
      <c r="BK848" s="3">
        <v>-15</v>
      </c>
      <c r="BL848" s="3">
        <v>8849.84</v>
      </c>
      <c r="BM848" s="2">
        <f t="shared" ca="1" si="27"/>
        <v>1</v>
      </c>
      <c r="BN848" s="3">
        <v>50000</v>
      </c>
      <c r="BO848" s="3">
        <v>1000000</v>
      </c>
      <c r="BP848" s="3" t="s">
        <v>2922</v>
      </c>
      <c r="BQ848" s="3">
        <v>250000</v>
      </c>
      <c r="BR848" s="3">
        <v>500000</v>
      </c>
      <c r="BS848">
        <v>1000000</v>
      </c>
      <c r="BT848">
        <v>0</v>
      </c>
      <c r="BU848">
        <v>0</v>
      </c>
      <c r="BV848">
        <v>1</v>
      </c>
      <c r="BW848">
        <v>0</v>
      </c>
      <c r="BX848">
        <v>0</v>
      </c>
      <c r="BY848">
        <v>0</v>
      </c>
      <c r="BZ848" t="s">
        <v>2958</v>
      </c>
      <c r="CA848" t="s">
        <v>1194</v>
      </c>
      <c r="CB848" t="s">
        <v>2941</v>
      </c>
    </row>
    <row r="849" spans="1:80" x14ac:dyDescent="0.25">
      <c r="A849">
        <v>848</v>
      </c>
      <c r="B849" t="s">
        <v>2862</v>
      </c>
      <c r="C849" s="1">
        <v>44742</v>
      </c>
      <c r="D849">
        <v>12</v>
      </c>
      <c r="E849" t="s">
        <v>6</v>
      </c>
      <c r="F849" t="s">
        <v>1310</v>
      </c>
      <c r="G849">
        <v>0</v>
      </c>
      <c r="H849" s="3">
        <v>1580500</v>
      </c>
      <c r="I849" s="3">
        <v>316100</v>
      </c>
      <c r="J849" s="3">
        <v>474150</v>
      </c>
      <c r="K849" s="3">
        <v>316100</v>
      </c>
      <c r="L849" t="s">
        <v>1191</v>
      </c>
      <c r="M849">
        <v>1721432</v>
      </c>
      <c r="N849" t="s">
        <v>1646</v>
      </c>
      <c r="P849" t="s">
        <v>1882</v>
      </c>
      <c r="Q849" t="s">
        <v>1263</v>
      </c>
      <c r="R849">
        <v>19147</v>
      </c>
      <c r="S849" t="s">
        <v>1882</v>
      </c>
      <c r="T849" t="s">
        <v>965</v>
      </c>
      <c r="U849">
        <v>0</v>
      </c>
      <c r="V849">
        <v>11</v>
      </c>
      <c r="W849" t="s">
        <v>1194</v>
      </c>
      <c r="X849" t="s">
        <v>973</v>
      </c>
      <c r="Y849">
        <v>10000</v>
      </c>
      <c r="Z849" s="2" t="s">
        <v>1194</v>
      </c>
      <c r="AA849" s="2">
        <v>1</v>
      </c>
      <c r="AB849">
        <v>2500</v>
      </c>
      <c r="AC849">
        <v>756</v>
      </c>
      <c r="AD849" t="s">
        <v>1280</v>
      </c>
      <c r="AE849">
        <v>1</v>
      </c>
      <c r="AF849" t="s">
        <v>1290</v>
      </c>
      <c r="AG849">
        <v>0</v>
      </c>
      <c r="AH849">
        <v>0</v>
      </c>
      <c r="AI849">
        <v>0</v>
      </c>
      <c r="AJ849">
        <v>1915</v>
      </c>
      <c r="AK849">
        <v>2010</v>
      </c>
      <c r="AL849">
        <v>2012</v>
      </c>
      <c r="AM849" s="4" t="s">
        <v>1305</v>
      </c>
      <c r="AN849">
        <v>0</v>
      </c>
      <c r="AO849" t="s">
        <v>1317</v>
      </c>
      <c r="AP849">
        <f t="shared" si="26"/>
        <v>0</v>
      </c>
      <c r="AQ849">
        <v>0</v>
      </c>
      <c r="AR849" t="s">
        <v>1993</v>
      </c>
      <c r="AS849" t="s">
        <v>1995</v>
      </c>
      <c r="AT849" t="s">
        <v>1995</v>
      </c>
      <c r="AU849" t="s">
        <v>1995</v>
      </c>
      <c r="AV849" t="s">
        <v>1995</v>
      </c>
      <c r="AW849" t="s">
        <v>1995</v>
      </c>
      <c r="AX849" t="s">
        <v>2003</v>
      </c>
      <c r="AY849" t="s">
        <v>1996</v>
      </c>
      <c r="AZ849">
        <v>2786</v>
      </c>
      <c r="BA849" t="s">
        <v>1194</v>
      </c>
      <c r="BB849" t="s">
        <v>1194</v>
      </c>
      <c r="BC849" s="3">
        <v>0</v>
      </c>
      <c r="BD849" s="3">
        <v>0</v>
      </c>
      <c r="BE849" s="3">
        <v>0</v>
      </c>
      <c r="BF849" s="3">
        <v>0</v>
      </c>
      <c r="BG849" s="3">
        <v>200</v>
      </c>
      <c r="BH849" s="3">
        <v>0</v>
      </c>
      <c r="BI849" s="3">
        <v>0</v>
      </c>
      <c r="BJ849" s="3">
        <v>3611.27</v>
      </c>
      <c r="BK849" s="3">
        <v>-15</v>
      </c>
      <c r="BL849" s="3">
        <v>3596.27</v>
      </c>
      <c r="BM849" s="2">
        <f t="shared" ca="1" si="27"/>
        <v>4</v>
      </c>
      <c r="BN849" s="3">
        <v>50000</v>
      </c>
      <c r="BO849" s="3">
        <v>250000</v>
      </c>
      <c r="BP849" s="3">
        <v>100000</v>
      </c>
      <c r="BQ849" s="3">
        <v>250000</v>
      </c>
      <c r="BR849" s="3">
        <v>2000000</v>
      </c>
      <c r="BS849">
        <v>50000</v>
      </c>
      <c r="BT849">
        <v>0</v>
      </c>
      <c r="BU849">
        <v>0</v>
      </c>
      <c r="BV849">
        <v>1</v>
      </c>
      <c r="BW849">
        <v>0</v>
      </c>
      <c r="BX849">
        <v>0</v>
      </c>
      <c r="BY849">
        <v>0</v>
      </c>
      <c r="BZ849" t="s">
        <v>2949</v>
      </c>
      <c r="CA849" t="s">
        <v>1194</v>
      </c>
      <c r="CB849" t="s">
        <v>2952</v>
      </c>
    </row>
    <row r="850" spans="1:80" x14ac:dyDescent="0.25">
      <c r="A850">
        <v>849</v>
      </c>
      <c r="B850" t="s">
        <v>2863</v>
      </c>
      <c r="C850" s="1">
        <v>44772</v>
      </c>
      <c r="D850">
        <v>18</v>
      </c>
      <c r="E850" t="s">
        <v>4</v>
      </c>
      <c r="F850" t="s">
        <v>1311</v>
      </c>
      <c r="G850">
        <v>1</v>
      </c>
      <c r="H850" s="3">
        <v>1199000</v>
      </c>
      <c r="I850" s="3">
        <v>239800</v>
      </c>
      <c r="J850" s="3">
        <v>479600</v>
      </c>
      <c r="K850" s="3">
        <v>0</v>
      </c>
      <c r="L850" t="s">
        <v>1191</v>
      </c>
      <c r="M850">
        <v>1729165</v>
      </c>
      <c r="N850" t="s">
        <v>1647</v>
      </c>
      <c r="P850" t="s">
        <v>1970</v>
      </c>
      <c r="Q850" t="s">
        <v>1251</v>
      </c>
      <c r="R850">
        <v>4079</v>
      </c>
      <c r="S850" t="s">
        <v>1750</v>
      </c>
      <c r="T850" t="s">
        <v>1238</v>
      </c>
      <c r="U850">
        <v>0</v>
      </c>
      <c r="V850">
        <v>1</v>
      </c>
      <c r="W850" t="s">
        <v>1194</v>
      </c>
      <c r="X850" t="s">
        <v>973</v>
      </c>
      <c r="Y850">
        <v>25000</v>
      </c>
      <c r="Z850" s="2" t="s">
        <v>1194</v>
      </c>
      <c r="AA850" s="2">
        <v>1</v>
      </c>
      <c r="AB850">
        <v>2.5000000000000001E-3</v>
      </c>
      <c r="AC850">
        <v>882</v>
      </c>
      <c r="AD850" t="s">
        <v>1279</v>
      </c>
      <c r="AE850">
        <v>9</v>
      </c>
      <c r="AF850" t="s">
        <v>1290</v>
      </c>
      <c r="AG850">
        <v>0</v>
      </c>
      <c r="AH850">
        <v>0</v>
      </c>
      <c r="AI850">
        <v>0</v>
      </c>
      <c r="AJ850">
        <v>1986</v>
      </c>
      <c r="AK850">
        <v>2010</v>
      </c>
      <c r="AL850">
        <v>2010</v>
      </c>
      <c r="AM850" s="4" t="s">
        <v>1238</v>
      </c>
      <c r="AN850">
        <v>1</v>
      </c>
      <c r="AO850" t="s">
        <v>1317</v>
      </c>
      <c r="AP850">
        <f t="shared" si="26"/>
        <v>0</v>
      </c>
      <c r="AQ850">
        <v>0</v>
      </c>
      <c r="AR850" t="s">
        <v>1993</v>
      </c>
      <c r="AS850" t="s">
        <v>1995</v>
      </c>
      <c r="AT850" t="s">
        <v>1995</v>
      </c>
      <c r="AU850" t="s">
        <v>1995</v>
      </c>
      <c r="AV850" t="s">
        <v>1996</v>
      </c>
      <c r="AW850" t="s">
        <v>1996</v>
      </c>
      <c r="AX850" t="s">
        <v>1194</v>
      </c>
      <c r="AY850" t="s">
        <v>1996</v>
      </c>
      <c r="AZ850">
        <v>2893</v>
      </c>
      <c r="BA850" t="s">
        <v>1194</v>
      </c>
      <c r="BB850" t="s">
        <v>1194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3856.75</v>
      </c>
      <c r="BK850" s="3">
        <v>110</v>
      </c>
      <c r="BL850" s="3">
        <v>3966.75</v>
      </c>
      <c r="BM850" s="2">
        <f t="shared" ca="1" si="27"/>
        <v>2</v>
      </c>
      <c r="BN850" s="3">
        <v>100000</v>
      </c>
      <c r="BO850" s="3">
        <v>1000000</v>
      </c>
      <c r="BP850" s="3">
        <v>50000</v>
      </c>
      <c r="BQ850" s="3">
        <v>50000</v>
      </c>
      <c r="BR850" s="3">
        <v>250000</v>
      </c>
      <c r="BS850">
        <v>100000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0</v>
      </c>
      <c r="BZ850" t="s">
        <v>2949</v>
      </c>
      <c r="CA850" t="s">
        <v>1194</v>
      </c>
      <c r="CB850" t="s">
        <v>2949</v>
      </c>
    </row>
    <row r="851" spans="1:80" x14ac:dyDescent="0.25">
      <c r="A851">
        <v>850</v>
      </c>
      <c r="B851" t="s">
        <v>2864</v>
      </c>
      <c r="C851" s="1">
        <v>44832</v>
      </c>
      <c r="D851">
        <v>12</v>
      </c>
      <c r="E851" t="s">
        <v>4</v>
      </c>
      <c r="F851" t="s">
        <v>1311</v>
      </c>
      <c r="G851">
        <v>0</v>
      </c>
      <c r="H851" s="3">
        <v>23824130</v>
      </c>
      <c r="I851" s="3">
        <v>3396277</v>
      </c>
      <c r="J851" s="3">
        <v>5450000</v>
      </c>
      <c r="K851" s="3">
        <v>4764826</v>
      </c>
      <c r="L851" t="s">
        <v>1191</v>
      </c>
      <c r="M851">
        <v>1403169</v>
      </c>
      <c r="N851" t="s">
        <v>1648</v>
      </c>
      <c r="P851" t="s">
        <v>1794</v>
      </c>
      <c r="Q851" t="s">
        <v>1254</v>
      </c>
      <c r="R851">
        <v>64113</v>
      </c>
      <c r="S851" t="s">
        <v>72</v>
      </c>
      <c r="T851" t="s">
        <v>965</v>
      </c>
      <c r="U851">
        <v>0</v>
      </c>
      <c r="V851">
        <v>3</v>
      </c>
      <c r="W851" t="s">
        <v>1194</v>
      </c>
      <c r="X851" t="s">
        <v>973</v>
      </c>
      <c r="Y851">
        <v>25000</v>
      </c>
      <c r="Z851" s="2">
        <v>0.99999874099999997</v>
      </c>
      <c r="AA851" s="2">
        <v>1</v>
      </c>
      <c r="AB851">
        <v>5.0000000000000001E-3</v>
      </c>
      <c r="AC851">
        <v>646</v>
      </c>
      <c r="AD851" t="s">
        <v>1280</v>
      </c>
      <c r="AE851">
        <v>1</v>
      </c>
      <c r="AF851" t="s">
        <v>1290</v>
      </c>
      <c r="AG851">
        <v>0</v>
      </c>
      <c r="AH851">
        <v>0</v>
      </c>
      <c r="AI851">
        <v>0</v>
      </c>
      <c r="AJ851">
        <v>1913</v>
      </c>
      <c r="AK851">
        <v>2021</v>
      </c>
      <c r="AL851">
        <v>2016</v>
      </c>
      <c r="AM851" s="4" t="s">
        <v>1238</v>
      </c>
      <c r="AN851">
        <v>1</v>
      </c>
      <c r="AO851" t="s">
        <v>1316</v>
      </c>
      <c r="AP851">
        <f t="shared" si="26"/>
        <v>0</v>
      </c>
      <c r="AQ851">
        <v>1</v>
      </c>
      <c r="AR851" t="s">
        <v>1992</v>
      </c>
      <c r="AS851" t="s">
        <v>1995</v>
      </c>
      <c r="AT851" t="s">
        <v>1995</v>
      </c>
      <c r="AU851" t="s">
        <v>1995</v>
      </c>
      <c r="AV851" t="s">
        <v>1996</v>
      </c>
      <c r="AW851" t="s">
        <v>1995</v>
      </c>
      <c r="AX851" t="s">
        <v>1194</v>
      </c>
      <c r="AY851" t="s">
        <v>1996</v>
      </c>
      <c r="AZ851">
        <v>8942</v>
      </c>
      <c r="BA851" t="s">
        <v>1194</v>
      </c>
      <c r="BB851" t="s">
        <v>1194</v>
      </c>
      <c r="BC851" s="3">
        <v>0</v>
      </c>
      <c r="BD851" s="3">
        <v>0</v>
      </c>
      <c r="BE851" s="3">
        <v>0</v>
      </c>
      <c r="BF851" s="3">
        <v>0</v>
      </c>
      <c r="BG851" s="3">
        <v>175</v>
      </c>
      <c r="BH851" s="3">
        <v>0</v>
      </c>
      <c r="BI851" s="3">
        <v>0</v>
      </c>
      <c r="BJ851" s="3">
        <v>122432.75</v>
      </c>
      <c r="BK851" s="3">
        <v>235</v>
      </c>
      <c r="BL851" s="3">
        <v>122667.75</v>
      </c>
      <c r="BM851" s="2">
        <f t="shared" ca="1" si="27"/>
        <v>3</v>
      </c>
      <c r="BN851" s="3">
        <v>1000000</v>
      </c>
      <c r="BO851" s="3">
        <v>20000</v>
      </c>
      <c r="BP851" s="3">
        <v>50000</v>
      </c>
      <c r="BQ851" s="3">
        <v>50000</v>
      </c>
      <c r="BR851" s="3">
        <v>250000</v>
      </c>
      <c r="BS851">
        <v>2000000</v>
      </c>
      <c r="BT851">
        <v>0</v>
      </c>
      <c r="BU851">
        <v>0</v>
      </c>
      <c r="BV851">
        <v>1</v>
      </c>
      <c r="BW851">
        <v>0</v>
      </c>
      <c r="BX851">
        <v>0</v>
      </c>
      <c r="BY851">
        <v>0</v>
      </c>
      <c r="BZ851" t="s">
        <v>2966</v>
      </c>
      <c r="CA851" t="s">
        <v>1194</v>
      </c>
      <c r="CB851" t="s">
        <v>2941</v>
      </c>
    </row>
    <row r="852" spans="1:80" x14ac:dyDescent="0.25">
      <c r="A852">
        <v>851</v>
      </c>
      <c r="B852" t="s">
        <v>2865</v>
      </c>
      <c r="C852" s="1">
        <v>44792</v>
      </c>
      <c r="D852">
        <v>39</v>
      </c>
      <c r="E852" t="s">
        <v>5</v>
      </c>
      <c r="F852" t="s">
        <v>1310</v>
      </c>
      <c r="G852">
        <v>1</v>
      </c>
      <c r="H852" s="3">
        <v>2289000</v>
      </c>
      <c r="I852" s="3">
        <v>457800</v>
      </c>
      <c r="J852" s="3">
        <v>1144500</v>
      </c>
      <c r="K852" s="3">
        <v>457800</v>
      </c>
      <c r="L852" t="s">
        <v>1191</v>
      </c>
      <c r="M852">
        <v>1738721</v>
      </c>
      <c r="N852" t="s">
        <v>1649</v>
      </c>
      <c r="P852" t="s">
        <v>1971</v>
      </c>
      <c r="Q852" t="s">
        <v>1249</v>
      </c>
      <c r="R852">
        <v>42103</v>
      </c>
      <c r="S852" t="s">
        <v>1761</v>
      </c>
      <c r="T852" t="s">
        <v>965</v>
      </c>
      <c r="U852">
        <v>0</v>
      </c>
      <c r="V852">
        <v>1</v>
      </c>
      <c r="W852" t="s">
        <v>1194</v>
      </c>
      <c r="X852" t="s">
        <v>973</v>
      </c>
      <c r="Y852">
        <v>10000</v>
      </c>
      <c r="Z852" s="2" t="s">
        <v>1194</v>
      </c>
      <c r="AA852" s="2">
        <v>1</v>
      </c>
      <c r="AB852" t="s">
        <v>1277</v>
      </c>
      <c r="AC852">
        <v>646</v>
      </c>
      <c r="AD852" t="s">
        <v>1284</v>
      </c>
      <c r="AE852">
        <v>1</v>
      </c>
      <c r="AF852" t="s">
        <v>1290</v>
      </c>
      <c r="AG852">
        <v>0</v>
      </c>
      <c r="AH852">
        <v>0</v>
      </c>
      <c r="AI852">
        <v>0</v>
      </c>
      <c r="AJ852">
        <v>1991</v>
      </c>
      <c r="AK852">
        <v>2021</v>
      </c>
      <c r="AL852">
        <v>2018</v>
      </c>
      <c r="AM852" s="4" t="s">
        <v>1304</v>
      </c>
      <c r="AN852">
        <v>1</v>
      </c>
      <c r="AO852" t="s">
        <v>1317</v>
      </c>
      <c r="AP852">
        <f t="shared" si="26"/>
        <v>0</v>
      </c>
      <c r="AQ852">
        <v>1</v>
      </c>
      <c r="AR852" t="s">
        <v>1992</v>
      </c>
      <c r="AS852" t="s">
        <v>1996</v>
      </c>
      <c r="AT852" t="s">
        <v>1996</v>
      </c>
      <c r="AU852" t="s">
        <v>1995</v>
      </c>
      <c r="AV852" t="s">
        <v>1995</v>
      </c>
      <c r="AW852" t="s">
        <v>1995</v>
      </c>
      <c r="AX852" t="s">
        <v>1194</v>
      </c>
      <c r="AY852" t="s">
        <v>1996</v>
      </c>
      <c r="AZ852">
        <v>7052</v>
      </c>
      <c r="BA852" t="s">
        <v>1194</v>
      </c>
      <c r="BB852" t="s">
        <v>1194</v>
      </c>
      <c r="BC852" s="3">
        <v>0</v>
      </c>
      <c r="BD852" s="3">
        <v>0</v>
      </c>
      <c r="BE852" s="3">
        <v>0</v>
      </c>
      <c r="BF852" s="3">
        <v>0</v>
      </c>
      <c r="BG852" s="3">
        <v>175</v>
      </c>
      <c r="BH852" s="3">
        <v>0</v>
      </c>
      <c r="BI852" s="3">
        <v>0</v>
      </c>
      <c r="BJ852" s="3">
        <v>8506.85</v>
      </c>
      <c r="BK852" s="3">
        <v>967.48</v>
      </c>
      <c r="BL852" s="3">
        <v>9474.33</v>
      </c>
      <c r="BM852" s="2">
        <f t="shared" ca="1" si="27"/>
        <v>0</v>
      </c>
      <c r="BN852" s="3">
        <v>250000</v>
      </c>
      <c r="BO852" s="3">
        <v>25000</v>
      </c>
      <c r="BP852" s="3">
        <v>200000</v>
      </c>
      <c r="BQ852" s="3">
        <v>250000</v>
      </c>
      <c r="BR852" s="3">
        <v>2000000</v>
      </c>
      <c r="BS852">
        <v>2000000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 t="s">
        <v>2959</v>
      </c>
      <c r="CA852" t="s">
        <v>1194</v>
      </c>
      <c r="CB852" t="s">
        <v>2949</v>
      </c>
    </row>
    <row r="853" spans="1:80" x14ac:dyDescent="0.25">
      <c r="A853">
        <v>852</v>
      </c>
      <c r="B853" t="s">
        <v>2866</v>
      </c>
      <c r="C853" s="1">
        <v>44947</v>
      </c>
      <c r="D853">
        <v>12</v>
      </c>
      <c r="E853" t="s">
        <v>6</v>
      </c>
      <c r="F853" t="s">
        <v>1310</v>
      </c>
      <c r="G853">
        <v>0</v>
      </c>
      <c r="H853" s="3">
        <v>0</v>
      </c>
      <c r="I853" s="3">
        <v>0</v>
      </c>
      <c r="J853" s="3">
        <v>2890680</v>
      </c>
      <c r="K853" s="3">
        <v>578136</v>
      </c>
      <c r="L853" t="s">
        <v>1192</v>
      </c>
      <c r="M853">
        <v>1838977</v>
      </c>
      <c r="N853" t="s">
        <v>1650</v>
      </c>
      <c r="O853" t="s">
        <v>1651</v>
      </c>
      <c r="P853" t="s">
        <v>1716</v>
      </c>
      <c r="Q853" t="s">
        <v>1241</v>
      </c>
      <c r="R853">
        <v>20007</v>
      </c>
      <c r="S853" t="s">
        <v>1815</v>
      </c>
      <c r="T853" t="s">
        <v>1194</v>
      </c>
      <c r="U853">
        <v>0</v>
      </c>
      <c r="V853">
        <v>1</v>
      </c>
      <c r="W853" t="s">
        <v>1194</v>
      </c>
      <c r="X853" t="s">
        <v>973</v>
      </c>
      <c r="Y853">
        <v>10000</v>
      </c>
      <c r="Z853" s="2" t="s">
        <v>1194</v>
      </c>
      <c r="AA853" s="2">
        <v>1</v>
      </c>
      <c r="AB853">
        <v>2500</v>
      </c>
      <c r="AC853">
        <v>880</v>
      </c>
      <c r="AD853" t="s">
        <v>1279</v>
      </c>
      <c r="AE853">
        <v>2</v>
      </c>
      <c r="AF853" t="s">
        <v>1291</v>
      </c>
      <c r="AG853">
        <v>0</v>
      </c>
      <c r="AH853">
        <v>0</v>
      </c>
      <c r="AI853">
        <v>0</v>
      </c>
      <c r="AJ853">
        <v>1984</v>
      </c>
      <c r="AK853" t="s">
        <v>1194</v>
      </c>
      <c r="AL853" t="s">
        <v>1194</v>
      </c>
      <c r="AM853" s="4" t="s">
        <v>1306</v>
      </c>
      <c r="AN853">
        <v>0</v>
      </c>
      <c r="AO853" t="s">
        <v>1317</v>
      </c>
      <c r="AP853">
        <f t="shared" si="26"/>
        <v>0</v>
      </c>
      <c r="AQ853">
        <v>0</v>
      </c>
      <c r="AR853" t="s">
        <v>1993</v>
      </c>
      <c r="AS853" t="s">
        <v>1995</v>
      </c>
      <c r="AT853" t="s">
        <v>1995</v>
      </c>
      <c r="AU853" t="s">
        <v>1996</v>
      </c>
      <c r="AV853" t="s">
        <v>1996</v>
      </c>
      <c r="AW853" t="s">
        <v>1996</v>
      </c>
      <c r="AX853" t="s">
        <v>1194</v>
      </c>
      <c r="AY853" t="s">
        <v>1996</v>
      </c>
      <c r="AZ853">
        <v>3148</v>
      </c>
      <c r="BA853" t="s">
        <v>1194</v>
      </c>
      <c r="BB853" t="s">
        <v>1194</v>
      </c>
      <c r="BC853" s="3">
        <v>0</v>
      </c>
      <c r="BD853" s="3">
        <v>0</v>
      </c>
      <c r="BE853" s="3">
        <v>0</v>
      </c>
      <c r="BF853" s="3">
        <v>0</v>
      </c>
      <c r="BG853" s="3">
        <v>150</v>
      </c>
      <c r="BH853" s="3">
        <v>0</v>
      </c>
      <c r="BI853" s="3">
        <v>0</v>
      </c>
      <c r="BJ853" s="3">
        <v>5586.76</v>
      </c>
      <c r="BK853" s="3">
        <v>-5</v>
      </c>
      <c r="BL853" s="3">
        <v>5581.76</v>
      </c>
      <c r="BM853" s="2">
        <f t="shared" ca="1" si="27"/>
        <v>6</v>
      </c>
      <c r="BN853" s="3" t="s">
        <v>2916</v>
      </c>
      <c r="BO853" s="3">
        <v>2000000</v>
      </c>
      <c r="BP853" s="3">
        <v>50000</v>
      </c>
      <c r="BQ853" s="3">
        <v>100000</v>
      </c>
      <c r="BR853" s="3">
        <v>2000000</v>
      </c>
      <c r="BS853" t="s">
        <v>2916</v>
      </c>
      <c r="BT853">
        <v>0</v>
      </c>
      <c r="BU853">
        <v>0</v>
      </c>
      <c r="BV853">
        <v>1</v>
      </c>
      <c r="BW853">
        <v>0</v>
      </c>
      <c r="BX853">
        <v>0</v>
      </c>
      <c r="BY853">
        <v>0</v>
      </c>
      <c r="BZ853" t="s">
        <v>1194</v>
      </c>
      <c r="CA853" t="s">
        <v>1194</v>
      </c>
      <c r="CB853" t="s">
        <v>1194</v>
      </c>
    </row>
    <row r="854" spans="1:80" x14ac:dyDescent="0.25">
      <c r="A854">
        <v>853</v>
      </c>
      <c r="B854" t="s">
        <v>2867</v>
      </c>
      <c r="C854" s="1">
        <v>44819</v>
      </c>
      <c r="D854">
        <v>45</v>
      </c>
      <c r="E854" t="s">
        <v>4</v>
      </c>
      <c r="F854" t="s">
        <v>1311</v>
      </c>
      <c r="G854">
        <v>1</v>
      </c>
      <c r="H854" s="3">
        <v>1362500</v>
      </c>
      <c r="I854" s="3">
        <v>119900</v>
      </c>
      <c r="J854" s="3">
        <v>0</v>
      </c>
      <c r="K854" s="3">
        <v>0</v>
      </c>
      <c r="L854" t="s">
        <v>1191</v>
      </c>
      <c r="M854">
        <v>1749768</v>
      </c>
      <c r="N854" t="s">
        <v>1652</v>
      </c>
      <c r="P854" t="s">
        <v>1972</v>
      </c>
      <c r="Q854" t="s">
        <v>1240</v>
      </c>
      <c r="R854">
        <v>6107</v>
      </c>
      <c r="S854" t="s">
        <v>1700</v>
      </c>
      <c r="T854" t="s">
        <v>965</v>
      </c>
      <c r="U854">
        <v>0</v>
      </c>
      <c r="V854">
        <v>41</v>
      </c>
      <c r="W854" t="s">
        <v>1194</v>
      </c>
      <c r="X854" t="s">
        <v>973</v>
      </c>
      <c r="Y854">
        <v>5000</v>
      </c>
      <c r="Z854" s="2">
        <v>5</v>
      </c>
      <c r="AA854" s="2" t="s">
        <v>1238</v>
      </c>
      <c r="AB854" t="s">
        <v>1238</v>
      </c>
      <c r="AC854">
        <v>903</v>
      </c>
      <c r="AD854" t="s">
        <v>1279</v>
      </c>
      <c r="AE854">
        <v>2</v>
      </c>
      <c r="AF854" t="s">
        <v>1290</v>
      </c>
      <c r="AG854">
        <v>0</v>
      </c>
      <c r="AH854">
        <v>0</v>
      </c>
      <c r="AI854">
        <v>0</v>
      </c>
      <c r="AJ854">
        <v>1941</v>
      </c>
      <c r="AK854" t="s">
        <v>1194</v>
      </c>
      <c r="AL854">
        <v>2005</v>
      </c>
      <c r="AM854" s="4" t="s">
        <v>1238</v>
      </c>
      <c r="AN854">
        <v>1</v>
      </c>
      <c r="AO854" t="s">
        <v>1315</v>
      </c>
      <c r="AP854">
        <f t="shared" si="26"/>
        <v>0</v>
      </c>
      <c r="AQ854">
        <v>1</v>
      </c>
      <c r="AR854" t="s">
        <v>1992</v>
      </c>
      <c r="AS854" t="s">
        <v>1995</v>
      </c>
      <c r="AT854" t="s">
        <v>1995</v>
      </c>
      <c r="AU854" t="s">
        <v>1996</v>
      </c>
      <c r="AV854" t="s">
        <v>1996</v>
      </c>
      <c r="AW854" t="s">
        <v>1995</v>
      </c>
      <c r="AX854" t="s">
        <v>2003</v>
      </c>
      <c r="AY854" t="s">
        <v>1996</v>
      </c>
      <c r="AZ854">
        <v>2450</v>
      </c>
      <c r="BA854" t="s">
        <v>1194</v>
      </c>
      <c r="BB854" t="s">
        <v>1194</v>
      </c>
      <c r="BC854" s="3">
        <v>0</v>
      </c>
      <c r="BD854" s="3">
        <v>0</v>
      </c>
      <c r="BE854" s="3">
        <v>0</v>
      </c>
      <c r="BF854" s="3">
        <v>0</v>
      </c>
      <c r="BG854" s="3">
        <v>115</v>
      </c>
      <c r="BH854" s="3">
        <v>0</v>
      </c>
      <c r="BI854" s="3">
        <v>0</v>
      </c>
      <c r="BJ854" s="3">
        <v>3558</v>
      </c>
      <c r="BK854" s="3">
        <v>240</v>
      </c>
      <c r="BL854" s="3">
        <v>3798</v>
      </c>
      <c r="BM854" s="2">
        <f t="shared" ca="1" si="27"/>
        <v>5</v>
      </c>
      <c r="BN854" s="3" t="s">
        <v>2916</v>
      </c>
      <c r="BO854" s="3">
        <v>1000000</v>
      </c>
      <c r="BP854" s="3">
        <v>100000</v>
      </c>
      <c r="BQ854" s="3">
        <v>100000</v>
      </c>
      <c r="BR854" s="3">
        <v>250000</v>
      </c>
      <c r="BS854">
        <v>100000</v>
      </c>
      <c r="BT854">
        <v>0</v>
      </c>
      <c r="BU854">
        <v>0</v>
      </c>
      <c r="BV854">
        <v>0</v>
      </c>
      <c r="BW854">
        <v>1</v>
      </c>
      <c r="BX854">
        <v>1</v>
      </c>
      <c r="BY854">
        <v>0</v>
      </c>
      <c r="BZ854" t="s">
        <v>2949</v>
      </c>
      <c r="CA854" t="s">
        <v>1194</v>
      </c>
      <c r="CB854" t="s">
        <v>2949</v>
      </c>
    </row>
    <row r="855" spans="1:80" x14ac:dyDescent="0.25">
      <c r="A855">
        <v>854</v>
      </c>
      <c r="B855" t="s">
        <v>2868</v>
      </c>
      <c r="C855" s="1">
        <v>44834</v>
      </c>
      <c r="D855">
        <v>12</v>
      </c>
      <c r="E855" t="s">
        <v>4</v>
      </c>
      <c r="F855" t="s">
        <v>1311</v>
      </c>
      <c r="G855">
        <v>0</v>
      </c>
      <c r="H855" s="3">
        <v>2485000</v>
      </c>
      <c r="I855" s="3">
        <v>327000</v>
      </c>
      <c r="J855" s="3">
        <v>109000</v>
      </c>
      <c r="K855" s="3">
        <v>497000</v>
      </c>
      <c r="L855" t="s">
        <v>1191</v>
      </c>
      <c r="M855">
        <v>1760513</v>
      </c>
      <c r="N855" t="s">
        <v>1653</v>
      </c>
      <c r="P855" t="s">
        <v>1915</v>
      </c>
      <c r="Q855" t="s">
        <v>1252</v>
      </c>
      <c r="R855">
        <v>48301</v>
      </c>
      <c r="S855" t="s">
        <v>1914</v>
      </c>
      <c r="T855" t="s">
        <v>965</v>
      </c>
      <c r="U855">
        <v>0</v>
      </c>
      <c r="V855">
        <v>5</v>
      </c>
      <c r="W855" t="s">
        <v>1194</v>
      </c>
      <c r="X855" t="s">
        <v>973</v>
      </c>
      <c r="Y855">
        <v>10000</v>
      </c>
      <c r="Z855" s="2" t="s">
        <v>1194</v>
      </c>
      <c r="AA855" s="2">
        <v>1</v>
      </c>
      <c r="AB855" t="s">
        <v>1277</v>
      </c>
      <c r="AC855">
        <v>868</v>
      </c>
      <c r="AD855" t="s">
        <v>1284</v>
      </c>
      <c r="AE855">
        <v>3</v>
      </c>
      <c r="AF855" t="s">
        <v>1290</v>
      </c>
      <c r="AG855">
        <v>1</v>
      </c>
      <c r="AH855">
        <v>0</v>
      </c>
      <c r="AI855">
        <v>1</v>
      </c>
      <c r="AJ855">
        <v>1954</v>
      </c>
      <c r="AK855" t="s">
        <v>1194</v>
      </c>
      <c r="AL855">
        <v>2019</v>
      </c>
      <c r="AM855" s="4" t="s">
        <v>1238</v>
      </c>
      <c r="AN855">
        <v>0</v>
      </c>
      <c r="AO855" t="s">
        <v>1315</v>
      </c>
      <c r="AP855">
        <f t="shared" si="26"/>
        <v>1</v>
      </c>
      <c r="AQ855">
        <v>0</v>
      </c>
      <c r="AR855" t="s">
        <v>1993</v>
      </c>
      <c r="AS855" t="s">
        <v>1995</v>
      </c>
      <c r="AT855" t="s">
        <v>1995</v>
      </c>
      <c r="AU855" t="s">
        <v>1995</v>
      </c>
      <c r="AV855" t="s">
        <v>1995</v>
      </c>
      <c r="AW855" t="s">
        <v>1996</v>
      </c>
      <c r="AX855" t="s">
        <v>1194</v>
      </c>
      <c r="AY855" t="s">
        <v>1996</v>
      </c>
      <c r="AZ855">
        <v>4837</v>
      </c>
      <c r="BA855" t="s">
        <v>1194</v>
      </c>
      <c r="BB855" t="s">
        <v>1194</v>
      </c>
      <c r="BC855" s="3">
        <v>0</v>
      </c>
      <c r="BD855" s="3">
        <v>0</v>
      </c>
      <c r="BE855" s="3">
        <v>0</v>
      </c>
      <c r="BF855" s="3">
        <v>0</v>
      </c>
      <c r="BG855" s="3">
        <v>150</v>
      </c>
      <c r="BH855" s="3">
        <v>0</v>
      </c>
      <c r="BI855" s="3">
        <v>0</v>
      </c>
      <c r="BJ855" s="3">
        <v>9043.35</v>
      </c>
      <c r="BK855" s="3">
        <v>610</v>
      </c>
      <c r="BL855" s="3">
        <v>9653.35</v>
      </c>
      <c r="BM855" s="2">
        <f t="shared" ca="1" si="27"/>
        <v>1</v>
      </c>
      <c r="BN855" s="3">
        <v>1000000</v>
      </c>
      <c r="BO855" s="3">
        <v>100000</v>
      </c>
      <c r="BP855" s="3">
        <v>100000</v>
      </c>
      <c r="BQ855" s="3">
        <v>50000</v>
      </c>
      <c r="BR855" s="3">
        <v>2000000</v>
      </c>
      <c r="BS855">
        <v>100000</v>
      </c>
      <c r="BT855">
        <v>0</v>
      </c>
      <c r="BU855">
        <v>0</v>
      </c>
      <c r="BV855">
        <v>1</v>
      </c>
      <c r="BW855">
        <v>0</v>
      </c>
      <c r="BX855">
        <v>0</v>
      </c>
      <c r="BY855">
        <v>0</v>
      </c>
      <c r="BZ855" t="s">
        <v>2958</v>
      </c>
      <c r="CA855" t="s">
        <v>1194</v>
      </c>
      <c r="CB855" t="s">
        <v>2945</v>
      </c>
    </row>
    <row r="856" spans="1:80" x14ac:dyDescent="0.25">
      <c r="A856">
        <v>855</v>
      </c>
      <c r="B856" t="s">
        <v>2869</v>
      </c>
      <c r="C856" s="1">
        <v>44819</v>
      </c>
      <c r="D856">
        <v>39</v>
      </c>
      <c r="E856" t="s">
        <v>5</v>
      </c>
      <c r="F856" t="s">
        <v>1310</v>
      </c>
      <c r="G856">
        <v>0</v>
      </c>
      <c r="H856" s="3">
        <v>1255000</v>
      </c>
      <c r="I856" s="3">
        <v>251000</v>
      </c>
      <c r="J856" s="3">
        <v>627500</v>
      </c>
      <c r="K856" s="3">
        <v>251000</v>
      </c>
      <c r="L856" t="s">
        <v>1191</v>
      </c>
      <c r="M856">
        <v>1761583</v>
      </c>
      <c r="N856" t="s">
        <v>1654</v>
      </c>
      <c r="P856" t="s">
        <v>1899</v>
      </c>
      <c r="Q856" t="s">
        <v>1262</v>
      </c>
      <c r="R856">
        <v>97214</v>
      </c>
      <c r="S856" t="s">
        <v>1900</v>
      </c>
      <c r="T856" t="s">
        <v>965</v>
      </c>
      <c r="U856">
        <v>0</v>
      </c>
      <c r="V856">
        <v>1</v>
      </c>
      <c r="W856" t="s">
        <v>1194</v>
      </c>
      <c r="X856" t="s">
        <v>973</v>
      </c>
      <c r="Y856">
        <v>10000</v>
      </c>
      <c r="Z856" s="2" t="s">
        <v>1194</v>
      </c>
      <c r="AA856" s="2" t="s">
        <v>1238</v>
      </c>
      <c r="AB856" t="s">
        <v>1238</v>
      </c>
      <c r="AC856">
        <v>935</v>
      </c>
      <c r="AD856" t="s">
        <v>1279</v>
      </c>
      <c r="AE856">
        <v>2</v>
      </c>
      <c r="AF856" t="s">
        <v>1290</v>
      </c>
      <c r="AG856">
        <v>0</v>
      </c>
      <c r="AH856">
        <v>0</v>
      </c>
      <c r="AI856">
        <v>0</v>
      </c>
      <c r="AJ856">
        <v>1925</v>
      </c>
      <c r="AK856">
        <v>2018</v>
      </c>
      <c r="AL856" t="s">
        <v>1194</v>
      </c>
      <c r="AM856" s="4" t="s">
        <v>1304</v>
      </c>
      <c r="AN856">
        <v>0</v>
      </c>
      <c r="AO856" t="s">
        <v>1316</v>
      </c>
      <c r="AP856">
        <f t="shared" si="26"/>
        <v>0</v>
      </c>
      <c r="AQ856">
        <v>0</v>
      </c>
      <c r="AR856" t="s">
        <v>1993</v>
      </c>
      <c r="AS856" t="s">
        <v>1996</v>
      </c>
      <c r="AT856" t="s">
        <v>1996</v>
      </c>
      <c r="AU856" t="s">
        <v>1995</v>
      </c>
      <c r="AV856" t="s">
        <v>1995</v>
      </c>
      <c r="AW856" t="s">
        <v>1995</v>
      </c>
      <c r="AX856" t="s">
        <v>1194</v>
      </c>
      <c r="AY856" t="s">
        <v>1996</v>
      </c>
      <c r="AZ856">
        <v>2156</v>
      </c>
      <c r="BA856" t="s">
        <v>1194</v>
      </c>
      <c r="BB856" t="s">
        <v>1194</v>
      </c>
      <c r="BC856" s="3">
        <v>0</v>
      </c>
      <c r="BD856" s="3">
        <v>306.61</v>
      </c>
      <c r="BE856" s="3">
        <v>0</v>
      </c>
      <c r="BF856" s="3">
        <v>306.61</v>
      </c>
      <c r="BG856" s="3">
        <v>210</v>
      </c>
      <c r="BH856" s="3">
        <v>0</v>
      </c>
      <c r="BI856" s="3">
        <v>0</v>
      </c>
      <c r="BJ856" s="3">
        <v>2229.42</v>
      </c>
      <c r="BK856" s="3">
        <v>360</v>
      </c>
      <c r="BL856" s="3">
        <v>2589.42</v>
      </c>
      <c r="BM856" s="2">
        <f t="shared" ca="1" si="27"/>
        <v>2</v>
      </c>
      <c r="BN856" s="3">
        <v>500000</v>
      </c>
      <c r="BO856" s="3">
        <v>1000000</v>
      </c>
      <c r="BP856" s="3">
        <v>50000</v>
      </c>
      <c r="BQ856" s="3">
        <v>1000000</v>
      </c>
      <c r="BR856" s="3">
        <v>100000</v>
      </c>
      <c r="BS856">
        <v>2000000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0</v>
      </c>
      <c r="BZ856" t="s">
        <v>2958</v>
      </c>
      <c r="CA856" t="s">
        <v>1194</v>
      </c>
      <c r="CB856" t="s">
        <v>2945</v>
      </c>
    </row>
    <row r="857" spans="1:80" x14ac:dyDescent="0.25">
      <c r="A857">
        <v>856</v>
      </c>
      <c r="B857" t="s">
        <v>2870</v>
      </c>
      <c r="C857" s="1">
        <v>44842</v>
      </c>
      <c r="D857">
        <v>15</v>
      </c>
      <c r="E857" t="s">
        <v>4</v>
      </c>
      <c r="F857" t="s">
        <v>1311</v>
      </c>
      <c r="G857">
        <v>0</v>
      </c>
      <c r="H857" s="3">
        <v>4835240</v>
      </c>
      <c r="I857" s="3">
        <v>236530</v>
      </c>
      <c r="J857" s="3">
        <v>272500</v>
      </c>
      <c r="K857" s="3">
        <v>0</v>
      </c>
      <c r="L857" t="s">
        <v>1191</v>
      </c>
      <c r="M857">
        <v>1775866</v>
      </c>
      <c r="N857" t="s">
        <v>1655</v>
      </c>
      <c r="P857" t="s">
        <v>1759</v>
      </c>
      <c r="Q857" t="s">
        <v>1266</v>
      </c>
      <c r="R857">
        <v>37215</v>
      </c>
      <c r="S857" t="s">
        <v>1760</v>
      </c>
      <c r="T857" t="s">
        <v>965</v>
      </c>
      <c r="U857">
        <v>0</v>
      </c>
      <c r="V857" t="s">
        <v>1989</v>
      </c>
      <c r="W857" t="s">
        <v>1194</v>
      </c>
      <c r="X857" t="s">
        <v>973</v>
      </c>
      <c r="Y857">
        <v>10000</v>
      </c>
      <c r="Z857" s="2" t="s">
        <v>1194</v>
      </c>
      <c r="AA857" s="2" t="s">
        <v>1238</v>
      </c>
      <c r="AB857" t="s">
        <v>1238</v>
      </c>
      <c r="AC857">
        <v>802</v>
      </c>
      <c r="AD857" t="s">
        <v>1279</v>
      </c>
      <c r="AE857">
        <v>3</v>
      </c>
      <c r="AF857" t="s">
        <v>1290</v>
      </c>
      <c r="AG857">
        <v>0</v>
      </c>
      <c r="AH857">
        <v>0</v>
      </c>
      <c r="AI857">
        <v>0</v>
      </c>
      <c r="AJ857">
        <v>1995</v>
      </c>
      <c r="AK857" t="s">
        <v>1194</v>
      </c>
      <c r="AL857">
        <v>2012</v>
      </c>
      <c r="AM857" s="4" t="s">
        <v>1238</v>
      </c>
      <c r="AN857">
        <v>1</v>
      </c>
      <c r="AO857" t="s">
        <v>1317</v>
      </c>
      <c r="AP857">
        <f t="shared" si="26"/>
        <v>0</v>
      </c>
      <c r="AQ857">
        <v>1</v>
      </c>
      <c r="AR857" t="s">
        <v>1992</v>
      </c>
      <c r="AS857" t="s">
        <v>1995</v>
      </c>
      <c r="AT857" t="s">
        <v>1996</v>
      </c>
      <c r="AU857" t="s">
        <v>1996</v>
      </c>
      <c r="AV857" t="s">
        <v>1996</v>
      </c>
      <c r="AW857" t="s">
        <v>1995</v>
      </c>
      <c r="AX857" t="s">
        <v>1194</v>
      </c>
      <c r="AY857" t="s">
        <v>1996</v>
      </c>
      <c r="AZ857">
        <v>9032</v>
      </c>
      <c r="BA857" t="s">
        <v>1194</v>
      </c>
      <c r="BB857" t="s">
        <v>1194</v>
      </c>
      <c r="BC857" s="3">
        <v>0</v>
      </c>
      <c r="BD857" s="3">
        <v>2511.9499999999998</v>
      </c>
      <c r="BE857" s="3">
        <v>0</v>
      </c>
      <c r="BF857" s="3">
        <v>0</v>
      </c>
      <c r="BG857" s="3">
        <v>175</v>
      </c>
      <c r="BH857" s="3">
        <v>0</v>
      </c>
      <c r="BI857" s="3">
        <v>0</v>
      </c>
      <c r="BJ857" s="3">
        <v>12510.2</v>
      </c>
      <c r="BK857" s="3">
        <v>651</v>
      </c>
      <c r="BL857" s="3">
        <v>13161.2</v>
      </c>
      <c r="BM857" s="2">
        <f t="shared" ca="1" si="27"/>
        <v>4</v>
      </c>
      <c r="BN857" s="3">
        <v>500000</v>
      </c>
      <c r="BO857" s="3">
        <v>25000</v>
      </c>
      <c r="BP857" s="3">
        <v>50000</v>
      </c>
      <c r="BQ857" s="3">
        <v>50000</v>
      </c>
      <c r="BR857" s="3">
        <v>250000</v>
      </c>
      <c r="BS857">
        <v>2000000</v>
      </c>
      <c r="BT857">
        <v>0</v>
      </c>
      <c r="BU857">
        <v>0</v>
      </c>
      <c r="BV857">
        <v>0</v>
      </c>
      <c r="BW857">
        <v>1</v>
      </c>
      <c r="BX857">
        <v>1</v>
      </c>
      <c r="BY857">
        <v>0</v>
      </c>
      <c r="BZ857" t="s">
        <v>2958</v>
      </c>
      <c r="CA857" t="s">
        <v>1194</v>
      </c>
      <c r="CB857" t="s">
        <v>2941</v>
      </c>
    </row>
    <row r="858" spans="1:80" x14ac:dyDescent="0.25">
      <c r="A858">
        <v>857</v>
      </c>
      <c r="B858" t="s">
        <v>2871</v>
      </c>
      <c r="C858" s="1">
        <v>44856</v>
      </c>
      <c r="D858">
        <v>12</v>
      </c>
      <c r="E858" t="s">
        <v>4</v>
      </c>
      <c r="F858" t="s">
        <v>1311</v>
      </c>
      <c r="G858">
        <v>0</v>
      </c>
      <c r="H858" s="3">
        <v>1635000</v>
      </c>
      <c r="I858" s="3">
        <v>218436</v>
      </c>
      <c r="J858" s="3">
        <v>546090</v>
      </c>
      <c r="K858" s="3">
        <v>327000</v>
      </c>
      <c r="L858" t="s">
        <v>1191</v>
      </c>
      <c r="M858">
        <v>1782845</v>
      </c>
      <c r="N858" t="s">
        <v>1656</v>
      </c>
      <c r="P858" t="s">
        <v>1973</v>
      </c>
      <c r="Q858" t="s">
        <v>1252</v>
      </c>
      <c r="R858">
        <v>48070</v>
      </c>
      <c r="S858" t="s">
        <v>1914</v>
      </c>
      <c r="T858" t="s">
        <v>965</v>
      </c>
      <c r="U858">
        <v>0</v>
      </c>
      <c r="V858">
        <v>5</v>
      </c>
      <c r="W858" t="s">
        <v>1194</v>
      </c>
      <c r="X858" t="s">
        <v>973</v>
      </c>
      <c r="Y858">
        <v>25000</v>
      </c>
      <c r="Z858" s="2" t="s">
        <v>1194</v>
      </c>
      <c r="AA858" s="2">
        <v>1</v>
      </c>
      <c r="AB858" t="s">
        <v>1277</v>
      </c>
      <c r="AC858">
        <v>822</v>
      </c>
      <c r="AD858" t="s">
        <v>1283</v>
      </c>
      <c r="AE858">
        <v>3</v>
      </c>
      <c r="AF858" t="s">
        <v>1290</v>
      </c>
      <c r="AG858">
        <v>0</v>
      </c>
      <c r="AH858">
        <v>0</v>
      </c>
      <c r="AI858">
        <v>0</v>
      </c>
      <c r="AJ858">
        <v>1927</v>
      </c>
      <c r="AK858" t="s">
        <v>1194</v>
      </c>
      <c r="AL858">
        <v>2000</v>
      </c>
      <c r="AM858" s="4" t="s">
        <v>1238</v>
      </c>
      <c r="AN858">
        <v>1</v>
      </c>
      <c r="AO858" t="s">
        <v>1317</v>
      </c>
      <c r="AP858">
        <f t="shared" si="26"/>
        <v>0</v>
      </c>
      <c r="AQ858">
        <v>0</v>
      </c>
      <c r="AR858" t="s">
        <v>1993</v>
      </c>
      <c r="AS858" t="s">
        <v>1995</v>
      </c>
      <c r="AT858" t="s">
        <v>1996</v>
      </c>
      <c r="AU858" t="s">
        <v>1996</v>
      </c>
      <c r="AV858" t="s">
        <v>1995</v>
      </c>
      <c r="AW858" t="s">
        <v>1996</v>
      </c>
      <c r="AX858" t="s">
        <v>1194</v>
      </c>
      <c r="AY858" t="s">
        <v>1996</v>
      </c>
      <c r="AZ858">
        <v>2957</v>
      </c>
      <c r="BA858" t="s">
        <v>1194</v>
      </c>
      <c r="BB858" t="s">
        <v>1194</v>
      </c>
      <c r="BC858" s="3">
        <v>0</v>
      </c>
      <c r="BD858" s="3">
        <v>0</v>
      </c>
      <c r="BE858" s="3">
        <v>0</v>
      </c>
      <c r="BF858" s="3">
        <v>0</v>
      </c>
      <c r="BG858" s="3">
        <v>200</v>
      </c>
      <c r="BH858" s="3">
        <v>0</v>
      </c>
      <c r="BI858" s="3">
        <v>0</v>
      </c>
      <c r="BJ858" s="3">
        <v>5638.49</v>
      </c>
      <c r="BK858" s="3">
        <v>315</v>
      </c>
      <c r="BL858" s="3">
        <v>5953.49</v>
      </c>
      <c r="BM858" s="2">
        <f t="shared" ca="1" si="27"/>
        <v>4</v>
      </c>
      <c r="BN858" s="3" t="s">
        <v>2916</v>
      </c>
      <c r="BO858" s="3">
        <v>25000</v>
      </c>
      <c r="BP858" s="3" t="s">
        <v>2922</v>
      </c>
      <c r="BQ858" s="3">
        <v>25000</v>
      </c>
      <c r="BR858" s="3">
        <v>50000</v>
      </c>
      <c r="BS858">
        <v>50000</v>
      </c>
      <c r="BT858">
        <v>0</v>
      </c>
      <c r="BU858">
        <v>0</v>
      </c>
      <c r="BV858">
        <v>1</v>
      </c>
      <c r="BW858">
        <v>0</v>
      </c>
      <c r="BX858">
        <v>0</v>
      </c>
      <c r="BY858">
        <v>0</v>
      </c>
      <c r="BZ858" t="s">
        <v>2960</v>
      </c>
      <c r="CA858" t="s">
        <v>1194</v>
      </c>
      <c r="CB858" t="s">
        <v>2945</v>
      </c>
    </row>
    <row r="859" spans="1:80" x14ac:dyDescent="0.25">
      <c r="A859">
        <v>858</v>
      </c>
      <c r="B859" t="s">
        <v>2872</v>
      </c>
      <c r="C859" s="1">
        <v>44876</v>
      </c>
      <c r="D859">
        <v>12</v>
      </c>
      <c r="E859" t="s">
        <v>4</v>
      </c>
      <c r="F859" t="s">
        <v>1311</v>
      </c>
      <c r="G859">
        <v>1</v>
      </c>
      <c r="H859" s="3">
        <v>4752400</v>
      </c>
      <c r="I859" s="3">
        <v>125000</v>
      </c>
      <c r="J859" s="3">
        <v>1495698</v>
      </c>
      <c r="K859" s="3">
        <v>950480</v>
      </c>
      <c r="L859" t="s">
        <v>1191</v>
      </c>
      <c r="M859">
        <v>1784948</v>
      </c>
      <c r="N859" t="s">
        <v>1657</v>
      </c>
      <c r="P859" t="s">
        <v>1974</v>
      </c>
      <c r="Q859" t="s">
        <v>1263</v>
      </c>
      <c r="R859">
        <v>19041</v>
      </c>
      <c r="S859" t="s">
        <v>1703</v>
      </c>
      <c r="T859" t="s">
        <v>965</v>
      </c>
      <c r="U859">
        <v>0</v>
      </c>
      <c r="V859">
        <v>13</v>
      </c>
      <c r="W859" t="s">
        <v>1194</v>
      </c>
      <c r="X859" t="s">
        <v>973</v>
      </c>
      <c r="Y859">
        <v>10000</v>
      </c>
      <c r="Z859" s="2" t="s">
        <v>1194</v>
      </c>
      <c r="AA859" s="2">
        <v>1</v>
      </c>
      <c r="AB859">
        <v>2.5000000000000001E-3</v>
      </c>
      <c r="AC859">
        <v>788</v>
      </c>
      <c r="AD859" t="s">
        <v>1280</v>
      </c>
      <c r="AE859">
        <v>4</v>
      </c>
      <c r="AF859" t="s">
        <v>1290</v>
      </c>
      <c r="AG859">
        <v>0</v>
      </c>
      <c r="AH859">
        <v>0</v>
      </c>
      <c r="AI859">
        <v>0</v>
      </c>
      <c r="AJ859">
        <v>1925</v>
      </c>
      <c r="AK859" t="s">
        <v>1194</v>
      </c>
      <c r="AL859">
        <v>2011</v>
      </c>
      <c r="AM859" s="4" t="s">
        <v>1238</v>
      </c>
      <c r="AN859">
        <v>0</v>
      </c>
      <c r="AO859" t="s">
        <v>1316</v>
      </c>
      <c r="AP859">
        <f t="shared" si="26"/>
        <v>0</v>
      </c>
      <c r="AQ859">
        <v>1</v>
      </c>
      <c r="AR859" t="s">
        <v>1992</v>
      </c>
      <c r="AS859" t="s">
        <v>1996</v>
      </c>
      <c r="AT859" t="s">
        <v>1996</v>
      </c>
      <c r="AU859" t="s">
        <v>1996</v>
      </c>
      <c r="AV859" t="s">
        <v>1996</v>
      </c>
      <c r="AW859" t="s">
        <v>1995</v>
      </c>
      <c r="AX859" t="s">
        <v>2003</v>
      </c>
      <c r="AY859" t="s">
        <v>1996</v>
      </c>
      <c r="AZ859">
        <v>6576</v>
      </c>
      <c r="BA859" t="s">
        <v>1194</v>
      </c>
      <c r="BB859" t="s">
        <v>1194</v>
      </c>
      <c r="BC859" s="3">
        <v>0</v>
      </c>
      <c r="BD859" s="3">
        <v>0</v>
      </c>
      <c r="BE859" s="3">
        <v>0</v>
      </c>
      <c r="BF859" s="3">
        <v>0</v>
      </c>
      <c r="BG859" s="3">
        <v>200</v>
      </c>
      <c r="BH859" s="3">
        <v>0</v>
      </c>
      <c r="BI859" s="3">
        <v>0</v>
      </c>
      <c r="BJ859" s="3">
        <v>11196.03</v>
      </c>
      <c r="BK859" s="3">
        <v>235</v>
      </c>
      <c r="BL859" s="3">
        <v>11431.03</v>
      </c>
      <c r="BM859" s="2">
        <f t="shared" ca="1" si="27"/>
        <v>2</v>
      </c>
      <c r="BN859" s="3" t="s">
        <v>2916</v>
      </c>
      <c r="BO859" s="3">
        <v>500000</v>
      </c>
      <c r="BP859" s="3">
        <v>200000</v>
      </c>
      <c r="BQ859" s="3">
        <v>100000</v>
      </c>
      <c r="BR859" s="3">
        <v>50000</v>
      </c>
      <c r="BS859">
        <v>50000</v>
      </c>
      <c r="BT859">
        <v>0</v>
      </c>
      <c r="BU859">
        <v>0</v>
      </c>
      <c r="BV859">
        <v>1</v>
      </c>
      <c r="BW859">
        <v>0</v>
      </c>
      <c r="BX859">
        <v>0</v>
      </c>
      <c r="BY859">
        <v>0</v>
      </c>
      <c r="BZ859" t="s">
        <v>2949</v>
      </c>
      <c r="CA859" t="s">
        <v>1194</v>
      </c>
      <c r="CB859" t="s">
        <v>2949</v>
      </c>
    </row>
    <row r="860" spans="1:80" x14ac:dyDescent="0.25">
      <c r="A860">
        <v>859</v>
      </c>
      <c r="B860" t="s">
        <v>2873</v>
      </c>
      <c r="C860" s="1">
        <v>44905</v>
      </c>
      <c r="D860">
        <v>45</v>
      </c>
      <c r="E860" t="s">
        <v>5</v>
      </c>
      <c r="F860" t="s">
        <v>1310</v>
      </c>
      <c r="G860">
        <v>1</v>
      </c>
      <c r="H860" s="3">
        <v>0</v>
      </c>
      <c r="I860" s="3">
        <v>0</v>
      </c>
      <c r="J860" s="3">
        <v>1090000</v>
      </c>
      <c r="K860" s="3">
        <v>0</v>
      </c>
      <c r="L860" t="s">
        <v>1192</v>
      </c>
      <c r="M860">
        <v>1795196</v>
      </c>
      <c r="N860" t="s">
        <v>1658</v>
      </c>
      <c r="O860" t="s">
        <v>1659</v>
      </c>
      <c r="P860" t="s">
        <v>1963</v>
      </c>
      <c r="Q860" t="s">
        <v>1240</v>
      </c>
      <c r="R860">
        <v>6870</v>
      </c>
      <c r="S860" t="s">
        <v>1706</v>
      </c>
      <c r="T860" t="s">
        <v>977</v>
      </c>
      <c r="U860">
        <v>0</v>
      </c>
      <c r="V860">
        <v>52</v>
      </c>
      <c r="W860" t="s">
        <v>1194</v>
      </c>
      <c r="X860" t="s">
        <v>973</v>
      </c>
      <c r="Y860">
        <v>10000</v>
      </c>
      <c r="Z860" s="2" t="s">
        <v>1194</v>
      </c>
      <c r="AA860" s="2" t="s">
        <v>1238</v>
      </c>
      <c r="AB860" t="s">
        <v>1238</v>
      </c>
      <c r="AC860">
        <v>844</v>
      </c>
      <c r="AD860" t="s">
        <v>1279</v>
      </c>
      <c r="AE860">
        <v>2</v>
      </c>
      <c r="AF860" t="s">
        <v>1290</v>
      </c>
      <c r="AG860">
        <v>0</v>
      </c>
      <c r="AH860">
        <v>0</v>
      </c>
      <c r="AI860">
        <v>0</v>
      </c>
      <c r="AJ860">
        <v>1990</v>
      </c>
      <c r="AK860">
        <v>1990</v>
      </c>
      <c r="AL860" t="s">
        <v>1194</v>
      </c>
      <c r="AM860" s="4" t="s">
        <v>1306</v>
      </c>
      <c r="AN860">
        <v>0</v>
      </c>
      <c r="AO860" t="s">
        <v>1315</v>
      </c>
      <c r="AP860">
        <f t="shared" si="26"/>
        <v>0</v>
      </c>
      <c r="AQ860">
        <v>0</v>
      </c>
      <c r="AR860" t="s">
        <v>1993</v>
      </c>
      <c r="AS860" t="s">
        <v>1996</v>
      </c>
      <c r="AT860" t="s">
        <v>1995</v>
      </c>
      <c r="AU860" t="s">
        <v>1996</v>
      </c>
      <c r="AV860" t="s">
        <v>1996</v>
      </c>
      <c r="AW860" t="s">
        <v>1995</v>
      </c>
      <c r="AX860" t="s">
        <v>1194</v>
      </c>
      <c r="AY860" t="s">
        <v>1996</v>
      </c>
      <c r="AZ860">
        <v>2325</v>
      </c>
      <c r="BA860" t="s">
        <v>1194</v>
      </c>
      <c r="BB860" t="s">
        <v>1194</v>
      </c>
      <c r="BC860" s="3">
        <v>0</v>
      </c>
      <c r="BD860" s="3">
        <v>0</v>
      </c>
      <c r="BE860" s="3">
        <v>0</v>
      </c>
      <c r="BF860" s="3">
        <v>0</v>
      </c>
      <c r="BG860" s="3">
        <v>160</v>
      </c>
      <c r="BH860" s="3">
        <v>0</v>
      </c>
      <c r="BI860" s="3">
        <v>0</v>
      </c>
      <c r="BJ860" s="3">
        <v>2558</v>
      </c>
      <c r="BK860" s="3">
        <v>245</v>
      </c>
      <c r="BL860" s="3">
        <v>2803</v>
      </c>
      <c r="BM860" s="2">
        <f t="shared" ca="1" si="27"/>
        <v>3</v>
      </c>
      <c r="BN860" s="3">
        <v>50000</v>
      </c>
      <c r="BO860" s="3">
        <v>25000</v>
      </c>
      <c r="BP860" s="3">
        <v>100000</v>
      </c>
      <c r="BQ860" s="3">
        <v>1000000</v>
      </c>
      <c r="BR860" s="3">
        <v>50000</v>
      </c>
      <c r="BS860">
        <v>500000</v>
      </c>
      <c r="BT860">
        <v>0</v>
      </c>
      <c r="BU860">
        <v>0</v>
      </c>
      <c r="BV860">
        <v>1</v>
      </c>
      <c r="BW860">
        <v>0</v>
      </c>
      <c r="BX860">
        <v>0</v>
      </c>
      <c r="BY860">
        <v>0</v>
      </c>
      <c r="BZ860" t="s">
        <v>1194</v>
      </c>
      <c r="CA860" t="s">
        <v>1194</v>
      </c>
      <c r="CB860" t="s">
        <v>1194</v>
      </c>
    </row>
    <row r="861" spans="1:80" x14ac:dyDescent="0.25">
      <c r="A861">
        <v>860</v>
      </c>
      <c r="B861" t="s">
        <v>2874</v>
      </c>
      <c r="C861" s="1">
        <v>44895</v>
      </c>
      <c r="D861">
        <v>12</v>
      </c>
      <c r="E861" t="s">
        <v>4</v>
      </c>
      <c r="F861" t="s">
        <v>1311</v>
      </c>
      <c r="G861">
        <v>1</v>
      </c>
      <c r="H861" s="3">
        <v>16508050</v>
      </c>
      <c r="I861" s="3">
        <v>1526000</v>
      </c>
      <c r="J861" s="3">
        <v>0</v>
      </c>
      <c r="K861" s="3">
        <v>3301610</v>
      </c>
      <c r="L861" t="s">
        <v>1191</v>
      </c>
      <c r="M861">
        <v>1805727</v>
      </c>
      <c r="N861" t="s">
        <v>1660</v>
      </c>
      <c r="P861" t="s">
        <v>1974</v>
      </c>
      <c r="Q861" t="s">
        <v>1263</v>
      </c>
      <c r="R861">
        <v>19041</v>
      </c>
      <c r="S861" t="s">
        <v>1703</v>
      </c>
      <c r="T861" t="s">
        <v>965</v>
      </c>
      <c r="U861">
        <v>0</v>
      </c>
      <c r="V861">
        <v>13</v>
      </c>
      <c r="W861" t="s">
        <v>1194</v>
      </c>
      <c r="X861" t="s">
        <v>973</v>
      </c>
      <c r="Y861">
        <v>10000</v>
      </c>
      <c r="Z861" s="2" t="s">
        <v>1194</v>
      </c>
      <c r="AA861" s="2">
        <v>1</v>
      </c>
      <c r="AB861" t="s">
        <v>1277</v>
      </c>
      <c r="AC861">
        <v>781</v>
      </c>
      <c r="AD861" t="s">
        <v>1280</v>
      </c>
      <c r="AE861">
        <v>3</v>
      </c>
      <c r="AF861" t="s">
        <v>1290</v>
      </c>
      <c r="AG861">
        <v>0</v>
      </c>
      <c r="AH861">
        <v>0</v>
      </c>
      <c r="AI861">
        <v>0</v>
      </c>
      <c r="AJ861">
        <v>1932</v>
      </c>
      <c r="AK861">
        <v>2016</v>
      </c>
      <c r="AL861">
        <v>1932</v>
      </c>
      <c r="AM861" s="4" t="s">
        <v>1238</v>
      </c>
      <c r="AN861">
        <v>0</v>
      </c>
      <c r="AO861" t="s">
        <v>1316</v>
      </c>
      <c r="AP861">
        <f t="shared" si="26"/>
        <v>0</v>
      </c>
      <c r="AQ861">
        <v>1</v>
      </c>
      <c r="AR861" t="s">
        <v>1992</v>
      </c>
      <c r="AS861" t="s">
        <v>1995</v>
      </c>
      <c r="AT861" t="s">
        <v>1995</v>
      </c>
      <c r="AU861" t="s">
        <v>1996</v>
      </c>
      <c r="AV861" t="s">
        <v>1995</v>
      </c>
      <c r="AW861" t="s">
        <v>1995</v>
      </c>
      <c r="AX861" t="s">
        <v>2003</v>
      </c>
      <c r="AY861" t="s">
        <v>1996</v>
      </c>
      <c r="AZ861">
        <v>13665</v>
      </c>
      <c r="BA861" t="s">
        <v>1194</v>
      </c>
      <c r="BB861" t="s">
        <v>1194</v>
      </c>
      <c r="BC861" s="3">
        <v>0</v>
      </c>
      <c r="BD861" s="3">
        <v>0</v>
      </c>
      <c r="BE861" s="3">
        <v>0</v>
      </c>
      <c r="BF861" s="3">
        <v>0</v>
      </c>
      <c r="BG861" s="3">
        <v>200</v>
      </c>
      <c r="BH861" s="3">
        <v>0</v>
      </c>
      <c r="BI861" s="3">
        <v>0</v>
      </c>
      <c r="BJ861" s="3">
        <v>24992.82</v>
      </c>
      <c r="BK861" s="3">
        <v>476</v>
      </c>
      <c r="BL861" s="3">
        <v>25468.82</v>
      </c>
      <c r="BM861" s="2">
        <f t="shared" ca="1" si="27"/>
        <v>5</v>
      </c>
      <c r="BN861" s="3">
        <v>1000000</v>
      </c>
      <c r="BO861" s="3">
        <v>500000</v>
      </c>
      <c r="BP861" s="3">
        <v>100000</v>
      </c>
      <c r="BQ861" s="3">
        <v>25000</v>
      </c>
      <c r="BR861" s="3">
        <v>100000</v>
      </c>
      <c r="BS861" t="s">
        <v>2916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 t="s">
        <v>2959</v>
      </c>
      <c r="CA861" t="s">
        <v>1194</v>
      </c>
      <c r="CB861" t="s">
        <v>2949</v>
      </c>
    </row>
    <row r="862" spans="1:80" x14ac:dyDescent="0.25">
      <c r="A862">
        <v>861</v>
      </c>
      <c r="B862" t="s">
        <v>2875</v>
      </c>
      <c r="C862" s="1">
        <v>44940</v>
      </c>
      <c r="D862">
        <v>6</v>
      </c>
      <c r="E862" t="s">
        <v>4</v>
      </c>
      <c r="F862" t="s">
        <v>1310</v>
      </c>
      <c r="G862">
        <v>0</v>
      </c>
      <c r="H862" s="3">
        <v>17440000</v>
      </c>
      <c r="I862" s="3">
        <v>545000</v>
      </c>
      <c r="J862" s="3">
        <v>3815000</v>
      </c>
      <c r="K862" s="3">
        <v>0</v>
      </c>
      <c r="L862" t="s">
        <v>1191</v>
      </c>
      <c r="M862">
        <v>1079722</v>
      </c>
      <c r="N862" t="s">
        <v>1661</v>
      </c>
      <c r="P862" t="s">
        <v>1822</v>
      </c>
      <c r="Q862" t="s">
        <v>1263</v>
      </c>
      <c r="R862">
        <v>19010</v>
      </c>
      <c r="S862" t="s">
        <v>1823</v>
      </c>
      <c r="T862" t="s">
        <v>965</v>
      </c>
      <c r="U862">
        <v>0</v>
      </c>
      <c r="V862">
        <v>6</v>
      </c>
      <c r="W862" t="s">
        <v>1194</v>
      </c>
      <c r="X862" t="s">
        <v>973</v>
      </c>
      <c r="Y862">
        <v>50000</v>
      </c>
      <c r="Z862" s="2" t="s">
        <v>1194</v>
      </c>
      <c r="AA862" s="2">
        <v>1</v>
      </c>
      <c r="AB862" t="s">
        <v>1277</v>
      </c>
      <c r="AC862">
        <v>714</v>
      </c>
      <c r="AD862" t="s">
        <v>1280</v>
      </c>
      <c r="AE862">
        <v>4</v>
      </c>
      <c r="AF862" t="s">
        <v>1290</v>
      </c>
      <c r="AG862">
        <v>0</v>
      </c>
      <c r="AH862">
        <v>0</v>
      </c>
      <c r="AI862">
        <v>0</v>
      </c>
      <c r="AJ862">
        <v>1910</v>
      </c>
      <c r="AK862" t="s">
        <v>1194</v>
      </c>
      <c r="AL862" t="s">
        <v>1194</v>
      </c>
      <c r="AM862" s="4" t="s">
        <v>1308</v>
      </c>
      <c r="AN862">
        <v>1</v>
      </c>
      <c r="AO862" t="s">
        <v>1315</v>
      </c>
      <c r="AP862">
        <f t="shared" si="26"/>
        <v>0</v>
      </c>
      <c r="AQ862">
        <v>0</v>
      </c>
      <c r="AR862" t="s">
        <v>1993</v>
      </c>
      <c r="AS862" t="s">
        <v>1995</v>
      </c>
      <c r="AT862" t="s">
        <v>1995</v>
      </c>
      <c r="AU862" t="s">
        <v>1996</v>
      </c>
      <c r="AV862" t="s">
        <v>1996</v>
      </c>
      <c r="AW862" t="s">
        <v>1996</v>
      </c>
      <c r="AX862" t="s">
        <v>2003</v>
      </c>
      <c r="AY862" t="s">
        <v>1996</v>
      </c>
      <c r="AZ862">
        <v>14156</v>
      </c>
      <c r="BA862" t="s">
        <v>1194</v>
      </c>
      <c r="BB862" t="s">
        <v>1194</v>
      </c>
      <c r="BC862" s="3">
        <v>0</v>
      </c>
      <c r="BD862" s="3">
        <v>0</v>
      </c>
      <c r="BE862" s="3">
        <v>0</v>
      </c>
      <c r="BF862" s="3">
        <v>0</v>
      </c>
      <c r="BG862" s="3">
        <v>200</v>
      </c>
      <c r="BH862" s="3">
        <v>0</v>
      </c>
      <c r="BI862" s="3">
        <v>0</v>
      </c>
      <c r="BJ862" s="3">
        <v>30231.119999999999</v>
      </c>
      <c r="BK862" s="3">
        <v>240</v>
      </c>
      <c r="BL862" s="3">
        <v>30471.119999999999</v>
      </c>
      <c r="BM862" s="2">
        <f t="shared" ca="1" si="27"/>
        <v>3</v>
      </c>
      <c r="BN862" s="3">
        <v>1000000</v>
      </c>
      <c r="BO862" s="3">
        <v>25000</v>
      </c>
      <c r="BP862" s="3">
        <v>50000</v>
      </c>
      <c r="BQ862" s="3">
        <v>1000000</v>
      </c>
      <c r="BR862" s="3">
        <v>500000</v>
      </c>
      <c r="BS862">
        <v>250000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0</v>
      </c>
      <c r="BZ862" t="s">
        <v>2959</v>
      </c>
      <c r="CA862" t="s">
        <v>1194</v>
      </c>
      <c r="CB862" t="s">
        <v>2941</v>
      </c>
    </row>
    <row r="863" spans="1:80" x14ac:dyDescent="0.25">
      <c r="A863">
        <v>862</v>
      </c>
      <c r="B863" t="s">
        <v>2876</v>
      </c>
      <c r="C863" s="1">
        <v>44789</v>
      </c>
      <c r="D863">
        <v>48</v>
      </c>
      <c r="E863" t="s">
        <v>4</v>
      </c>
      <c r="F863" t="s">
        <v>1311</v>
      </c>
      <c r="G863">
        <v>1</v>
      </c>
      <c r="H863" s="3">
        <v>1700000</v>
      </c>
      <c r="I863" s="3">
        <v>340000</v>
      </c>
      <c r="J863" s="3">
        <v>850000</v>
      </c>
      <c r="K863" s="3">
        <v>340000</v>
      </c>
      <c r="L863" t="s">
        <v>1191</v>
      </c>
      <c r="M863">
        <v>1964961</v>
      </c>
      <c r="N863" t="s">
        <v>1662</v>
      </c>
      <c r="P863" t="s">
        <v>1946</v>
      </c>
      <c r="Q863" t="s">
        <v>1270</v>
      </c>
      <c r="R863">
        <v>98077</v>
      </c>
      <c r="S863" t="s">
        <v>1796</v>
      </c>
      <c r="T863" t="s">
        <v>965</v>
      </c>
      <c r="U863">
        <v>0</v>
      </c>
      <c r="V863">
        <v>137</v>
      </c>
      <c r="W863" t="s">
        <v>1194</v>
      </c>
      <c r="X863" t="s">
        <v>973</v>
      </c>
      <c r="Y863">
        <v>10000</v>
      </c>
      <c r="Z863" s="2" t="s">
        <v>1194</v>
      </c>
      <c r="AA863" s="2" t="s">
        <v>1238</v>
      </c>
      <c r="AB863" t="s">
        <v>1238</v>
      </c>
      <c r="AC863" t="s">
        <v>1194</v>
      </c>
      <c r="AD863" t="s">
        <v>1279</v>
      </c>
      <c r="AE863">
        <v>4</v>
      </c>
      <c r="AF863" t="s">
        <v>1290</v>
      </c>
      <c r="AG863">
        <v>0</v>
      </c>
      <c r="AH863">
        <v>0</v>
      </c>
      <c r="AI863">
        <v>0</v>
      </c>
      <c r="AJ863">
        <v>1999</v>
      </c>
      <c r="AK863" t="s">
        <v>1194</v>
      </c>
      <c r="AL863">
        <v>1999</v>
      </c>
      <c r="AM863" s="4" t="s">
        <v>1238</v>
      </c>
      <c r="AN863">
        <v>0</v>
      </c>
      <c r="AO863" t="s">
        <v>1317</v>
      </c>
      <c r="AP863">
        <f t="shared" si="26"/>
        <v>0</v>
      </c>
      <c r="AQ863">
        <v>1</v>
      </c>
      <c r="AR863" t="s">
        <v>1992</v>
      </c>
      <c r="AS863" t="s">
        <v>1996</v>
      </c>
      <c r="AT863" t="s">
        <v>1995</v>
      </c>
      <c r="AU863" t="s">
        <v>1995</v>
      </c>
      <c r="AV863" t="s">
        <v>1995</v>
      </c>
      <c r="AW863" t="s">
        <v>1996</v>
      </c>
      <c r="AX863" t="s">
        <v>1194</v>
      </c>
      <c r="AY863" t="s">
        <v>1996</v>
      </c>
      <c r="AZ863">
        <v>3100</v>
      </c>
      <c r="BA863" t="s">
        <v>1194</v>
      </c>
      <c r="BB863" t="s">
        <v>2014</v>
      </c>
      <c r="BC863" s="3">
        <v>0</v>
      </c>
      <c r="BD863" s="3">
        <v>0</v>
      </c>
      <c r="BE863" s="3">
        <v>0</v>
      </c>
      <c r="BF863" s="3">
        <v>0</v>
      </c>
      <c r="BG863" s="3">
        <v>110</v>
      </c>
      <c r="BH863" s="3">
        <v>0</v>
      </c>
      <c r="BI863" s="3">
        <v>0</v>
      </c>
      <c r="BJ863" s="3">
        <v>4389.82</v>
      </c>
      <c r="BK863" s="3">
        <v>1883</v>
      </c>
      <c r="BL863" s="3">
        <v>6272.82</v>
      </c>
      <c r="BM863" s="2">
        <f t="shared" ca="1" si="27"/>
        <v>1</v>
      </c>
      <c r="BN863" s="3">
        <v>100000</v>
      </c>
      <c r="BO863" s="3">
        <v>2000000</v>
      </c>
      <c r="BP863" s="3">
        <v>200000</v>
      </c>
      <c r="BQ863" s="3">
        <v>100000</v>
      </c>
      <c r="BR863" s="3">
        <v>1000000</v>
      </c>
      <c r="BS863">
        <v>100000</v>
      </c>
      <c r="BT863">
        <v>0</v>
      </c>
      <c r="BU863">
        <v>1</v>
      </c>
      <c r="BV863">
        <v>1</v>
      </c>
      <c r="BW863">
        <v>0</v>
      </c>
      <c r="BX863">
        <v>0</v>
      </c>
      <c r="BY863">
        <v>0</v>
      </c>
      <c r="BZ863" t="s">
        <v>2949</v>
      </c>
      <c r="CA863" t="s">
        <v>1194</v>
      </c>
      <c r="CB863" t="s">
        <v>2941</v>
      </c>
    </row>
    <row r="864" spans="1:80" x14ac:dyDescent="0.25">
      <c r="A864">
        <v>863</v>
      </c>
      <c r="B864" t="s">
        <v>2877</v>
      </c>
      <c r="C864" s="1">
        <v>44694</v>
      </c>
      <c r="D864">
        <v>12</v>
      </c>
      <c r="E864" t="s">
        <v>4</v>
      </c>
      <c r="F864" t="s">
        <v>1311</v>
      </c>
      <c r="G864">
        <v>0</v>
      </c>
      <c r="H864" s="3">
        <v>0</v>
      </c>
      <c r="I864" s="3">
        <v>0</v>
      </c>
      <c r="J864" s="3">
        <v>850000</v>
      </c>
      <c r="K864" s="3">
        <v>0</v>
      </c>
      <c r="L864" t="s">
        <v>1192</v>
      </c>
      <c r="M864">
        <v>1835716</v>
      </c>
      <c r="N864" t="s">
        <v>1663</v>
      </c>
      <c r="P864" t="s">
        <v>1727</v>
      </c>
      <c r="Q864" t="s">
        <v>1240</v>
      </c>
      <c r="R864">
        <v>6840</v>
      </c>
      <c r="S864" t="s">
        <v>1706</v>
      </c>
      <c r="T864" t="s">
        <v>965</v>
      </c>
      <c r="U864">
        <v>0</v>
      </c>
      <c r="V864">
        <v>54</v>
      </c>
      <c r="W864" t="s">
        <v>1194</v>
      </c>
      <c r="X864" t="s">
        <v>973</v>
      </c>
      <c r="Y864">
        <v>10000</v>
      </c>
      <c r="Z864" s="2" t="s">
        <v>1194</v>
      </c>
      <c r="AA864" s="2" t="s">
        <v>1238</v>
      </c>
      <c r="AB864" t="s">
        <v>1238</v>
      </c>
      <c r="AC864">
        <v>756</v>
      </c>
      <c r="AD864" t="s">
        <v>1283</v>
      </c>
      <c r="AE864">
        <v>4</v>
      </c>
      <c r="AF864" t="s">
        <v>1290</v>
      </c>
      <c r="AG864">
        <v>0</v>
      </c>
      <c r="AH864">
        <v>0</v>
      </c>
      <c r="AI864">
        <v>0</v>
      </c>
      <c r="AJ864">
        <v>1964</v>
      </c>
      <c r="AK864">
        <v>2010</v>
      </c>
      <c r="AL864" t="s">
        <v>1194</v>
      </c>
      <c r="AM864" s="4" t="s">
        <v>1238</v>
      </c>
      <c r="AN864">
        <v>1</v>
      </c>
      <c r="AO864" t="s">
        <v>1315</v>
      </c>
      <c r="AP864">
        <f t="shared" si="26"/>
        <v>0</v>
      </c>
      <c r="AQ864">
        <v>0</v>
      </c>
      <c r="AR864" t="s">
        <v>1993</v>
      </c>
      <c r="AS864" t="s">
        <v>1995</v>
      </c>
      <c r="AT864" t="s">
        <v>1995</v>
      </c>
      <c r="AU864" t="s">
        <v>1996</v>
      </c>
      <c r="AV864" t="s">
        <v>1996</v>
      </c>
      <c r="AW864" t="s">
        <v>1996</v>
      </c>
      <c r="AX864" t="s">
        <v>1194</v>
      </c>
      <c r="AY864" t="s">
        <v>1996</v>
      </c>
      <c r="AZ864">
        <v>1750</v>
      </c>
      <c r="BA864" t="s">
        <v>1194</v>
      </c>
      <c r="BB864" t="s">
        <v>1194</v>
      </c>
      <c r="BC864" s="3">
        <v>0</v>
      </c>
      <c r="BD864" s="3">
        <v>0</v>
      </c>
      <c r="BE864" s="3">
        <v>0</v>
      </c>
      <c r="BF864" s="3">
        <v>0</v>
      </c>
      <c r="BG864" s="3">
        <v>115</v>
      </c>
      <c r="BH864" s="3">
        <v>0</v>
      </c>
      <c r="BI864" s="3">
        <v>0</v>
      </c>
      <c r="BJ864" s="3">
        <v>2616</v>
      </c>
      <c r="BK864" s="3">
        <v>-5</v>
      </c>
      <c r="BL864" s="3">
        <v>2611</v>
      </c>
      <c r="BM864" s="2">
        <f t="shared" ca="1" si="27"/>
        <v>2</v>
      </c>
      <c r="BN864" s="3">
        <v>1000000</v>
      </c>
      <c r="BO864" s="3">
        <v>250000</v>
      </c>
      <c r="BP864" s="3">
        <v>50000</v>
      </c>
      <c r="BQ864" s="3">
        <v>50000</v>
      </c>
      <c r="BR864" s="3" t="s">
        <v>2916</v>
      </c>
      <c r="BS864">
        <v>50000</v>
      </c>
      <c r="BT864">
        <v>0</v>
      </c>
      <c r="BU864">
        <v>0</v>
      </c>
      <c r="BV864">
        <v>0</v>
      </c>
      <c r="BW864">
        <v>1</v>
      </c>
      <c r="BX864">
        <v>1</v>
      </c>
      <c r="BY864">
        <v>0</v>
      </c>
      <c r="BZ864" t="s">
        <v>1194</v>
      </c>
      <c r="CA864" t="s">
        <v>1194</v>
      </c>
      <c r="CB864" t="s">
        <v>1194</v>
      </c>
    </row>
    <row r="865" spans="1:80" x14ac:dyDescent="0.25">
      <c r="A865">
        <v>864</v>
      </c>
      <c r="B865" t="s">
        <v>2878</v>
      </c>
      <c r="C865" s="1">
        <v>44650</v>
      </c>
      <c r="D865">
        <v>18</v>
      </c>
      <c r="E865" t="s">
        <v>4</v>
      </c>
      <c r="F865" t="s">
        <v>1311</v>
      </c>
      <c r="G865">
        <v>0</v>
      </c>
      <c r="H865" s="3">
        <v>1650000</v>
      </c>
      <c r="I865" s="3">
        <v>140000</v>
      </c>
      <c r="J865" s="3">
        <v>700000</v>
      </c>
      <c r="K865" s="3">
        <v>0</v>
      </c>
      <c r="L865" t="s">
        <v>1191</v>
      </c>
      <c r="M865">
        <v>1876595</v>
      </c>
      <c r="N865" t="s">
        <v>1664</v>
      </c>
      <c r="P865" t="s">
        <v>1872</v>
      </c>
      <c r="Q865" t="s">
        <v>1267</v>
      </c>
      <c r="R865">
        <v>84098</v>
      </c>
      <c r="S865" t="s">
        <v>1854</v>
      </c>
      <c r="T865" t="s">
        <v>965</v>
      </c>
      <c r="U865">
        <v>0</v>
      </c>
      <c r="V865">
        <v>1</v>
      </c>
      <c r="W865" t="s">
        <v>1194</v>
      </c>
      <c r="X865" t="s">
        <v>973</v>
      </c>
      <c r="Y865">
        <v>10000</v>
      </c>
      <c r="Z865" s="2" t="s">
        <v>1194</v>
      </c>
      <c r="AA865" s="2" t="s">
        <v>1238</v>
      </c>
      <c r="AB865" t="s">
        <v>1238</v>
      </c>
      <c r="AC865">
        <v>870</v>
      </c>
      <c r="AD865" t="s">
        <v>1279</v>
      </c>
      <c r="AE865">
        <v>3</v>
      </c>
      <c r="AF865" t="s">
        <v>1290</v>
      </c>
      <c r="AG865">
        <v>0</v>
      </c>
      <c r="AH865">
        <v>0</v>
      </c>
      <c r="AI865">
        <v>0</v>
      </c>
      <c r="AJ865">
        <v>1994</v>
      </c>
      <c r="AK865">
        <v>2022</v>
      </c>
      <c r="AL865">
        <v>2019</v>
      </c>
      <c r="AM865" s="4" t="s">
        <v>1238</v>
      </c>
      <c r="AN865">
        <v>0</v>
      </c>
      <c r="AO865" t="s">
        <v>1316</v>
      </c>
      <c r="AP865">
        <f t="shared" si="26"/>
        <v>0</v>
      </c>
      <c r="AQ865">
        <v>0</v>
      </c>
      <c r="AR865" t="s">
        <v>1993</v>
      </c>
      <c r="AS865" t="s">
        <v>1995</v>
      </c>
      <c r="AT865" t="s">
        <v>1996</v>
      </c>
      <c r="AU865" t="s">
        <v>1995</v>
      </c>
      <c r="AV865" t="s">
        <v>1996</v>
      </c>
      <c r="AW865" t="s">
        <v>1995</v>
      </c>
      <c r="AX865" t="s">
        <v>1194</v>
      </c>
      <c r="AY865" t="s">
        <v>1996</v>
      </c>
      <c r="AZ865">
        <v>2710</v>
      </c>
      <c r="BA865" t="s">
        <v>1194</v>
      </c>
      <c r="BB865" t="s">
        <v>2014</v>
      </c>
      <c r="BC865" s="3">
        <v>0</v>
      </c>
      <c r="BD865" s="3">
        <v>243.81</v>
      </c>
      <c r="BE865" s="3">
        <v>0</v>
      </c>
      <c r="BF865" s="3">
        <v>243.81</v>
      </c>
      <c r="BG865" s="3">
        <v>150</v>
      </c>
      <c r="BH865" s="3">
        <v>0</v>
      </c>
      <c r="BI865" s="3">
        <v>0</v>
      </c>
      <c r="BJ865" s="3">
        <v>3527.47</v>
      </c>
      <c r="BK865" s="3">
        <v>420</v>
      </c>
      <c r="BL865" s="3">
        <v>3947.47</v>
      </c>
      <c r="BM865" s="2">
        <f t="shared" ca="1" si="27"/>
        <v>2</v>
      </c>
      <c r="BN865" s="3">
        <v>500000</v>
      </c>
      <c r="BO865" s="3">
        <v>25000</v>
      </c>
      <c r="BP865" s="3">
        <v>200000</v>
      </c>
      <c r="BQ865" s="3">
        <v>1000000</v>
      </c>
      <c r="BR865" s="3">
        <v>1000000</v>
      </c>
      <c r="BS865">
        <v>1000000</v>
      </c>
      <c r="BT865">
        <v>0</v>
      </c>
      <c r="BU865">
        <v>0</v>
      </c>
      <c r="BV865">
        <v>1</v>
      </c>
      <c r="BW865">
        <v>0</v>
      </c>
      <c r="BX865">
        <v>0</v>
      </c>
      <c r="BY865">
        <v>0</v>
      </c>
      <c r="BZ865" t="s">
        <v>2958</v>
      </c>
      <c r="CA865" t="s">
        <v>1194</v>
      </c>
      <c r="CB865" t="s">
        <v>2941</v>
      </c>
    </row>
    <row r="866" spans="1:80" x14ac:dyDescent="0.25">
      <c r="A866">
        <v>865</v>
      </c>
      <c r="B866" t="s">
        <v>2879</v>
      </c>
      <c r="C866" s="1">
        <v>44631</v>
      </c>
      <c r="D866">
        <v>12</v>
      </c>
      <c r="E866" t="s">
        <v>4</v>
      </c>
      <c r="F866" t="s">
        <v>1311</v>
      </c>
      <c r="G866">
        <v>1</v>
      </c>
      <c r="H866" s="3">
        <v>2000000</v>
      </c>
      <c r="I866" s="3">
        <v>200000</v>
      </c>
      <c r="J866" s="3">
        <v>405000</v>
      </c>
      <c r="K866" s="3">
        <v>400000</v>
      </c>
      <c r="L866" t="s">
        <v>1191</v>
      </c>
      <c r="M866">
        <v>1887824</v>
      </c>
      <c r="N866" t="s">
        <v>1665</v>
      </c>
      <c r="P866" t="s">
        <v>1975</v>
      </c>
      <c r="Q866" t="s">
        <v>1271</v>
      </c>
      <c r="R866">
        <v>53211</v>
      </c>
      <c r="S866" t="s">
        <v>1864</v>
      </c>
      <c r="T866" t="s">
        <v>965</v>
      </c>
      <c r="U866">
        <v>0</v>
      </c>
      <c r="V866">
        <v>1</v>
      </c>
      <c r="W866" t="s">
        <v>1194</v>
      </c>
      <c r="X866" t="s">
        <v>973</v>
      </c>
      <c r="Y866">
        <v>10000</v>
      </c>
      <c r="Z866" s="2" t="s">
        <v>1194</v>
      </c>
      <c r="AA866" s="2">
        <v>1</v>
      </c>
      <c r="AB866" t="s">
        <v>1277</v>
      </c>
      <c r="AC866">
        <v>831</v>
      </c>
      <c r="AD866" t="s">
        <v>1279</v>
      </c>
      <c r="AE866">
        <v>2</v>
      </c>
      <c r="AF866" t="s">
        <v>1290</v>
      </c>
      <c r="AG866">
        <v>0</v>
      </c>
      <c r="AH866">
        <v>0</v>
      </c>
      <c r="AI866">
        <v>0</v>
      </c>
      <c r="AJ866">
        <v>1945</v>
      </c>
      <c r="AK866">
        <v>2005</v>
      </c>
      <c r="AL866">
        <v>2013</v>
      </c>
      <c r="AM866" s="4" t="s">
        <v>1238</v>
      </c>
      <c r="AN866">
        <v>1</v>
      </c>
      <c r="AO866" t="s">
        <v>1317</v>
      </c>
      <c r="AP866">
        <f t="shared" si="26"/>
        <v>0</v>
      </c>
      <c r="AQ866">
        <v>1</v>
      </c>
      <c r="AR866" t="s">
        <v>1992</v>
      </c>
      <c r="AS866" t="s">
        <v>1996</v>
      </c>
      <c r="AT866" t="s">
        <v>1996</v>
      </c>
      <c r="AU866" t="s">
        <v>1996</v>
      </c>
      <c r="AV866" t="s">
        <v>1995</v>
      </c>
      <c r="AW866" t="s">
        <v>1996</v>
      </c>
      <c r="AX866" t="s">
        <v>1194</v>
      </c>
      <c r="AY866" t="s">
        <v>1996</v>
      </c>
      <c r="AZ866">
        <v>4333</v>
      </c>
      <c r="BA866" t="s">
        <v>1194</v>
      </c>
      <c r="BB866" t="s">
        <v>1194</v>
      </c>
      <c r="BC866" s="3">
        <v>0</v>
      </c>
      <c r="BD866" s="3">
        <v>0</v>
      </c>
      <c r="BE866" s="3">
        <v>0</v>
      </c>
      <c r="BF866" s="3">
        <v>0</v>
      </c>
      <c r="BG866" s="3">
        <v>175</v>
      </c>
      <c r="BH866" s="3">
        <v>0</v>
      </c>
      <c r="BI866" s="3">
        <v>0</v>
      </c>
      <c r="BJ866" s="3">
        <v>2849.79</v>
      </c>
      <c r="BK866" s="3">
        <v>235</v>
      </c>
      <c r="BL866" s="3">
        <v>3084.79</v>
      </c>
      <c r="BM866" s="2">
        <f t="shared" ca="1" si="27"/>
        <v>3</v>
      </c>
      <c r="BN866" s="3" t="s">
        <v>2916</v>
      </c>
      <c r="BO866" s="3">
        <v>250000</v>
      </c>
      <c r="BP866" s="3">
        <v>100000</v>
      </c>
      <c r="BQ866" s="3">
        <v>500000</v>
      </c>
      <c r="BR866" s="3">
        <v>100000</v>
      </c>
      <c r="BS866">
        <v>500000</v>
      </c>
      <c r="BT866">
        <v>0</v>
      </c>
      <c r="BU866">
        <v>0</v>
      </c>
      <c r="BV866">
        <v>1</v>
      </c>
      <c r="BW866">
        <v>0</v>
      </c>
      <c r="BX866">
        <v>0</v>
      </c>
      <c r="BY866">
        <v>0</v>
      </c>
      <c r="BZ866" t="s">
        <v>2960</v>
      </c>
      <c r="CA866" t="s">
        <v>1194</v>
      </c>
      <c r="CB866" t="s">
        <v>2949</v>
      </c>
    </row>
    <row r="867" spans="1:80" x14ac:dyDescent="0.25">
      <c r="A867">
        <v>866</v>
      </c>
      <c r="B867" t="s">
        <v>2880</v>
      </c>
      <c r="C867" s="1">
        <v>44658</v>
      </c>
      <c r="D867">
        <v>48</v>
      </c>
      <c r="E867" t="s">
        <v>5</v>
      </c>
      <c r="F867" t="s">
        <v>1310</v>
      </c>
      <c r="G867">
        <v>0</v>
      </c>
      <c r="H867" s="3">
        <v>2833364</v>
      </c>
      <c r="I867" s="3">
        <v>150000</v>
      </c>
      <c r="J867" s="3">
        <v>1416682</v>
      </c>
      <c r="K867" s="3">
        <v>566672.80000000005</v>
      </c>
      <c r="L867" t="s">
        <v>1191</v>
      </c>
      <c r="M867">
        <v>1870241</v>
      </c>
      <c r="N867" t="s">
        <v>1666</v>
      </c>
      <c r="P867" t="s">
        <v>105</v>
      </c>
      <c r="Q867" t="s">
        <v>1266</v>
      </c>
      <c r="R867">
        <v>37064</v>
      </c>
      <c r="S867" t="s">
        <v>1789</v>
      </c>
      <c r="T867" t="s">
        <v>965</v>
      </c>
      <c r="U867">
        <v>0</v>
      </c>
      <c r="V867">
        <v>6</v>
      </c>
      <c r="W867" t="s">
        <v>1194</v>
      </c>
      <c r="X867" t="s">
        <v>973</v>
      </c>
      <c r="Y867">
        <v>10000</v>
      </c>
      <c r="Z867" s="2" t="s">
        <v>1194</v>
      </c>
      <c r="AA867" s="2" t="s">
        <v>1238</v>
      </c>
      <c r="AB867" t="s">
        <v>1238</v>
      </c>
      <c r="AC867">
        <v>874</v>
      </c>
      <c r="AD867" t="s">
        <v>1284</v>
      </c>
      <c r="AE867">
        <v>1</v>
      </c>
      <c r="AF867" t="s">
        <v>1290</v>
      </c>
      <c r="AG867">
        <v>0</v>
      </c>
      <c r="AH867">
        <v>1</v>
      </c>
      <c r="AI867">
        <v>1</v>
      </c>
      <c r="AJ867">
        <v>2006</v>
      </c>
      <c r="AK867" t="s">
        <v>1194</v>
      </c>
      <c r="AL867">
        <v>2021</v>
      </c>
      <c r="AM867" s="4" t="s">
        <v>1305</v>
      </c>
      <c r="AN867">
        <v>1</v>
      </c>
      <c r="AO867" t="s">
        <v>1315</v>
      </c>
      <c r="AP867">
        <f t="shared" si="26"/>
        <v>1</v>
      </c>
      <c r="AQ867">
        <v>0</v>
      </c>
      <c r="AR867" t="s">
        <v>1993</v>
      </c>
      <c r="AS867" t="s">
        <v>1995</v>
      </c>
      <c r="AT867" t="s">
        <v>1996</v>
      </c>
      <c r="AU867" t="s">
        <v>1996</v>
      </c>
      <c r="AV867" t="s">
        <v>1995</v>
      </c>
      <c r="AW867" t="s">
        <v>1995</v>
      </c>
      <c r="AX867" t="s">
        <v>1194</v>
      </c>
      <c r="AY867" t="s">
        <v>1996</v>
      </c>
      <c r="AZ867">
        <v>7177</v>
      </c>
      <c r="BA867" t="s">
        <v>1194</v>
      </c>
      <c r="BB867" t="s">
        <v>1194</v>
      </c>
      <c r="BC867" s="3">
        <v>0</v>
      </c>
      <c r="BD867" s="3">
        <v>785.11</v>
      </c>
      <c r="BE867" s="3">
        <v>0</v>
      </c>
      <c r="BF867" s="3">
        <v>0</v>
      </c>
      <c r="BG867" s="3">
        <v>175</v>
      </c>
      <c r="BH867" s="3">
        <v>0</v>
      </c>
      <c r="BI867" s="3">
        <v>0</v>
      </c>
      <c r="BJ867" s="3">
        <v>3705.12</v>
      </c>
      <c r="BK867" s="3">
        <v>2643.36</v>
      </c>
      <c r="BL867" s="3">
        <v>6348.48</v>
      </c>
      <c r="BM867" s="2">
        <f t="shared" ca="1" si="27"/>
        <v>6</v>
      </c>
      <c r="BN867" s="3" t="s">
        <v>2916</v>
      </c>
      <c r="BO867" s="3">
        <v>250000</v>
      </c>
      <c r="BP867" s="3">
        <v>50000</v>
      </c>
      <c r="BQ867" s="3">
        <v>500000</v>
      </c>
      <c r="BR867" s="3">
        <v>50000</v>
      </c>
      <c r="BS867">
        <v>100000</v>
      </c>
      <c r="BT867">
        <v>0</v>
      </c>
      <c r="BU867">
        <v>1</v>
      </c>
      <c r="BV867">
        <v>1</v>
      </c>
      <c r="BW867">
        <v>0</v>
      </c>
      <c r="BX867">
        <v>0</v>
      </c>
      <c r="BY867">
        <v>0</v>
      </c>
      <c r="BZ867" t="s">
        <v>2958</v>
      </c>
      <c r="CA867" t="s">
        <v>1194</v>
      </c>
      <c r="CB867" t="s">
        <v>2941</v>
      </c>
    </row>
    <row r="868" spans="1:80" x14ac:dyDescent="0.25">
      <c r="A868">
        <v>867</v>
      </c>
      <c r="B868" t="s">
        <v>2881</v>
      </c>
      <c r="C868" s="1">
        <v>44652</v>
      </c>
      <c r="D868">
        <v>12</v>
      </c>
      <c r="E868" t="s">
        <v>4</v>
      </c>
      <c r="F868" t="s">
        <v>1311</v>
      </c>
      <c r="G868">
        <v>0</v>
      </c>
      <c r="H868" s="3">
        <v>6000000</v>
      </c>
      <c r="I868" s="3">
        <v>1200000</v>
      </c>
      <c r="J868" s="3">
        <v>3000000</v>
      </c>
      <c r="K868" s="3">
        <v>0</v>
      </c>
      <c r="L868" t="s">
        <v>1191</v>
      </c>
      <c r="M868">
        <v>503751</v>
      </c>
      <c r="N868" t="s">
        <v>1667</v>
      </c>
      <c r="P868" t="s">
        <v>1781</v>
      </c>
      <c r="Q868" t="s">
        <v>1246</v>
      </c>
      <c r="R868">
        <v>60093</v>
      </c>
      <c r="S868" t="s">
        <v>1734</v>
      </c>
      <c r="T868" t="s">
        <v>965</v>
      </c>
      <c r="U868">
        <v>0</v>
      </c>
      <c r="V868">
        <v>7</v>
      </c>
      <c r="W868" t="s">
        <v>1194</v>
      </c>
      <c r="X868" t="s">
        <v>973</v>
      </c>
      <c r="Y868">
        <v>10000</v>
      </c>
      <c r="Z868" s="2" t="s">
        <v>1194</v>
      </c>
      <c r="AA868" s="2">
        <v>0</v>
      </c>
      <c r="AB868" t="s">
        <v>1238</v>
      </c>
      <c r="AC868">
        <v>716</v>
      </c>
      <c r="AD868" t="s">
        <v>1284</v>
      </c>
      <c r="AE868">
        <v>3</v>
      </c>
      <c r="AF868" t="s">
        <v>1290</v>
      </c>
      <c r="AG868">
        <v>0</v>
      </c>
      <c r="AH868">
        <v>0</v>
      </c>
      <c r="AI868">
        <v>0</v>
      </c>
      <c r="AJ868">
        <v>2004</v>
      </c>
      <c r="AK868" t="s">
        <v>1194</v>
      </c>
      <c r="AL868" t="s">
        <v>1194</v>
      </c>
      <c r="AM868" s="4" t="s">
        <v>1238</v>
      </c>
      <c r="AN868">
        <v>0</v>
      </c>
      <c r="AO868" t="s">
        <v>1317</v>
      </c>
      <c r="AP868">
        <f t="shared" si="26"/>
        <v>0</v>
      </c>
      <c r="AQ868">
        <v>0</v>
      </c>
      <c r="AR868" t="s">
        <v>1993</v>
      </c>
      <c r="AS868" t="s">
        <v>1995</v>
      </c>
      <c r="AT868" t="s">
        <v>1995</v>
      </c>
      <c r="AU868" t="s">
        <v>1995</v>
      </c>
      <c r="AV868" t="s">
        <v>1995</v>
      </c>
      <c r="AW868" t="s">
        <v>1996</v>
      </c>
      <c r="AX868" t="s">
        <v>1194</v>
      </c>
      <c r="AY868" t="s">
        <v>1996</v>
      </c>
      <c r="AZ868">
        <v>11390</v>
      </c>
      <c r="BA868" t="s">
        <v>1194</v>
      </c>
      <c r="BB868" t="s">
        <v>1194</v>
      </c>
      <c r="BC868" s="3">
        <v>0</v>
      </c>
      <c r="BD868" s="3">
        <v>0</v>
      </c>
      <c r="BE868" s="3">
        <v>0</v>
      </c>
      <c r="BF868" s="3">
        <v>0</v>
      </c>
      <c r="BG868" s="3">
        <v>210</v>
      </c>
      <c r="BH868" s="3">
        <v>0</v>
      </c>
      <c r="BI868" s="3">
        <v>0</v>
      </c>
      <c r="BJ868" s="3">
        <v>15334.21</v>
      </c>
      <c r="BK868" s="3">
        <v>1064</v>
      </c>
      <c r="BL868" s="3">
        <v>16398.21</v>
      </c>
      <c r="BM868" s="2">
        <f t="shared" ca="1" si="27"/>
        <v>2</v>
      </c>
      <c r="BN868" s="3">
        <v>500000</v>
      </c>
      <c r="BO868" s="3">
        <v>250000</v>
      </c>
      <c r="BP868" s="3">
        <v>200000</v>
      </c>
      <c r="BQ868" s="3">
        <v>2000000</v>
      </c>
      <c r="BR868" s="3">
        <v>1000000</v>
      </c>
      <c r="BS868">
        <v>2000000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0</v>
      </c>
      <c r="BZ868" t="s">
        <v>2959</v>
      </c>
      <c r="CA868" t="s">
        <v>1194</v>
      </c>
      <c r="CB868" t="s">
        <v>2945</v>
      </c>
    </row>
    <row r="869" spans="1:80" x14ac:dyDescent="0.25">
      <c r="A869">
        <v>868</v>
      </c>
      <c r="B869" t="s">
        <v>2882</v>
      </c>
      <c r="C869" s="1">
        <v>44651</v>
      </c>
      <c r="D869">
        <v>12</v>
      </c>
      <c r="E869" t="s">
        <v>4</v>
      </c>
      <c r="F869" t="s">
        <v>1311</v>
      </c>
      <c r="G869">
        <v>0</v>
      </c>
      <c r="H869" s="3">
        <v>2400000</v>
      </c>
      <c r="I869" s="3">
        <v>480000</v>
      </c>
      <c r="J869" s="3">
        <v>0</v>
      </c>
      <c r="K869" s="3">
        <v>480000</v>
      </c>
      <c r="L869" t="s">
        <v>1191</v>
      </c>
      <c r="M869">
        <v>1558385</v>
      </c>
      <c r="N869" t="s">
        <v>1668</v>
      </c>
      <c r="P869" t="s">
        <v>1800</v>
      </c>
      <c r="Q869" t="s">
        <v>1270</v>
      </c>
      <c r="R869">
        <v>98199</v>
      </c>
      <c r="S869" t="s">
        <v>1796</v>
      </c>
      <c r="T869" t="s">
        <v>965</v>
      </c>
      <c r="U869">
        <v>1</v>
      </c>
      <c r="V869">
        <v>53</v>
      </c>
      <c r="W869" t="s">
        <v>1194</v>
      </c>
      <c r="X869" t="s">
        <v>1309</v>
      </c>
      <c r="Y869">
        <v>5000</v>
      </c>
      <c r="Z869" s="2" t="s">
        <v>1194</v>
      </c>
      <c r="AA869" s="2" t="s">
        <v>1238</v>
      </c>
      <c r="AB869" t="s">
        <v>1238</v>
      </c>
      <c r="AC869" t="s">
        <v>1194</v>
      </c>
      <c r="AD869" t="s">
        <v>1279</v>
      </c>
      <c r="AE869">
        <v>2</v>
      </c>
      <c r="AF869" t="s">
        <v>1290</v>
      </c>
      <c r="AG869">
        <v>1</v>
      </c>
      <c r="AH869">
        <v>0</v>
      </c>
      <c r="AI869">
        <v>1</v>
      </c>
      <c r="AJ869">
        <v>1973</v>
      </c>
      <c r="AK869">
        <v>2022</v>
      </c>
      <c r="AL869" t="s">
        <v>1194</v>
      </c>
      <c r="AM869" s="4" t="s">
        <v>1238</v>
      </c>
      <c r="AN869">
        <v>0</v>
      </c>
      <c r="AO869" t="s">
        <v>1315</v>
      </c>
      <c r="AP869">
        <f t="shared" si="26"/>
        <v>1</v>
      </c>
      <c r="AQ869">
        <v>0</v>
      </c>
      <c r="AR869" t="s">
        <v>1993</v>
      </c>
      <c r="AS869" t="s">
        <v>1996</v>
      </c>
      <c r="AT869" t="s">
        <v>1996</v>
      </c>
      <c r="AU869" t="s">
        <v>1996</v>
      </c>
      <c r="AV869" t="s">
        <v>1995</v>
      </c>
      <c r="AW869" t="s">
        <v>1995</v>
      </c>
      <c r="AX869" t="s">
        <v>1194</v>
      </c>
      <c r="AY869" t="s">
        <v>1996</v>
      </c>
      <c r="AZ869">
        <v>2530</v>
      </c>
      <c r="BA869" t="s">
        <v>1194</v>
      </c>
      <c r="BB869" t="s">
        <v>2016</v>
      </c>
      <c r="BC869" s="3">
        <v>0</v>
      </c>
      <c r="BD869" s="3">
        <v>0</v>
      </c>
      <c r="BE869" s="3">
        <v>0</v>
      </c>
      <c r="BF869" s="3">
        <v>0</v>
      </c>
      <c r="BG869" s="3">
        <v>110</v>
      </c>
      <c r="BH869" s="3">
        <v>0</v>
      </c>
      <c r="BI869" s="3">
        <v>0</v>
      </c>
      <c r="BJ869" s="3">
        <v>5816.96</v>
      </c>
      <c r="BK869" s="3">
        <v>353</v>
      </c>
      <c r="BL869" s="3">
        <v>6169.96</v>
      </c>
      <c r="BM869" s="2">
        <f t="shared" ca="1" si="27"/>
        <v>3</v>
      </c>
      <c r="BN869" s="3">
        <v>100000</v>
      </c>
      <c r="BO869" s="3">
        <v>250000</v>
      </c>
      <c r="BP869" s="3" t="s">
        <v>2922</v>
      </c>
      <c r="BQ869" s="3">
        <v>100000</v>
      </c>
      <c r="BR869" s="3">
        <v>1000000</v>
      </c>
      <c r="BS869">
        <v>250000</v>
      </c>
      <c r="BT869">
        <v>0</v>
      </c>
      <c r="BU869">
        <v>0</v>
      </c>
      <c r="BV869">
        <v>1</v>
      </c>
      <c r="BW869">
        <v>0</v>
      </c>
      <c r="BX869">
        <v>0</v>
      </c>
      <c r="BY869">
        <v>0</v>
      </c>
      <c r="BZ869" t="s">
        <v>2949</v>
      </c>
      <c r="CA869" t="s">
        <v>1194</v>
      </c>
      <c r="CB869" t="s">
        <v>2949</v>
      </c>
    </row>
    <row r="870" spans="1:80" x14ac:dyDescent="0.25">
      <c r="A870">
        <v>869</v>
      </c>
      <c r="B870" t="s">
        <v>2883</v>
      </c>
      <c r="C870" s="1">
        <v>44665</v>
      </c>
      <c r="D870">
        <v>12</v>
      </c>
      <c r="E870" t="s">
        <v>5</v>
      </c>
      <c r="F870" t="s">
        <v>1310</v>
      </c>
      <c r="G870">
        <v>0</v>
      </c>
      <c r="H870" s="3">
        <v>5609000</v>
      </c>
      <c r="I870" s="3">
        <v>560900</v>
      </c>
      <c r="J870" s="3">
        <v>2243600</v>
      </c>
      <c r="K870" s="3">
        <v>1121800</v>
      </c>
      <c r="L870" t="s">
        <v>1191</v>
      </c>
      <c r="M870">
        <v>1872735</v>
      </c>
      <c r="N870" t="s">
        <v>1669</v>
      </c>
      <c r="P870" t="s">
        <v>1976</v>
      </c>
      <c r="Q870" t="s">
        <v>1239</v>
      </c>
      <c r="R870">
        <v>80126</v>
      </c>
      <c r="S870" t="s">
        <v>1897</v>
      </c>
      <c r="T870" t="s">
        <v>965</v>
      </c>
      <c r="U870">
        <v>0</v>
      </c>
      <c r="V870">
        <v>100</v>
      </c>
      <c r="W870" t="s">
        <v>1194</v>
      </c>
      <c r="X870" t="s">
        <v>973</v>
      </c>
      <c r="Y870">
        <v>10000</v>
      </c>
      <c r="Z870" s="2" t="s">
        <v>1194</v>
      </c>
      <c r="AA870" s="2">
        <v>1</v>
      </c>
      <c r="AB870">
        <v>0.03</v>
      </c>
      <c r="AC870">
        <v>833</v>
      </c>
      <c r="AD870" t="s">
        <v>1279</v>
      </c>
      <c r="AE870">
        <v>1</v>
      </c>
      <c r="AF870" t="s">
        <v>1290</v>
      </c>
      <c r="AG870">
        <v>0</v>
      </c>
      <c r="AH870">
        <v>0</v>
      </c>
      <c r="AI870">
        <v>0</v>
      </c>
      <c r="AJ870">
        <v>2012</v>
      </c>
      <c r="AK870" t="s">
        <v>1194</v>
      </c>
      <c r="AL870">
        <v>2012</v>
      </c>
      <c r="AM870" s="4" t="s">
        <v>1304</v>
      </c>
      <c r="AN870">
        <v>1</v>
      </c>
      <c r="AO870" t="s">
        <v>1315</v>
      </c>
      <c r="AP870">
        <f t="shared" si="26"/>
        <v>0</v>
      </c>
      <c r="AQ870">
        <v>1</v>
      </c>
      <c r="AR870" t="s">
        <v>1992</v>
      </c>
      <c r="AS870" t="s">
        <v>1995</v>
      </c>
      <c r="AT870" t="s">
        <v>1996</v>
      </c>
      <c r="AU870" t="s">
        <v>1996</v>
      </c>
      <c r="AV870" t="s">
        <v>1996</v>
      </c>
      <c r="AW870" t="s">
        <v>1995</v>
      </c>
      <c r="AX870" t="s">
        <v>1194</v>
      </c>
      <c r="AY870" t="s">
        <v>1996</v>
      </c>
      <c r="AZ870">
        <v>7535</v>
      </c>
      <c r="BA870" t="s">
        <v>1194</v>
      </c>
      <c r="BB870" t="s">
        <v>2016</v>
      </c>
      <c r="BC870" s="3">
        <v>0</v>
      </c>
      <c r="BD870" s="3">
        <v>0</v>
      </c>
      <c r="BE870" s="3">
        <v>0</v>
      </c>
      <c r="BF870" s="3">
        <v>865.28</v>
      </c>
      <c r="BG870" s="3">
        <v>150</v>
      </c>
      <c r="BH870" s="3">
        <v>0</v>
      </c>
      <c r="BI870" s="3">
        <v>0</v>
      </c>
      <c r="BJ870" s="3">
        <v>6710.26</v>
      </c>
      <c r="BK870" s="3">
        <v>2422.5100000000002</v>
      </c>
      <c r="BL870" s="3">
        <v>9132.77</v>
      </c>
      <c r="BM870" s="2">
        <f t="shared" ca="1" si="27"/>
        <v>1</v>
      </c>
      <c r="BN870" s="3">
        <v>250000</v>
      </c>
      <c r="BO870" s="3">
        <v>1000000</v>
      </c>
      <c r="BP870" s="3">
        <v>200000</v>
      </c>
      <c r="BQ870" s="3">
        <v>250000</v>
      </c>
      <c r="BR870" s="3">
        <v>2000000</v>
      </c>
      <c r="BS870">
        <v>500000</v>
      </c>
      <c r="BT870">
        <v>0</v>
      </c>
      <c r="BU870">
        <v>1</v>
      </c>
      <c r="BV870">
        <v>1</v>
      </c>
      <c r="BW870">
        <v>0</v>
      </c>
      <c r="BX870">
        <v>0</v>
      </c>
      <c r="BY870">
        <v>0</v>
      </c>
      <c r="BZ870" t="s">
        <v>2967</v>
      </c>
      <c r="CA870" t="s">
        <v>1194</v>
      </c>
      <c r="CB870" t="s">
        <v>2941</v>
      </c>
    </row>
    <row r="871" spans="1:80" x14ac:dyDescent="0.25">
      <c r="A871">
        <v>870</v>
      </c>
      <c r="B871" t="s">
        <v>2884</v>
      </c>
      <c r="C871" s="1">
        <v>44666</v>
      </c>
      <c r="D871">
        <v>12</v>
      </c>
      <c r="E871" t="s">
        <v>4</v>
      </c>
      <c r="F871" t="s">
        <v>1311</v>
      </c>
      <c r="G871">
        <v>0</v>
      </c>
      <c r="H871" s="3">
        <v>1370000</v>
      </c>
      <c r="I871" s="3">
        <v>274000</v>
      </c>
      <c r="J871" s="3">
        <v>685000</v>
      </c>
      <c r="K871" s="3">
        <v>274000</v>
      </c>
      <c r="L871" t="s">
        <v>1191</v>
      </c>
      <c r="M871">
        <v>1882712</v>
      </c>
      <c r="N871" t="s">
        <v>1670</v>
      </c>
      <c r="P871" t="s">
        <v>1977</v>
      </c>
      <c r="Q871" t="s">
        <v>1239</v>
      </c>
      <c r="R871">
        <v>80016</v>
      </c>
      <c r="S871" t="s">
        <v>1811</v>
      </c>
      <c r="T871" t="s">
        <v>965</v>
      </c>
      <c r="U871">
        <v>0</v>
      </c>
      <c r="V871">
        <v>85</v>
      </c>
      <c r="W871" t="s">
        <v>1194</v>
      </c>
      <c r="X871" t="s">
        <v>973</v>
      </c>
      <c r="Y871">
        <v>10000</v>
      </c>
      <c r="Z871" s="2">
        <v>1</v>
      </c>
      <c r="AA871" s="2">
        <v>1</v>
      </c>
      <c r="AB871">
        <v>0.01</v>
      </c>
      <c r="AC871">
        <v>662</v>
      </c>
      <c r="AD871" t="s">
        <v>1279</v>
      </c>
      <c r="AE871">
        <v>1</v>
      </c>
      <c r="AF871" t="s">
        <v>1290</v>
      </c>
      <c r="AG871">
        <v>0</v>
      </c>
      <c r="AH871">
        <v>0</v>
      </c>
      <c r="AI871">
        <v>0</v>
      </c>
      <c r="AJ871">
        <v>2014</v>
      </c>
      <c r="AK871" t="s">
        <v>1194</v>
      </c>
      <c r="AL871">
        <v>2014</v>
      </c>
      <c r="AM871" s="4" t="s">
        <v>1238</v>
      </c>
      <c r="AN871">
        <v>1</v>
      </c>
      <c r="AO871" t="s">
        <v>1315</v>
      </c>
      <c r="AP871">
        <f t="shared" si="26"/>
        <v>0</v>
      </c>
      <c r="AQ871">
        <v>0</v>
      </c>
      <c r="AR871" t="s">
        <v>1993</v>
      </c>
      <c r="AS871" t="s">
        <v>1995</v>
      </c>
      <c r="AT871" t="s">
        <v>1996</v>
      </c>
      <c r="AU871" t="s">
        <v>1996</v>
      </c>
      <c r="AV871" t="s">
        <v>1996</v>
      </c>
      <c r="AW871" t="s">
        <v>1996</v>
      </c>
      <c r="AX871" t="s">
        <v>1194</v>
      </c>
      <c r="AY871" t="s">
        <v>1996</v>
      </c>
      <c r="AZ871">
        <v>3449</v>
      </c>
      <c r="BA871" t="s">
        <v>1194</v>
      </c>
      <c r="BB871" t="s">
        <v>2014</v>
      </c>
      <c r="BC871" s="3">
        <v>0</v>
      </c>
      <c r="BD871" s="3">
        <v>0</v>
      </c>
      <c r="BE871" s="3">
        <v>0</v>
      </c>
      <c r="BF871" s="3">
        <v>1002.32</v>
      </c>
      <c r="BG871" s="3">
        <v>175</v>
      </c>
      <c r="BH871" s="3">
        <v>0</v>
      </c>
      <c r="BI871" s="3">
        <v>0</v>
      </c>
      <c r="BJ871" s="3">
        <v>6008.25</v>
      </c>
      <c r="BK871" s="3">
        <v>541</v>
      </c>
      <c r="BL871" s="3">
        <v>6549.25</v>
      </c>
      <c r="BM871" s="2">
        <f t="shared" ca="1" si="27"/>
        <v>2</v>
      </c>
      <c r="BN871" s="3">
        <v>2000000</v>
      </c>
      <c r="BO871" s="3">
        <v>20000</v>
      </c>
      <c r="BP871" s="3">
        <v>100000</v>
      </c>
      <c r="BQ871" s="3">
        <v>100000</v>
      </c>
      <c r="BR871" s="3">
        <v>1000000</v>
      </c>
      <c r="BS871">
        <v>250000</v>
      </c>
      <c r="BT871">
        <v>0</v>
      </c>
      <c r="BU871">
        <v>0</v>
      </c>
      <c r="BV871">
        <v>1</v>
      </c>
      <c r="BW871">
        <v>0</v>
      </c>
      <c r="BX871">
        <v>0</v>
      </c>
      <c r="BY871">
        <v>0</v>
      </c>
      <c r="BZ871" t="s">
        <v>2958</v>
      </c>
      <c r="CA871" t="s">
        <v>1194</v>
      </c>
      <c r="CB871" t="s">
        <v>2949</v>
      </c>
    </row>
    <row r="872" spans="1:80" x14ac:dyDescent="0.25">
      <c r="A872">
        <v>871</v>
      </c>
      <c r="B872" t="s">
        <v>2885</v>
      </c>
      <c r="C872" s="1">
        <v>44656</v>
      </c>
      <c r="D872">
        <v>12</v>
      </c>
      <c r="E872" t="s">
        <v>5</v>
      </c>
      <c r="F872" t="s">
        <v>1310</v>
      </c>
      <c r="G872">
        <v>1</v>
      </c>
      <c r="H872" s="3">
        <v>3725000</v>
      </c>
      <c r="I872" s="3">
        <v>594000</v>
      </c>
      <c r="J872" s="3">
        <v>1862500</v>
      </c>
      <c r="K872" s="3">
        <v>0</v>
      </c>
      <c r="L872" t="s">
        <v>1191</v>
      </c>
      <c r="M872">
        <v>1885173</v>
      </c>
      <c r="N872" t="s">
        <v>1671</v>
      </c>
      <c r="P872" t="s">
        <v>1800</v>
      </c>
      <c r="Q872" t="s">
        <v>1270</v>
      </c>
      <c r="R872">
        <v>98177</v>
      </c>
      <c r="S872" t="s">
        <v>1796</v>
      </c>
      <c r="T872" t="s">
        <v>965</v>
      </c>
      <c r="U872">
        <v>0</v>
      </c>
      <c r="V872">
        <v>141</v>
      </c>
      <c r="W872" t="s">
        <v>1194</v>
      </c>
      <c r="X872" t="s">
        <v>973</v>
      </c>
      <c r="Y872">
        <v>10000</v>
      </c>
      <c r="Z872" s="2" t="s">
        <v>1194</v>
      </c>
      <c r="AA872" s="2" t="s">
        <v>1238</v>
      </c>
      <c r="AB872" t="s">
        <v>1238</v>
      </c>
      <c r="AC872" t="s">
        <v>1194</v>
      </c>
      <c r="AD872" t="s">
        <v>1279</v>
      </c>
      <c r="AE872">
        <v>2</v>
      </c>
      <c r="AF872" t="s">
        <v>1290</v>
      </c>
      <c r="AG872">
        <v>0</v>
      </c>
      <c r="AH872">
        <v>0</v>
      </c>
      <c r="AI872">
        <v>0</v>
      </c>
      <c r="AJ872">
        <v>1930</v>
      </c>
      <c r="AK872">
        <v>2015</v>
      </c>
      <c r="AL872">
        <v>2016</v>
      </c>
      <c r="AM872" s="4" t="s">
        <v>1304</v>
      </c>
      <c r="AN872">
        <v>0</v>
      </c>
      <c r="AO872" t="s">
        <v>1317</v>
      </c>
      <c r="AP872">
        <f t="shared" si="26"/>
        <v>0</v>
      </c>
      <c r="AQ872">
        <v>0</v>
      </c>
      <c r="AR872" t="s">
        <v>1993</v>
      </c>
      <c r="AS872" t="s">
        <v>1996</v>
      </c>
      <c r="AT872" t="s">
        <v>1995</v>
      </c>
      <c r="AU872" t="s">
        <v>1995</v>
      </c>
      <c r="AV872" t="s">
        <v>1995</v>
      </c>
      <c r="AW872" t="s">
        <v>1996</v>
      </c>
      <c r="AX872" t="s">
        <v>1194</v>
      </c>
      <c r="AY872" t="s">
        <v>1996</v>
      </c>
      <c r="AZ872">
        <v>6070</v>
      </c>
      <c r="BA872" t="s">
        <v>1194</v>
      </c>
      <c r="BB872" t="s">
        <v>2016</v>
      </c>
      <c r="BC872" s="3">
        <v>0</v>
      </c>
      <c r="BD872" s="3">
        <v>0</v>
      </c>
      <c r="BE872" s="3">
        <v>0</v>
      </c>
      <c r="BF872" s="3">
        <v>0</v>
      </c>
      <c r="BG872" s="3">
        <v>110</v>
      </c>
      <c r="BH872" s="3">
        <v>0</v>
      </c>
      <c r="BI872" s="3">
        <v>0</v>
      </c>
      <c r="BJ872" s="3">
        <v>4490.4399999999996</v>
      </c>
      <c r="BK872" s="3">
        <v>604</v>
      </c>
      <c r="BL872" s="3">
        <v>5094.4399999999996</v>
      </c>
      <c r="BM872" s="2">
        <f t="shared" ca="1" si="27"/>
        <v>5</v>
      </c>
      <c r="BN872" s="3">
        <v>500000</v>
      </c>
      <c r="BO872" s="3">
        <v>25000</v>
      </c>
      <c r="BP872" s="3">
        <v>50000</v>
      </c>
      <c r="BQ872" s="3">
        <v>500000</v>
      </c>
      <c r="BR872" s="3">
        <v>500000</v>
      </c>
      <c r="BS872">
        <v>50000</v>
      </c>
      <c r="BT872">
        <v>0</v>
      </c>
      <c r="BU872">
        <v>0</v>
      </c>
      <c r="BV872">
        <v>1</v>
      </c>
      <c r="BW872">
        <v>0</v>
      </c>
      <c r="BX872">
        <v>0</v>
      </c>
      <c r="BY872">
        <v>0</v>
      </c>
      <c r="BZ872" t="s">
        <v>2949</v>
      </c>
      <c r="CA872" t="s">
        <v>1194</v>
      </c>
      <c r="CB872" t="s">
        <v>2949</v>
      </c>
    </row>
    <row r="873" spans="1:80" x14ac:dyDescent="0.25">
      <c r="A873">
        <v>872</v>
      </c>
      <c r="B873" t="s">
        <v>2886</v>
      </c>
      <c r="C873" s="1">
        <v>44697</v>
      </c>
      <c r="D873">
        <v>12</v>
      </c>
      <c r="E873" t="s">
        <v>4</v>
      </c>
      <c r="F873" t="s">
        <v>1311</v>
      </c>
      <c r="G873">
        <v>0</v>
      </c>
      <c r="H873" s="3">
        <v>3750000</v>
      </c>
      <c r="I873" s="3">
        <v>750000</v>
      </c>
      <c r="J873" s="3">
        <v>0</v>
      </c>
      <c r="K873" s="3">
        <v>0</v>
      </c>
      <c r="L873" t="s">
        <v>1191</v>
      </c>
      <c r="M873">
        <v>1893147</v>
      </c>
      <c r="N873" t="s">
        <v>1672</v>
      </c>
      <c r="P873" t="s">
        <v>1978</v>
      </c>
      <c r="Q873" t="s">
        <v>1237</v>
      </c>
      <c r="R873">
        <v>85715</v>
      </c>
      <c r="S873" t="s">
        <v>1979</v>
      </c>
      <c r="T873" t="s">
        <v>965</v>
      </c>
      <c r="U873">
        <v>0</v>
      </c>
      <c r="V873">
        <v>1</v>
      </c>
      <c r="W873" t="s">
        <v>1194</v>
      </c>
      <c r="X873" t="s">
        <v>973</v>
      </c>
      <c r="Y873">
        <v>25000</v>
      </c>
      <c r="Z873" s="2" t="s">
        <v>1194</v>
      </c>
      <c r="AA873" s="2" t="s">
        <v>1238</v>
      </c>
      <c r="AB873" t="s">
        <v>1238</v>
      </c>
      <c r="AC873">
        <v>862</v>
      </c>
      <c r="AD873" t="s">
        <v>1279</v>
      </c>
      <c r="AE873">
        <v>3</v>
      </c>
      <c r="AF873" t="s">
        <v>1290</v>
      </c>
      <c r="AG873">
        <v>0</v>
      </c>
      <c r="AH873">
        <v>0</v>
      </c>
      <c r="AI873">
        <v>0</v>
      </c>
      <c r="AJ873">
        <v>1965</v>
      </c>
      <c r="AK873" t="s">
        <v>1194</v>
      </c>
      <c r="AL873" t="s">
        <v>1194</v>
      </c>
      <c r="AM873" s="4" t="s">
        <v>1238</v>
      </c>
      <c r="AN873">
        <v>1</v>
      </c>
      <c r="AO873" t="s">
        <v>1315</v>
      </c>
      <c r="AP873">
        <f t="shared" si="26"/>
        <v>0</v>
      </c>
      <c r="AQ873">
        <v>1</v>
      </c>
      <c r="AR873" t="s">
        <v>1992</v>
      </c>
      <c r="AS873" t="s">
        <v>1996</v>
      </c>
      <c r="AT873" t="s">
        <v>1995</v>
      </c>
      <c r="AU873" t="s">
        <v>1995</v>
      </c>
      <c r="AV873" t="s">
        <v>1996</v>
      </c>
      <c r="AW873" t="s">
        <v>1995</v>
      </c>
      <c r="AX873" t="s">
        <v>1194</v>
      </c>
      <c r="AY873" t="s">
        <v>1996</v>
      </c>
      <c r="AZ873">
        <v>5414</v>
      </c>
      <c r="BA873" t="s">
        <v>1194</v>
      </c>
      <c r="BB873" t="s">
        <v>2014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8387.74</v>
      </c>
      <c r="BK873" s="3">
        <v>-15</v>
      </c>
      <c r="BL873" s="3">
        <v>8373</v>
      </c>
      <c r="BM873" s="2">
        <f t="shared" ca="1" si="27"/>
        <v>1</v>
      </c>
      <c r="BN873" s="3">
        <v>50000</v>
      </c>
      <c r="BO873" s="3">
        <v>2000000</v>
      </c>
      <c r="BP873" s="3">
        <v>50000</v>
      </c>
      <c r="BQ873" s="3">
        <v>100000</v>
      </c>
      <c r="BR873" s="3">
        <v>250000</v>
      </c>
      <c r="BS873">
        <v>50000</v>
      </c>
      <c r="BT873">
        <v>0</v>
      </c>
      <c r="BU873">
        <v>0</v>
      </c>
      <c r="BV873">
        <v>0</v>
      </c>
      <c r="BW873">
        <v>1</v>
      </c>
      <c r="BX873">
        <v>0</v>
      </c>
      <c r="BY873">
        <v>0</v>
      </c>
      <c r="BZ873" t="s">
        <v>2961</v>
      </c>
      <c r="CA873" t="s">
        <v>1194</v>
      </c>
      <c r="CB873" t="s">
        <v>2945</v>
      </c>
    </row>
    <row r="874" spans="1:80" x14ac:dyDescent="0.25">
      <c r="A874">
        <v>873</v>
      </c>
      <c r="B874" t="s">
        <v>2887</v>
      </c>
      <c r="C874" s="1">
        <v>44704</v>
      </c>
      <c r="D874">
        <v>42</v>
      </c>
      <c r="E874" t="s">
        <v>4</v>
      </c>
      <c r="F874" t="s">
        <v>1311</v>
      </c>
      <c r="G874">
        <v>1</v>
      </c>
      <c r="H874" s="3">
        <v>1500000</v>
      </c>
      <c r="I874" s="3">
        <v>150000</v>
      </c>
      <c r="J874" s="3">
        <v>750000</v>
      </c>
      <c r="K874" s="3">
        <v>0</v>
      </c>
      <c r="L874" t="s">
        <v>1191</v>
      </c>
      <c r="M874">
        <v>1898978</v>
      </c>
      <c r="N874" t="s">
        <v>1673</v>
      </c>
      <c r="P874" t="s">
        <v>1849</v>
      </c>
      <c r="Q874" t="s">
        <v>1240</v>
      </c>
      <c r="R874">
        <v>6820</v>
      </c>
      <c r="S874" t="s">
        <v>1706</v>
      </c>
      <c r="T874" t="s">
        <v>972</v>
      </c>
      <c r="U874">
        <v>0</v>
      </c>
      <c r="V874">
        <v>53</v>
      </c>
      <c r="W874" t="s">
        <v>1194</v>
      </c>
      <c r="X874" t="s">
        <v>973</v>
      </c>
      <c r="Y874">
        <v>10000</v>
      </c>
      <c r="Z874" s="2" t="s">
        <v>1194</v>
      </c>
      <c r="AA874" s="2" t="s">
        <v>1238</v>
      </c>
      <c r="AB874" t="s">
        <v>1238</v>
      </c>
      <c r="AC874">
        <v>903</v>
      </c>
      <c r="AD874" t="s">
        <v>1279</v>
      </c>
      <c r="AE874">
        <v>4</v>
      </c>
      <c r="AF874" t="s">
        <v>1290</v>
      </c>
      <c r="AG874">
        <v>0</v>
      </c>
      <c r="AH874">
        <v>0</v>
      </c>
      <c r="AI874">
        <v>0</v>
      </c>
      <c r="AJ874">
        <v>1930</v>
      </c>
      <c r="AK874">
        <v>2010</v>
      </c>
      <c r="AL874">
        <v>2017</v>
      </c>
      <c r="AM874" s="4" t="s">
        <v>1238</v>
      </c>
      <c r="AN874">
        <v>0</v>
      </c>
      <c r="AO874" t="s">
        <v>1316</v>
      </c>
      <c r="AP874">
        <f t="shared" si="26"/>
        <v>0</v>
      </c>
      <c r="AQ874">
        <v>1</v>
      </c>
      <c r="AR874" t="s">
        <v>1992</v>
      </c>
      <c r="AS874" t="s">
        <v>1996</v>
      </c>
      <c r="AT874" t="s">
        <v>1996</v>
      </c>
      <c r="AU874" t="s">
        <v>1996</v>
      </c>
      <c r="AV874" t="s">
        <v>1995</v>
      </c>
      <c r="AW874" t="s">
        <v>1996</v>
      </c>
      <c r="AX874" t="s">
        <v>2003</v>
      </c>
      <c r="AY874" t="s">
        <v>1996</v>
      </c>
      <c r="AZ874">
        <v>2671</v>
      </c>
      <c r="BA874" t="s">
        <v>1194</v>
      </c>
      <c r="BB874" t="s">
        <v>1194</v>
      </c>
      <c r="BC874" s="3">
        <v>0</v>
      </c>
      <c r="BD874" s="3">
        <v>275.01</v>
      </c>
      <c r="BE874" s="3">
        <v>0</v>
      </c>
      <c r="BF874" s="3">
        <v>0</v>
      </c>
      <c r="BG874" s="3">
        <v>115</v>
      </c>
      <c r="BH874" s="3">
        <v>0</v>
      </c>
      <c r="BI874" s="3">
        <v>0</v>
      </c>
      <c r="BJ874" s="3">
        <v>4733</v>
      </c>
      <c r="BK874" s="3">
        <v>265</v>
      </c>
      <c r="BL874" s="3">
        <v>4998</v>
      </c>
      <c r="BM874" s="2">
        <f t="shared" ca="1" si="27"/>
        <v>0</v>
      </c>
      <c r="BN874" s="3">
        <v>500000</v>
      </c>
      <c r="BO874" s="3">
        <v>25000</v>
      </c>
      <c r="BP874" s="3" t="s">
        <v>2922</v>
      </c>
      <c r="BQ874" s="3">
        <v>1000000</v>
      </c>
      <c r="BR874" s="3" t="s">
        <v>2916</v>
      </c>
      <c r="BS874">
        <v>100000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0</v>
      </c>
      <c r="BZ874" t="s">
        <v>2949</v>
      </c>
      <c r="CA874" t="s">
        <v>1194</v>
      </c>
      <c r="CB874" t="s">
        <v>2949</v>
      </c>
    </row>
    <row r="875" spans="1:80" x14ac:dyDescent="0.25">
      <c r="A875">
        <v>874</v>
      </c>
      <c r="B875" t="s">
        <v>2888</v>
      </c>
      <c r="C875" s="1">
        <v>44756</v>
      </c>
      <c r="D875">
        <v>12</v>
      </c>
      <c r="E875" t="s">
        <v>6</v>
      </c>
      <c r="F875" t="s">
        <v>1310</v>
      </c>
      <c r="G875">
        <v>1</v>
      </c>
      <c r="H875" s="3">
        <v>6000000</v>
      </c>
      <c r="I875" s="3">
        <v>900000</v>
      </c>
      <c r="J875" s="3">
        <v>2250000</v>
      </c>
      <c r="K875" s="3">
        <v>1200000</v>
      </c>
      <c r="L875" t="s">
        <v>1191</v>
      </c>
      <c r="M875">
        <v>1928975</v>
      </c>
      <c r="N875" t="s">
        <v>1674</v>
      </c>
      <c r="P875" t="s">
        <v>1813</v>
      </c>
      <c r="Q875" t="s">
        <v>1240</v>
      </c>
      <c r="R875">
        <v>6831</v>
      </c>
      <c r="S875" t="s">
        <v>1706</v>
      </c>
      <c r="T875" t="s">
        <v>972</v>
      </c>
      <c r="U875">
        <v>0</v>
      </c>
      <c r="V875">
        <v>53</v>
      </c>
      <c r="W875" t="s">
        <v>1194</v>
      </c>
      <c r="X875" t="s">
        <v>973</v>
      </c>
      <c r="Y875">
        <v>10000</v>
      </c>
      <c r="Z875" s="2" t="s">
        <v>1194</v>
      </c>
      <c r="AA875" s="2" t="s">
        <v>1238</v>
      </c>
      <c r="AB875" t="s">
        <v>1238</v>
      </c>
      <c r="AC875">
        <v>804</v>
      </c>
      <c r="AD875" t="s">
        <v>1279</v>
      </c>
      <c r="AE875">
        <v>2</v>
      </c>
      <c r="AF875" t="s">
        <v>1290</v>
      </c>
      <c r="AG875">
        <v>0</v>
      </c>
      <c r="AH875">
        <v>0</v>
      </c>
      <c r="AI875">
        <v>0</v>
      </c>
      <c r="AJ875">
        <v>2004</v>
      </c>
      <c r="AK875" t="s">
        <v>1194</v>
      </c>
      <c r="AL875" t="s">
        <v>1194</v>
      </c>
      <c r="AM875" s="4" t="s">
        <v>1305</v>
      </c>
      <c r="AN875">
        <v>0</v>
      </c>
      <c r="AO875" t="s">
        <v>1315</v>
      </c>
      <c r="AP875">
        <f t="shared" si="26"/>
        <v>0</v>
      </c>
      <c r="AQ875">
        <v>0</v>
      </c>
      <c r="AR875" t="s">
        <v>1993</v>
      </c>
      <c r="AS875" t="s">
        <v>1995</v>
      </c>
      <c r="AT875" t="s">
        <v>1996</v>
      </c>
      <c r="AU875" t="s">
        <v>1995</v>
      </c>
      <c r="AV875" t="s">
        <v>1995</v>
      </c>
      <c r="AW875" t="s">
        <v>1995</v>
      </c>
      <c r="AX875" t="s">
        <v>2003</v>
      </c>
      <c r="AY875" t="s">
        <v>1996</v>
      </c>
      <c r="AZ875">
        <v>6106</v>
      </c>
      <c r="BA875" t="s">
        <v>1194</v>
      </c>
      <c r="BB875" t="s">
        <v>1194</v>
      </c>
      <c r="BC875" s="3">
        <v>0</v>
      </c>
      <c r="BD875" s="3">
        <v>861.59</v>
      </c>
      <c r="BE875" s="3">
        <v>0</v>
      </c>
      <c r="BF875" s="3">
        <v>0</v>
      </c>
      <c r="BG875" s="3">
        <v>160</v>
      </c>
      <c r="BH875" s="3">
        <v>0</v>
      </c>
      <c r="BI875" s="3">
        <v>0</v>
      </c>
      <c r="BJ875" s="3">
        <v>19453</v>
      </c>
      <c r="BK875" s="3">
        <v>2495</v>
      </c>
      <c r="BL875" s="3">
        <v>21948</v>
      </c>
      <c r="BM875" s="2">
        <f t="shared" ca="1" si="27"/>
        <v>5</v>
      </c>
      <c r="BN875" s="3" t="s">
        <v>2916</v>
      </c>
      <c r="BO875" s="3">
        <v>50000</v>
      </c>
      <c r="BP875" s="3">
        <v>100000</v>
      </c>
      <c r="BQ875" s="3">
        <v>100000</v>
      </c>
      <c r="BR875" s="3">
        <v>2000000</v>
      </c>
      <c r="BS875" t="s">
        <v>2916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 t="s">
        <v>2959</v>
      </c>
      <c r="CA875" t="s">
        <v>1194</v>
      </c>
      <c r="CB875" t="s">
        <v>2941</v>
      </c>
    </row>
    <row r="876" spans="1:80" x14ac:dyDescent="0.25">
      <c r="A876">
        <v>875</v>
      </c>
      <c r="B876" t="s">
        <v>2889</v>
      </c>
      <c r="C876" s="1">
        <v>44896</v>
      </c>
      <c r="D876">
        <v>12</v>
      </c>
      <c r="E876" t="s">
        <v>5</v>
      </c>
      <c r="F876" t="s">
        <v>1310</v>
      </c>
      <c r="G876">
        <v>1</v>
      </c>
      <c r="H876" s="3">
        <v>1587000</v>
      </c>
      <c r="I876" s="3">
        <v>152000</v>
      </c>
      <c r="J876" s="3">
        <v>450000</v>
      </c>
      <c r="K876" s="3">
        <v>317400</v>
      </c>
      <c r="L876" t="s">
        <v>1191</v>
      </c>
      <c r="M876">
        <v>1932248</v>
      </c>
      <c r="N876" t="s">
        <v>1675</v>
      </c>
      <c r="P876" t="s">
        <v>1782</v>
      </c>
      <c r="Q876" t="s">
        <v>1253</v>
      </c>
      <c r="R876">
        <v>55424</v>
      </c>
      <c r="S876" t="s">
        <v>1714</v>
      </c>
      <c r="T876" t="s">
        <v>965</v>
      </c>
      <c r="U876">
        <v>0</v>
      </c>
      <c r="V876">
        <v>1</v>
      </c>
      <c r="W876" t="s">
        <v>1194</v>
      </c>
      <c r="X876" t="s">
        <v>973</v>
      </c>
      <c r="Y876">
        <v>5000</v>
      </c>
      <c r="Z876" s="2" t="s">
        <v>1194</v>
      </c>
      <c r="AA876" s="2">
        <v>1</v>
      </c>
      <c r="AB876">
        <v>2500</v>
      </c>
      <c r="AC876">
        <v>887</v>
      </c>
      <c r="AD876" t="s">
        <v>1279</v>
      </c>
      <c r="AE876">
        <v>3</v>
      </c>
      <c r="AF876" t="s">
        <v>1290</v>
      </c>
      <c r="AG876">
        <v>0</v>
      </c>
      <c r="AH876">
        <v>0</v>
      </c>
      <c r="AI876">
        <v>0</v>
      </c>
      <c r="AJ876">
        <v>1927</v>
      </c>
      <c r="AK876" t="s">
        <v>1194</v>
      </c>
      <c r="AL876">
        <v>2011</v>
      </c>
      <c r="AM876" s="4" t="s">
        <v>1308</v>
      </c>
      <c r="AN876">
        <v>0</v>
      </c>
      <c r="AO876" t="s">
        <v>1315</v>
      </c>
      <c r="AP876">
        <f t="shared" si="26"/>
        <v>0</v>
      </c>
      <c r="AQ876">
        <v>1</v>
      </c>
      <c r="AR876" t="s">
        <v>1992</v>
      </c>
      <c r="AS876" t="s">
        <v>1996</v>
      </c>
      <c r="AT876" t="s">
        <v>1995</v>
      </c>
      <c r="AU876" t="s">
        <v>1995</v>
      </c>
      <c r="AV876" t="s">
        <v>1996</v>
      </c>
      <c r="AW876" t="s">
        <v>1996</v>
      </c>
      <c r="AX876" t="s">
        <v>1194</v>
      </c>
      <c r="AY876" t="s">
        <v>1996</v>
      </c>
      <c r="AZ876">
        <v>2771</v>
      </c>
      <c r="BA876" t="s">
        <v>1194</v>
      </c>
      <c r="BB876" t="s">
        <v>1194</v>
      </c>
      <c r="BC876" s="3">
        <v>0</v>
      </c>
      <c r="BD876" s="3">
        <v>0</v>
      </c>
      <c r="BE876" s="3">
        <v>0</v>
      </c>
      <c r="BF876" s="3">
        <v>0</v>
      </c>
      <c r="BG876" s="3">
        <v>210</v>
      </c>
      <c r="BH876" s="3">
        <v>0</v>
      </c>
      <c r="BI876" s="3">
        <v>0</v>
      </c>
      <c r="BJ876" s="3">
        <v>3876.12</v>
      </c>
      <c r="BK876" s="3">
        <v>0</v>
      </c>
      <c r="BL876" s="3">
        <v>3876.12</v>
      </c>
      <c r="BM876" s="2">
        <f t="shared" ca="1" si="27"/>
        <v>4</v>
      </c>
      <c r="BN876" s="3" t="s">
        <v>2916</v>
      </c>
      <c r="BO876" s="3">
        <v>1000000</v>
      </c>
      <c r="BP876" s="3">
        <v>50000</v>
      </c>
      <c r="BQ876" s="3">
        <v>1000000</v>
      </c>
      <c r="BR876" s="3">
        <v>500000</v>
      </c>
      <c r="BS876">
        <v>2000000</v>
      </c>
      <c r="BT876">
        <v>0</v>
      </c>
      <c r="BU876">
        <v>0</v>
      </c>
      <c r="BV876">
        <v>1</v>
      </c>
      <c r="BW876">
        <v>0</v>
      </c>
      <c r="BX876">
        <v>0</v>
      </c>
      <c r="BY876">
        <v>0</v>
      </c>
      <c r="BZ876" t="s">
        <v>2958</v>
      </c>
      <c r="CA876" t="s">
        <v>1194</v>
      </c>
      <c r="CB876" t="s">
        <v>2945</v>
      </c>
    </row>
    <row r="877" spans="1:80" x14ac:dyDescent="0.25">
      <c r="A877">
        <v>876</v>
      </c>
      <c r="B877" t="s">
        <v>2890</v>
      </c>
      <c r="C877" s="1">
        <v>44786</v>
      </c>
      <c r="D877">
        <v>12</v>
      </c>
      <c r="E877" t="s">
        <v>5</v>
      </c>
      <c r="F877" t="s">
        <v>1310</v>
      </c>
      <c r="G877">
        <v>0</v>
      </c>
      <c r="H877" s="3">
        <v>3670000</v>
      </c>
      <c r="I877" s="3">
        <v>734000</v>
      </c>
      <c r="J877" s="3">
        <v>1835000</v>
      </c>
      <c r="K877" s="3">
        <v>734000</v>
      </c>
      <c r="L877" t="s">
        <v>1191</v>
      </c>
      <c r="M877">
        <v>1961487</v>
      </c>
      <c r="N877" t="s">
        <v>1676</v>
      </c>
      <c r="P877" t="s">
        <v>1777</v>
      </c>
      <c r="Q877" t="s">
        <v>1266</v>
      </c>
      <c r="R877">
        <v>38120</v>
      </c>
      <c r="S877" t="s">
        <v>1778</v>
      </c>
      <c r="T877" t="s">
        <v>965</v>
      </c>
      <c r="U877">
        <v>0</v>
      </c>
      <c r="V877">
        <v>3</v>
      </c>
      <c r="W877" t="s">
        <v>1194</v>
      </c>
      <c r="X877" t="s">
        <v>973</v>
      </c>
      <c r="Y877">
        <v>25000</v>
      </c>
      <c r="Z877" s="2" t="s">
        <v>1194</v>
      </c>
      <c r="AA877" s="2" t="s">
        <v>1238</v>
      </c>
      <c r="AB877" t="s">
        <v>1238</v>
      </c>
      <c r="AC877">
        <v>721</v>
      </c>
      <c r="AD877" t="s">
        <v>1284</v>
      </c>
      <c r="AE877">
        <v>1</v>
      </c>
      <c r="AF877" t="s">
        <v>1290</v>
      </c>
      <c r="AG877">
        <v>0</v>
      </c>
      <c r="AH877">
        <v>0</v>
      </c>
      <c r="AI877">
        <v>0</v>
      </c>
      <c r="AJ877">
        <v>1997</v>
      </c>
      <c r="AK877" t="s">
        <v>1194</v>
      </c>
      <c r="AL877">
        <v>2017</v>
      </c>
      <c r="AM877" s="4" t="s">
        <v>1305</v>
      </c>
      <c r="AN877">
        <v>1</v>
      </c>
      <c r="AO877" t="s">
        <v>1315</v>
      </c>
      <c r="AP877">
        <f t="shared" si="26"/>
        <v>0</v>
      </c>
      <c r="AQ877">
        <v>1</v>
      </c>
      <c r="AR877" t="s">
        <v>1992</v>
      </c>
      <c r="AS877" t="s">
        <v>1995</v>
      </c>
      <c r="AT877" t="s">
        <v>1996</v>
      </c>
      <c r="AU877" t="s">
        <v>1996</v>
      </c>
      <c r="AV877" t="s">
        <v>1995</v>
      </c>
      <c r="AW877" t="s">
        <v>1995</v>
      </c>
      <c r="AX877" t="s">
        <v>1194</v>
      </c>
      <c r="AY877" t="s">
        <v>1996</v>
      </c>
      <c r="AZ877">
        <v>6671</v>
      </c>
      <c r="BA877" t="s">
        <v>1194</v>
      </c>
      <c r="BB877" t="s">
        <v>1194</v>
      </c>
      <c r="BC877" s="3">
        <v>0</v>
      </c>
      <c r="BD877" s="3">
        <v>2392.65</v>
      </c>
      <c r="BE877" s="3">
        <v>0</v>
      </c>
      <c r="BF877" s="3">
        <v>0</v>
      </c>
      <c r="BG877" s="3">
        <v>175</v>
      </c>
      <c r="BH877" s="3">
        <v>0</v>
      </c>
      <c r="BI877" s="3">
        <v>0</v>
      </c>
      <c r="BJ877" s="3">
        <v>10156.99</v>
      </c>
      <c r="BK877" s="3">
        <v>5078.43</v>
      </c>
      <c r="BL877" s="3">
        <v>15235.42</v>
      </c>
      <c r="BM877" s="2">
        <f t="shared" ca="1" si="27"/>
        <v>4</v>
      </c>
      <c r="BN877" s="3">
        <v>50000</v>
      </c>
      <c r="BO877" s="3">
        <v>100000</v>
      </c>
      <c r="BP877" s="3" t="s">
        <v>2922</v>
      </c>
      <c r="BQ877" s="3">
        <v>1000000</v>
      </c>
      <c r="BR877" s="3">
        <v>500000</v>
      </c>
      <c r="BS877">
        <v>100000</v>
      </c>
      <c r="BT877">
        <v>0</v>
      </c>
      <c r="BU877">
        <v>1</v>
      </c>
      <c r="BV877">
        <v>1</v>
      </c>
      <c r="BW877">
        <v>0</v>
      </c>
      <c r="BX877">
        <v>0</v>
      </c>
      <c r="BY877">
        <v>0</v>
      </c>
      <c r="BZ877" t="s">
        <v>2958</v>
      </c>
      <c r="CA877" t="s">
        <v>1194</v>
      </c>
      <c r="CB877" t="s">
        <v>2949</v>
      </c>
    </row>
    <row r="878" spans="1:80" x14ac:dyDescent="0.25">
      <c r="A878">
        <v>877</v>
      </c>
      <c r="B878" t="s">
        <v>2891</v>
      </c>
      <c r="C878" s="1">
        <v>44840</v>
      </c>
      <c r="D878">
        <v>12</v>
      </c>
      <c r="E878" t="s">
        <v>4</v>
      </c>
      <c r="F878" t="s">
        <v>1311</v>
      </c>
      <c r="G878">
        <v>1</v>
      </c>
      <c r="H878" s="3">
        <v>1300000</v>
      </c>
      <c r="I878" s="3">
        <v>260000</v>
      </c>
      <c r="J878" s="3">
        <v>0</v>
      </c>
      <c r="K878" s="3">
        <v>0</v>
      </c>
      <c r="L878" t="s">
        <v>1191</v>
      </c>
      <c r="M878">
        <v>1974328</v>
      </c>
      <c r="N878" t="s">
        <v>1677</v>
      </c>
      <c r="P878" t="s">
        <v>1947</v>
      </c>
      <c r="Q878" t="s">
        <v>1259</v>
      </c>
      <c r="R878">
        <v>89135</v>
      </c>
      <c r="S878" t="s">
        <v>1767</v>
      </c>
      <c r="T878" t="s">
        <v>965</v>
      </c>
      <c r="U878">
        <v>0</v>
      </c>
      <c r="V878">
        <v>1</v>
      </c>
      <c r="W878" t="s">
        <v>1194</v>
      </c>
      <c r="X878" t="s">
        <v>973</v>
      </c>
      <c r="Y878">
        <v>10000</v>
      </c>
      <c r="Z878" s="2" t="s">
        <v>1194</v>
      </c>
      <c r="AA878" s="2" t="s">
        <v>1238</v>
      </c>
      <c r="AB878" t="s">
        <v>1238</v>
      </c>
      <c r="AC878">
        <v>732</v>
      </c>
      <c r="AD878" t="s">
        <v>1279</v>
      </c>
      <c r="AE878">
        <v>1</v>
      </c>
      <c r="AF878" t="s">
        <v>1290</v>
      </c>
      <c r="AG878">
        <v>0</v>
      </c>
      <c r="AH878">
        <v>0</v>
      </c>
      <c r="AI878">
        <v>0</v>
      </c>
      <c r="AJ878">
        <v>2001</v>
      </c>
      <c r="AK878" t="s">
        <v>1194</v>
      </c>
      <c r="AL878" t="s">
        <v>1194</v>
      </c>
      <c r="AM878" s="4" t="s">
        <v>1238</v>
      </c>
      <c r="AN878">
        <v>0</v>
      </c>
      <c r="AO878" t="s">
        <v>1317</v>
      </c>
      <c r="AP878">
        <f t="shared" si="26"/>
        <v>0</v>
      </c>
      <c r="AQ878">
        <v>0</v>
      </c>
      <c r="AR878" t="s">
        <v>1993</v>
      </c>
      <c r="AS878" t="s">
        <v>1995</v>
      </c>
      <c r="AT878" t="s">
        <v>1995</v>
      </c>
      <c r="AU878" t="s">
        <v>1995</v>
      </c>
      <c r="AV878" t="s">
        <v>1995</v>
      </c>
      <c r="AW878" t="s">
        <v>1995</v>
      </c>
      <c r="AX878" t="s">
        <v>1194</v>
      </c>
      <c r="AY878" t="s">
        <v>1996</v>
      </c>
      <c r="AZ878">
        <v>3478</v>
      </c>
      <c r="BA878" t="s">
        <v>1194</v>
      </c>
      <c r="BB878" t="s">
        <v>2014</v>
      </c>
      <c r="BC878" s="3">
        <v>0</v>
      </c>
      <c r="BD878" s="3">
        <v>48.26</v>
      </c>
      <c r="BE878" s="3">
        <v>0</v>
      </c>
      <c r="BF878" s="3">
        <v>48.26</v>
      </c>
      <c r="BG878" s="3">
        <v>150</v>
      </c>
      <c r="BH878" s="3">
        <v>0</v>
      </c>
      <c r="BI878" s="3">
        <v>0</v>
      </c>
      <c r="BJ878" s="3">
        <v>2715.71</v>
      </c>
      <c r="BK878" s="3">
        <v>-15</v>
      </c>
      <c r="BL878" s="3">
        <v>2700.71</v>
      </c>
      <c r="BM878" s="2">
        <f t="shared" ca="1" si="27"/>
        <v>5</v>
      </c>
      <c r="BN878" s="3">
        <v>500000</v>
      </c>
      <c r="BO878" s="3">
        <v>500000</v>
      </c>
      <c r="BP878" s="3">
        <v>50000</v>
      </c>
      <c r="BQ878" s="3">
        <v>500000</v>
      </c>
      <c r="BR878" s="3" t="s">
        <v>2916</v>
      </c>
      <c r="BS878">
        <v>50000</v>
      </c>
      <c r="BT878">
        <v>0</v>
      </c>
      <c r="BU878">
        <v>0</v>
      </c>
      <c r="BV878">
        <v>0</v>
      </c>
      <c r="BW878">
        <v>1</v>
      </c>
      <c r="BX878">
        <v>1</v>
      </c>
      <c r="BY878">
        <v>0</v>
      </c>
      <c r="BZ878" t="s">
        <v>2961</v>
      </c>
      <c r="CA878" t="s">
        <v>1194</v>
      </c>
      <c r="CB878" t="s">
        <v>2941</v>
      </c>
    </row>
    <row r="879" spans="1:80" x14ac:dyDescent="0.25">
      <c r="A879">
        <v>878</v>
      </c>
      <c r="B879" t="s">
        <v>2892</v>
      </c>
      <c r="C879" s="1">
        <v>44816</v>
      </c>
      <c r="D879">
        <v>12</v>
      </c>
      <c r="E879" t="s">
        <v>6</v>
      </c>
      <c r="F879" t="s">
        <v>1310</v>
      </c>
      <c r="G879">
        <v>1</v>
      </c>
      <c r="H879" s="3">
        <v>4909500</v>
      </c>
      <c r="I879" s="3">
        <v>981900</v>
      </c>
      <c r="J879" s="3">
        <v>2454750</v>
      </c>
      <c r="K879" s="3">
        <v>981900</v>
      </c>
      <c r="L879" t="s">
        <v>1191</v>
      </c>
      <c r="M879">
        <v>346629</v>
      </c>
      <c r="N879" t="s">
        <v>1678</v>
      </c>
      <c r="P879" t="s">
        <v>1980</v>
      </c>
      <c r="Q879" t="s">
        <v>1270</v>
      </c>
      <c r="R879">
        <v>98177</v>
      </c>
      <c r="S879" t="s">
        <v>1796</v>
      </c>
      <c r="T879" t="s">
        <v>965</v>
      </c>
      <c r="U879">
        <v>0</v>
      </c>
      <c r="V879">
        <v>141</v>
      </c>
      <c r="W879" t="s">
        <v>1194</v>
      </c>
      <c r="X879" t="s">
        <v>973</v>
      </c>
      <c r="Y879">
        <v>10000</v>
      </c>
      <c r="Z879" s="2" t="s">
        <v>1194</v>
      </c>
      <c r="AA879" s="2" t="s">
        <v>1238</v>
      </c>
      <c r="AB879" t="s">
        <v>1238</v>
      </c>
      <c r="AC879" t="s">
        <v>1194</v>
      </c>
      <c r="AD879" t="s">
        <v>1279</v>
      </c>
      <c r="AE879">
        <v>3</v>
      </c>
      <c r="AF879" t="s">
        <v>1290</v>
      </c>
      <c r="AG879">
        <v>1</v>
      </c>
      <c r="AH879">
        <v>0</v>
      </c>
      <c r="AI879">
        <v>1</v>
      </c>
      <c r="AJ879">
        <v>1992</v>
      </c>
      <c r="AK879" t="s">
        <v>1194</v>
      </c>
      <c r="AL879">
        <v>2021</v>
      </c>
      <c r="AM879" s="4" t="s">
        <v>1306</v>
      </c>
      <c r="AN879">
        <v>0</v>
      </c>
      <c r="AO879" t="s">
        <v>1315</v>
      </c>
      <c r="AP879">
        <f t="shared" si="26"/>
        <v>1</v>
      </c>
      <c r="AQ879">
        <v>1</v>
      </c>
      <c r="AR879" t="s">
        <v>1992</v>
      </c>
      <c r="AS879" t="s">
        <v>1996</v>
      </c>
      <c r="AT879" t="s">
        <v>1996</v>
      </c>
      <c r="AU879" t="s">
        <v>1995</v>
      </c>
      <c r="AV879" t="s">
        <v>1996</v>
      </c>
      <c r="AW879" t="s">
        <v>1995</v>
      </c>
      <c r="AX879" t="s">
        <v>1194</v>
      </c>
      <c r="AY879" t="s">
        <v>1996</v>
      </c>
      <c r="AZ879">
        <v>10910</v>
      </c>
      <c r="BA879" t="s">
        <v>1194</v>
      </c>
      <c r="BB879" t="s">
        <v>2016</v>
      </c>
      <c r="BC879" s="3">
        <v>0</v>
      </c>
      <c r="BD879" s="3">
        <v>0</v>
      </c>
      <c r="BE879" s="3">
        <v>0</v>
      </c>
      <c r="BF879" s="3">
        <v>0</v>
      </c>
      <c r="BG879" s="3">
        <v>140</v>
      </c>
      <c r="BH879" s="3">
        <v>0</v>
      </c>
      <c r="BI879" s="3">
        <v>0</v>
      </c>
      <c r="BJ879" s="3">
        <v>10459.86</v>
      </c>
      <c r="BK879" s="3">
        <v>327</v>
      </c>
      <c r="BL879" s="3">
        <v>10786.86</v>
      </c>
      <c r="BM879" s="2">
        <f t="shared" ca="1" si="27"/>
        <v>5</v>
      </c>
      <c r="BN879" s="3">
        <v>50000</v>
      </c>
      <c r="BO879" s="3">
        <v>1000000</v>
      </c>
      <c r="BP879" s="3">
        <v>100000</v>
      </c>
      <c r="BQ879" s="3">
        <v>500000</v>
      </c>
      <c r="BR879" s="3">
        <v>250000</v>
      </c>
      <c r="BS879">
        <v>2000000</v>
      </c>
      <c r="BT879">
        <v>0</v>
      </c>
      <c r="BU879">
        <v>0</v>
      </c>
      <c r="BV879">
        <v>1</v>
      </c>
      <c r="BW879">
        <v>0</v>
      </c>
      <c r="BX879">
        <v>0</v>
      </c>
      <c r="BY879">
        <v>0</v>
      </c>
      <c r="BZ879" t="s">
        <v>2966</v>
      </c>
      <c r="CA879" t="s">
        <v>1194</v>
      </c>
      <c r="CB879" t="s">
        <v>2941</v>
      </c>
    </row>
    <row r="880" spans="1:80" x14ac:dyDescent="0.25">
      <c r="A880">
        <v>879</v>
      </c>
      <c r="B880" t="s">
        <v>2893</v>
      </c>
      <c r="C880" s="1">
        <v>44917</v>
      </c>
      <c r="D880">
        <v>12</v>
      </c>
      <c r="E880" t="s">
        <v>4</v>
      </c>
      <c r="F880" t="s">
        <v>1311</v>
      </c>
      <c r="G880">
        <v>0</v>
      </c>
      <c r="H880" s="3">
        <v>2439000</v>
      </c>
      <c r="I880" s="3">
        <v>121950</v>
      </c>
      <c r="J880" s="3">
        <v>1175000</v>
      </c>
      <c r="K880" s="3">
        <v>0</v>
      </c>
      <c r="L880" t="s">
        <v>1191</v>
      </c>
      <c r="M880">
        <v>2037842</v>
      </c>
      <c r="N880" t="s">
        <v>1679</v>
      </c>
      <c r="P880" t="s">
        <v>1746</v>
      </c>
      <c r="Q880" t="s">
        <v>1240</v>
      </c>
      <c r="R880">
        <v>6902</v>
      </c>
      <c r="S880" t="s">
        <v>1706</v>
      </c>
      <c r="T880" t="s">
        <v>979</v>
      </c>
      <c r="U880">
        <v>0</v>
      </c>
      <c r="V880">
        <v>51</v>
      </c>
      <c r="W880" t="s">
        <v>1194</v>
      </c>
      <c r="X880" t="s">
        <v>973</v>
      </c>
      <c r="Y880">
        <v>10000</v>
      </c>
      <c r="Z880" s="2">
        <v>2</v>
      </c>
      <c r="AA880" s="2" t="s">
        <v>1238</v>
      </c>
      <c r="AB880" t="s">
        <v>1238</v>
      </c>
      <c r="AC880">
        <v>818</v>
      </c>
      <c r="AD880" t="s">
        <v>1279</v>
      </c>
      <c r="AE880">
        <v>3</v>
      </c>
      <c r="AF880" t="s">
        <v>1290</v>
      </c>
      <c r="AG880">
        <v>0</v>
      </c>
      <c r="AH880">
        <v>0</v>
      </c>
      <c r="AI880">
        <v>0</v>
      </c>
      <c r="AJ880">
        <v>1915</v>
      </c>
      <c r="AK880">
        <v>2015</v>
      </c>
      <c r="AL880">
        <v>2016</v>
      </c>
      <c r="AM880" s="4" t="s">
        <v>1238</v>
      </c>
      <c r="AN880">
        <v>1</v>
      </c>
      <c r="AO880" t="s">
        <v>1316</v>
      </c>
      <c r="AP880">
        <f t="shared" si="26"/>
        <v>0</v>
      </c>
      <c r="AQ880">
        <v>1</v>
      </c>
      <c r="AR880" t="s">
        <v>1992</v>
      </c>
      <c r="AS880" t="s">
        <v>1995</v>
      </c>
      <c r="AT880" t="s">
        <v>1995</v>
      </c>
      <c r="AU880" t="s">
        <v>1996</v>
      </c>
      <c r="AV880" t="s">
        <v>1995</v>
      </c>
      <c r="AW880" t="s">
        <v>1996</v>
      </c>
      <c r="AX880" t="s">
        <v>2003</v>
      </c>
      <c r="AY880" t="s">
        <v>1996</v>
      </c>
      <c r="AZ880">
        <v>3861</v>
      </c>
      <c r="BA880" t="s">
        <v>1194</v>
      </c>
      <c r="BB880" t="s">
        <v>1194</v>
      </c>
      <c r="BC880" s="3">
        <v>0</v>
      </c>
      <c r="BD880" s="3">
        <v>1239.6099999999999</v>
      </c>
      <c r="BE880" s="3">
        <v>0</v>
      </c>
      <c r="BF880" s="3">
        <v>0</v>
      </c>
      <c r="BG880" s="3">
        <v>160</v>
      </c>
      <c r="BH880" s="3">
        <v>0</v>
      </c>
      <c r="BI880" s="3">
        <v>0</v>
      </c>
      <c r="BJ880" s="3">
        <v>9870</v>
      </c>
      <c r="BK880" s="3">
        <v>30</v>
      </c>
      <c r="BL880" s="3">
        <v>9900</v>
      </c>
      <c r="BM880" s="2">
        <f t="shared" ca="1" si="27"/>
        <v>4</v>
      </c>
      <c r="BN880" s="3">
        <v>500000</v>
      </c>
      <c r="BO880" s="3">
        <v>500000</v>
      </c>
      <c r="BP880" s="3">
        <v>100000</v>
      </c>
      <c r="BQ880" s="3">
        <v>1000000</v>
      </c>
      <c r="BR880" s="3">
        <v>50000</v>
      </c>
      <c r="BS880">
        <v>100000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 t="s">
        <v>2949</v>
      </c>
      <c r="CA880" t="s">
        <v>1194</v>
      </c>
      <c r="CB880" t="s">
        <v>2949</v>
      </c>
    </row>
    <row r="881" spans="1:80" x14ac:dyDescent="0.25">
      <c r="A881">
        <v>880</v>
      </c>
      <c r="B881" t="s">
        <v>2894</v>
      </c>
      <c r="C881" s="1">
        <v>44886</v>
      </c>
      <c r="D881">
        <v>12</v>
      </c>
      <c r="E881" t="s">
        <v>4</v>
      </c>
      <c r="F881" t="s">
        <v>1311</v>
      </c>
      <c r="G881">
        <v>0</v>
      </c>
      <c r="H881" s="3">
        <v>2758000</v>
      </c>
      <c r="I881" s="3">
        <v>551600</v>
      </c>
      <c r="J881" s="3">
        <v>0</v>
      </c>
      <c r="K881" s="3">
        <v>0</v>
      </c>
      <c r="L881" t="s">
        <v>1191</v>
      </c>
      <c r="M881">
        <v>1987151</v>
      </c>
      <c r="N881" t="s">
        <v>1680</v>
      </c>
      <c r="P881" t="s">
        <v>1697</v>
      </c>
      <c r="Q881" t="s">
        <v>1254</v>
      </c>
      <c r="R881">
        <v>63124</v>
      </c>
      <c r="S881" t="s">
        <v>1698</v>
      </c>
      <c r="T881" t="s">
        <v>965</v>
      </c>
      <c r="U881">
        <v>0</v>
      </c>
      <c r="V881">
        <v>3</v>
      </c>
      <c r="W881" t="s">
        <v>1194</v>
      </c>
      <c r="X881" t="s">
        <v>973</v>
      </c>
      <c r="Y881">
        <v>10000</v>
      </c>
      <c r="Z881" s="2">
        <v>1</v>
      </c>
      <c r="AA881" s="2">
        <v>1</v>
      </c>
      <c r="AB881">
        <v>2500</v>
      </c>
      <c r="AC881">
        <v>861</v>
      </c>
      <c r="AD881" t="s">
        <v>1280</v>
      </c>
      <c r="AE881">
        <v>3</v>
      </c>
      <c r="AF881" t="s">
        <v>1290</v>
      </c>
      <c r="AG881">
        <v>0</v>
      </c>
      <c r="AH881">
        <v>0</v>
      </c>
      <c r="AI881">
        <v>0</v>
      </c>
      <c r="AJ881">
        <v>1934</v>
      </c>
      <c r="AK881">
        <v>2005</v>
      </c>
      <c r="AL881">
        <v>2022</v>
      </c>
      <c r="AM881" s="4" t="s">
        <v>1238</v>
      </c>
      <c r="AN881">
        <v>0</v>
      </c>
      <c r="AO881" t="s">
        <v>1315</v>
      </c>
      <c r="AP881">
        <f t="shared" si="26"/>
        <v>0</v>
      </c>
      <c r="AQ881">
        <v>0</v>
      </c>
      <c r="AR881" t="s">
        <v>1993</v>
      </c>
      <c r="AS881" t="s">
        <v>1996</v>
      </c>
      <c r="AT881" t="s">
        <v>1995</v>
      </c>
      <c r="AU881" t="s">
        <v>1996</v>
      </c>
      <c r="AV881" t="s">
        <v>1995</v>
      </c>
      <c r="AW881" t="s">
        <v>1995</v>
      </c>
      <c r="AX881" t="s">
        <v>1194</v>
      </c>
      <c r="AY881" t="s">
        <v>1996</v>
      </c>
      <c r="AZ881">
        <v>4144</v>
      </c>
      <c r="BA881" t="s">
        <v>1194</v>
      </c>
      <c r="BB881" t="s">
        <v>1194</v>
      </c>
      <c r="BC881" s="3">
        <v>0</v>
      </c>
      <c r="BD881" s="3">
        <v>0</v>
      </c>
      <c r="BE881" s="3">
        <v>0</v>
      </c>
      <c r="BF881" s="3">
        <v>0</v>
      </c>
      <c r="BG881" s="3">
        <v>210</v>
      </c>
      <c r="BH881" s="3">
        <v>0</v>
      </c>
      <c r="BI881" s="3">
        <v>0</v>
      </c>
      <c r="BJ881" s="3">
        <v>6058.1</v>
      </c>
      <c r="BK881" s="3">
        <v>2829.19</v>
      </c>
      <c r="BL881" s="3">
        <v>8887.2900000000009</v>
      </c>
      <c r="BM881" s="2">
        <f t="shared" ca="1" si="27"/>
        <v>3</v>
      </c>
      <c r="BN881" s="3">
        <v>100000</v>
      </c>
      <c r="BO881" s="3">
        <v>100000</v>
      </c>
      <c r="BP881" s="3">
        <v>50000</v>
      </c>
      <c r="BQ881" s="3">
        <v>2000000</v>
      </c>
      <c r="BR881" s="3">
        <v>500000</v>
      </c>
      <c r="BS881">
        <v>1000000</v>
      </c>
      <c r="BT881">
        <v>0</v>
      </c>
      <c r="BU881">
        <v>1</v>
      </c>
      <c r="BV881">
        <v>1</v>
      </c>
      <c r="BW881">
        <v>0</v>
      </c>
      <c r="BX881">
        <v>0</v>
      </c>
      <c r="BY881">
        <v>0</v>
      </c>
      <c r="BZ881" t="s">
        <v>2959</v>
      </c>
      <c r="CA881" t="s">
        <v>1194</v>
      </c>
      <c r="CB881" t="s">
        <v>2941</v>
      </c>
    </row>
    <row r="882" spans="1:80" x14ac:dyDescent="0.25">
      <c r="A882">
        <v>881</v>
      </c>
      <c r="B882" t="s">
        <v>2895</v>
      </c>
      <c r="C882" s="1">
        <v>44832</v>
      </c>
      <c r="D882">
        <v>12</v>
      </c>
      <c r="E882" t="s">
        <v>4</v>
      </c>
      <c r="F882" t="s">
        <v>1311</v>
      </c>
      <c r="G882">
        <v>1</v>
      </c>
      <c r="H882" s="3">
        <v>1517257</v>
      </c>
      <c r="I882" s="3">
        <v>758629</v>
      </c>
      <c r="J882" s="3">
        <v>1062080</v>
      </c>
      <c r="K882" s="3">
        <v>0</v>
      </c>
      <c r="L882" t="s">
        <v>1191</v>
      </c>
      <c r="M882">
        <v>1989246</v>
      </c>
      <c r="N882" t="s">
        <v>1681</v>
      </c>
      <c r="P882" t="s">
        <v>1890</v>
      </c>
      <c r="Q882" t="s">
        <v>1262</v>
      </c>
      <c r="R882">
        <v>97701</v>
      </c>
      <c r="S882" t="s">
        <v>1891</v>
      </c>
      <c r="T882" t="s">
        <v>965</v>
      </c>
      <c r="U882">
        <v>0</v>
      </c>
      <c r="V882">
        <v>1</v>
      </c>
      <c r="W882" t="s">
        <v>1194</v>
      </c>
      <c r="X882" t="s">
        <v>973</v>
      </c>
      <c r="Y882">
        <v>10000</v>
      </c>
      <c r="Z882" s="2" t="s">
        <v>1194</v>
      </c>
      <c r="AA882" s="2" t="s">
        <v>1238</v>
      </c>
      <c r="AB882" t="s">
        <v>1238</v>
      </c>
      <c r="AC882">
        <v>718</v>
      </c>
      <c r="AD882" t="s">
        <v>1279</v>
      </c>
      <c r="AE882">
        <v>5</v>
      </c>
      <c r="AF882" t="s">
        <v>1290</v>
      </c>
      <c r="AG882">
        <v>0</v>
      </c>
      <c r="AH882">
        <v>0</v>
      </c>
      <c r="AI882">
        <v>0</v>
      </c>
      <c r="AJ882">
        <v>1971</v>
      </c>
      <c r="AK882" t="s">
        <v>1194</v>
      </c>
      <c r="AL882">
        <v>2006</v>
      </c>
      <c r="AM882" s="4" t="s">
        <v>1238</v>
      </c>
      <c r="AN882">
        <v>1</v>
      </c>
      <c r="AO882" t="s">
        <v>1317</v>
      </c>
      <c r="AP882">
        <f t="shared" si="26"/>
        <v>0</v>
      </c>
      <c r="AQ882">
        <v>1</v>
      </c>
      <c r="AR882" t="s">
        <v>1992</v>
      </c>
      <c r="AS882" t="s">
        <v>1995</v>
      </c>
      <c r="AT882" t="s">
        <v>1996</v>
      </c>
      <c r="AU882" t="s">
        <v>1996</v>
      </c>
      <c r="AV882" t="s">
        <v>1996</v>
      </c>
      <c r="AW882" t="s">
        <v>1996</v>
      </c>
      <c r="AX882" t="s">
        <v>1194</v>
      </c>
      <c r="AY882" t="s">
        <v>1996</v>
      </c>
      <c r="AZ882">
        <v>4304</v>
      </c>
      <c r="BA882">
        <v>2</v>
      </c>
      <c r="BB882" t="s">
        <v>2017</v>
      </c>
      <c r="BC882" s="3">
        <v>0</v>
      </c>
      <c r="BD882" s="3">
        <v>3115.5</v>
      </c>
      <c r="BE882" s="3">
        <v>0</v>
      </c>
      <c r="BF882" s="3">
        <v>3115.5</v>
      </c>
      <c r="BG882" s="3">
        <v>175</v>
      </c>
      <c r="BH882" s="3">
        <v>0</v>
      </c>
      <c r="BI882" s="3">
        <v>0</v>
      </c>
      <c r="BJ882" s="3">
        <v>11212.91</v>
      </c>
      <c r="BK882" s="3">
        <v>240</v>
      </c>
      <c r="BL882" s="3">
        <v>11452.91</v>
      </c>
      <c r="BM882" s="2">
        <f t="shared" ca="1" si="27"/>
        <v>3</v>
      </c>
      <c r="BN882" s="3">
        <v>250000</v>
      </c>
      <c r="BO882" s="3">
        <v>1000000</v>
      </c>
      <c r="BP882" s="3">
        <v>200000</v>
      </c>
      <c r="BQ882" s="3">
        <v>100000</v>
      </c>
      <c r="BR882" s="3">
        <v>250000</v>
      </c>
      <c r="BS882">
        <v>50000</v>
      </c>
      <c r="BT882">
        <v>0</v>
      </c>
      <c r="BU882">
        <v>0</v>
      </c>
      <c r="BV882">
        <v>1</v>
      </c>
      <c r="BW882">
        <v>0</v>
      </c>
      <c r="BX882">
        <v>0</v>
      </c>
      <c r="BY882">
        <v>0</v>
      </c>
      <c r="BZ882" t="s">
        <v>2958</v>
      </c>
      <c r="CA882" t="s">
        <v>1194</v>
      </c>
      <c r="CB882" t="s">
        <v>2945</v>
      </c>
    </row>
    <row r="883" spans="1:80" x14ac:dyDescent="0.25">
      <c r="A883">
        <v>882</v>
      </c>
      <c r="B883" t="s">
        <v>2896</v>
      </c>
      <c r="C883" s="1">
        <v>44834</v>
      </c>
      <c r="D883">
        <v>30</v>
      </c>
      <c r="E883" t="s">
        <v>5</v>
      </c>
      <c r="F883" t="s">
        <v>1310</v>
      </c>
      <c r="G883">
        <v>0</v>
      </c>
      <c r="H883" s="3">
        <v>1891685</v>
      </c>
      <c r="I883" s="3">
        <v>378337</v>
      </c>
      <c r="J883" s="3">
        <v>945842</v>
      </c>
      <c r="K883" s="3">
        <v>378337</v>
      </c>
      <c r="L883" t="s">
        <v>1191</v>
      </c>
      <c r="M883">
        <v>1989710</v>
      </c>
      <c r="N883" t="s">
        <v>1682</v>
      </c>
      <c r="P883" t="s">
        <v>1776</v>
      </c>
      <c r="Q883" t="s">
        <v>1268</v>
      </c>
      <c r="R883">
        <v>22030</v>
      </c>
      <c r="S883" t="s">
        <v>1981</v>
      </c>
      <c r="T883" t="s">
        <v>965</v>
      </c>
      <c r="U883">
        <v>0</v>
      </c>
      <c r="V883">
        <v>10</v>
      </c>
      <c r="W883" t="s">
        <v>1194</v>
      </c>
      <c r="X883" t="s">
        <v>973</v>
      </c>
      <c r="Y883">
        <v>10000</v>
      </c>
      <c r="Z883" s="2" t="s">
        <v>1194</v>
      </c>
      <c r="AA883" s="2" t="s">
        <v>1238</v>
      </c>
      <c r="AB883" t="s">
        <v>1238</v>
      </c>
      <c r="AC883">
        <v>763</v>
      </c>
      <c r="AD883" t="s">
        <v>1279</v>
      </c>
      <c r="AE883">
        <v>1</v>
      </c>
      <c r="AF883" t="s">
        <v>1290</v>
      </c>
      <c r="AG883">
        <v>0</v>
      </c>
      <c r="AH883">
        <v>1</v>
      </c>
      <c r="AI883">
        <v>1</v>
      </c>
      <c r="AJ883">
        <v>2003</v>
      </c>
      <c r="AK883" t="s">
        <v>1194</v>
      </c>
      <c r="AL883" t="s">
        <v>1194</v>
      </c>
      <c r="AM883" s="4" t="s">
        <v>1305</v>
      </c>
      <c r="AN883">
        <v>0</v>
      </c>
      <c r="AO883" t="s">
        <v>1315</v>
      </c>
      <c r="AP883">
        <f t="shared" si="26"/>
        <v>1</v>
      </c>
      <c r="AQ883">
        <v>1</v>
      </c>
      <c r="AR883" t="s">
        <v>1992</v>
      </c>
      <c r="AS883" t="s">
        <v>1995</v>
      </c>
      <c r="AT883" t="s">
        <v>1996</v>
      </c>
      <c r="AU883" t="s">
        <v>1996</v>
      </c>
      <c r="AV883" t="s">
        <v>1995</v>
      </c>
      <c r="AW883" t="s">
        <v>1996</v>
      </c>
      <c r="AX883" t="s">
        <v>2003</v>
      </c>
      <c r="AY883" t="s">
        <v>1996</v>
      </c>
      <c r="AZ883">
        <v>4506</v>
      </c>
      <c r="BA883" t="s">
        <v>1194</v>
      </c>
      <c r="BB883" t="s">
        <v>1194</v>
      </c>
      <c r="BC883" s="3">
        <v>0</v>
      </c>
      <c r="BD883" s="3">
        <v>0</v>
      </c>
      <c r="BE883" s="3">
        <v>0</v>
      </c>
      <c r="BF883" s="3">
        <v>0</v>
      </c>
      <c r="BG883" s="3">
        <v>175</v>
      </c>
      <c r="BH883" s="3">
        <v>0</v>
      </c>
      <c r="BI883" s="3">
        <v>0</v>
      </c>
      <c r="BJ883" s="3">
        <v>3538.3</v>
      </c>
      <c r="BK883" s="3">
        <v>355</v>
      </c>
      <c r="BL883" s="3">
        <v>3893.3</v>
      </c>
      <c r="BM883" s="2">
        <f t="shared" ca="1" si="27"/>
        <v>1</v>
      </c>
      <c r="BN883" s="3">
        <v>100000</v>
      </c>
      <c r="BO883" s="3">
        <v>50000</v>
      </c>
      <c r="BP883" s="3">
        <v>50000</v>
      </c>
      <c r="BQ883" s="3">
        <v>25000</v>
      </c>
      <c r="BR883" s="3">
        <v>1000000</v>
      </c>
      <c r="BS883">
        <v>250000</v>
      </c>
      <c r="BT883">
        <v>0</v>
      </c>
      <c r="BU883">
        <v>0</v>
      </c>
      <c r="BV883">
        <v>1</v>
      </c>
      <c r="BW883">
        <v>0</v>
      </c>
      <c r="BX883">
        <v>0</v>
      </c>
      <c r="BY883">
        <v>0</v>
      </c>
      <c r="BZ883" t="s">
        <v>2949</v>
      </c>
      <c r="CA883" t="s">
        <v>1194</v>
      </c>
      <c r="CB883" t="s">
        <v>2941</v>
      </c>
    </row>
    <row r="884" spans="1:80" x14ac:dyDescent="0.25">
      <c r="A884">
        <v>883</v>
      </c>
      <c r="B884" t="s">
        <v>2897</v>
      </c>
      <c r="C884" s="1">
        <v>44849</v>
      </c>
      <c r="D884">
        <v>12</v>
      </c>
      <c r="E884" t="s">
        <v>4</v>
      </c>
      <c r="F884" t="s">
        <v>1311</v>
      </c>
      <c r="G884">
        <v>1</v>
      </c>
      <c r="H884" s="3">
        <v>2954000</v>
      </c>
      <c r="I884" s="3">
        <v>140000</v>
      </c>
      <c r="J884" s="3">
        <v>1477000</v>
      </c>
      <c r="K884" s="3">
        <v>590800</v>
      </c>
      <c r="L884" t="s">
        <v>1191</v>
      </c>
      <c r="M884">
        <v>1993200</v>
      </c>
      <c r="N884" t="s">
        <v>1683</v>
      </c>
      <c r="P884" t="s">
        <v>1781</v>
      </c>
      <c r="Q884" t="s">
        <v>1246</v>
      </c>
      <c r="R884">
        <v>60093</v>
      </c>
      <c r="S884" t="s">
        <v>1734</v>
      </c>
      <c r="T884" t="s">
        <v>965</v>
      </c>
      <c r="U884">
        <v>0</v>
      </c>
      <c r="V884">
        <v>7</v>
      </c>
      <c r="W884" t="s">
        <v>1194</v>
      </c>
      <c r="X884" t="s">
        <v>973</v>
      </c>
      <c r="Y884">
        <v>10000</v>
      </c>
      <c r="Z884" s="2" t="s">
        <v>1194</v>
      </c>
      <c r="AA884" s="2">
        <v>0</v>
      </c>
      <c r="AB884" t="s">
        <v>1238</v>
      </c>
      <c r="AC884">
        <v>960</v>
      </c>
      <c r="AD884" t="s">
        <v>1284</v>
      </c>
      <c r="AE884">
        <v>3</v>
      </c>
      <c r="AF884" t="s">
        <v>1290</v>
      </c>
      <c r="AG884">
        <v>0</v>
      </c>
      <c r="AH884">
        <v>0</v>
      </c>
      <c r="AI884">
        <v>0</v>
      </c>
      <c r="AJ884">
        <v>1975</v>
      </c>
      <c r="AK884">
        <v>2005</v>
      </c>
      <c r="AL884">
        <v>2022</v>
      </c>
      <c r="AM884" s="4" t="s">
        <v>1238</v>
      </c>
      <c r="AN884">
        <v>1</v>
      </c>
      <c r="AO884" t="s">
        <v>1316</v>
      </c>
      <c r="AP884">
        <f t="shared" si="26"/>
        <v>0</v>
      </c>
      <c r="AQ884">
        <v>1</v>
      </c>
      <c r="AR884" t="s">
        <v>1992</v>
      </c>
      <c r="AS884" t="s">
        <v>1995</v>
      </c>
      <c r="AT884" t="s">
        <v>1995</v>
      </c>
      <c r="AU884" t="s">
        <v>1996</v>
      </c>
      <c r="AV884" t="s">
        <v>1996</v>
      </c>
      <c r="AW884" t="s">
        <v>1995</v>
      </c>
      <c r="AX884" t="s">
        <v>1194</v>
      </c>
      <c r="AY884" t="s">
        <v>1996</v>
      </c>
      <c r="AZ884">
        <v>4694</v>
      </c>
      <c r="BA884" t="s">
        <v>1194</v>
      </c>
      <c r="BB884" t="s">
        <v>1194</v>
      </c>
      <c r="BC884" s="3">
        <v>0</v>
      </c>
      <c r="BD884" s="3">
        <v>0</v>
      </c>
      <c r="BE884" s="3">
        <v>0</v>
      </c>
      <c r="BF884" s="3">
        <v>0</v>
      </c>
      <c r="BG884" s="3">
        <v>175</v>
      </c>
      <c r="BH884" s="3">
        <v>0</v>
      </c>
      <c r="BI884" s="3">
        <v>0</v>
      </c>
      <c r="BJ884" s="3">
        <v>5106.58</v>
      </c>
      <c r="BK884" s="3">
        <v>360</v>
      </c>
      <c r="BL884" s="3">
        <v>5466.58</v>
      </c>
      <c r="BM884" s="2">
        <f t="shared" ca="1" si="27"/>
        <v>5</v>
      </c>
      <c r="BN884" s="3">
        <v>500000</v>
      </c>
      <c r="BO884" s="3">
        <v>100000</v>
      </c>
      <c r="BP884" s="3">
        <v>50000</v>
      </c>
      <c r="BQ884" s="3">
        <v>50000</v>
      </c>
      <c r="BR884" s="3">
        <v>50000</v>
      </c>
      <c r="BS884">
        <v>500000</v>
      </c>
      <c r="BT884">
        <v>0</v>
      </c>
      <c r="BU884">
        <v>0</v>
      </c>
      <c r="BV884">
        <v>1</v>
      </c>
      <c r="BW884">
        <v>0</v>
      </c>
      <c r="BX884">
        <v>0</v>
      </c>
      <c r="BY884">
        <v>0</v>
      </c>
      <c r="BZ884" t="s">
        <v>2958</v>
      </c>
      <c r="CA884" t="s">
        <v>1194</v>
      </c>
      <c r="CB884" t="s">
        <v>2945</v>
      </c>
    </row>
    <row r="885" spans="1:80" x14ac:dyDescent="0.25">
      <c r="A885">
        <v>884</v>
      </c>
      <c r="B885" t="s">
        <v>2898</v>
      </c>
      <c r="C885" s="1">
        <v>44902</v>
      </c>
      <c r="D885">
        <v>12</v>
      </c>
      <c r="E885" t="s">
        <v>5</v>
      </c>
      <c r="F885" t="s">
        <v>1310</v>
      </c>
      <c r="G885">
        <v>1</v>
      </c>
      <c r="H885" s="3">
        <v>1500000</v>
      </c>
      <c r="I885" s="3">
        <v>300000</v>
      </c>
      <c r="J885" s="3">
        <v>750000</v>
      </c>
      <c r="K885" s="3">
        <v>0</v>
      </c>
      <c r="L885" t="s">
        <v>1191</v>
      </c>
      <c r="M885">
        <v>2009405</v>
      </c>
      <c r="N885" t="s">
        <v>1684</v>
      </c>
      <c r="P885" t="s">
        <v>1982</v>
      </c>
      <c r="Q885" t="s">
        <v>1268</v>
      </c>
      <c r="R885">
        <v>23451</v>
      </c>
      <c r="S885" t="s">
        <v>1829</v>
      </c>
      <c r="T885" t="s">
        <v>1986</v>
      </c>
      <c r="U885">
        <v>1</v>
      </c>
      <c r="V885">
        <v>304</v>
      </c>
      <c r="W885" t="s">
        <v>1194</v>
      </c>
      <c r="X885" t="s">
        <v>1309</v>
      </c>
      <c r="Y885">
        <v>10000</v>
      </c>
      <c r="Z885" s="2">
        <v>0.5</v>
      </c>
      <c r="AA885" s="2" t="s">
        <v>1238</v>
      </c>
      <c r="AB885" t="s">
        <v>1238</v>
      </c>
      <c r="AC885">
        <v>807</v>
      </c>
      <c r="AD885" t="s">
        <v>1279</v>
      </c>
      <c r="AE885">
        <v>2</v>
      </c>
      <c r="AF885" t="s">
        <v>1290</v>
      </c>
      <c r="AG885">
        <v>0</v>
      </c>
      <c r="AH885">
        <v>0</v>
      </c>
      <c r="AI885">
        <v>0</v>
      </c>
      <c r="AJ885">
        <v>1935</v>
      </c>
      <c r="AK885" t="s">
        <v>1194</v>
      </c>
      <c r="AL885" t="s">
        <v>1194</v>
      </c>
      <c r="AM885" s="4" t="s">
        <v>1308</v>
      </c>
      <c r="AN885">
        <v>1</v>
      </c>
      <c r="AO885" t="s">
        <v>1315</v>
      </c>
      <c r="AP885">
        <f t="shared" si="26"/>
        <v>0</v>
      </c>
      <c r="AQ885">
        <v>0</v>
      </c>
      <c r="AR885" t="s">
        <v>1993</v>
      </c>
      <c r="AS885" t="s">
        <v>1996</v>
      </c>
      <c r="AT885" t="s">
        <v>1996</v>
      </c>
      <c r="AU885" t="s">
        <v>1995</v>
      </c>
      <c r="AV885" t="s">
        <v>1995</v>
      </c>
      <c r="AW885" t="s">
        <v>1996</v>
      </c>
      <c r="AX885" t="s">
        <v>2003</v>
      </c>
      <c r="AY885" t="s">
        <v>1996</v>
      </c>
      <c r="AZ885">
        <v>3289</v>
      </c>
      <c r="BA885" t="s">
        <v>1194</v>
      </c>
      <c r="BB885" t="s">
        <v>1194</v>
      </c>
      <c r="BC885" s="3">
        <v>0</v>
      </c>
      <c r="BD885" s="3">
        <v>3123.38</v>
      </c>
      <c r="BE885" s="3">
        <v>0</v>
      </c>
      <c r="BF885" s="3">
        <v>0</v>
      </c>
      <c r="BG885" s="3">
        <v>210</v>
      </c>
      <c r="BH885" s="3">
        <v>0</v>
      </c>
      <c r="BI885" s="3">
        <v>0</v>
      </c>
      <c r="BJ885" s="3">
        <v>5846.43</v>
      </c>
      <c r="BK885" s="3">
        <v>375</v>
      </c>
      <c r="BL885" s="3">
        <v>6221.43</v>
      </c>
      <c r="BM885" s="2">
        <f t="shared" ca="1" si="27"/>
        <v>6</v>
      </c>
      <c r="BN885" s="3">
        <v>500000</v>
      </c>
      <c r="BO885" s="3">
        <v>25000</v>
      </c>
      <c r="BP885" s="3" t="s">
        <v>2922</v>
      </c>
      <c r="BQ885" s="3">
        <v>1000000</v>
      </c>
      <c r="BR885" s="3">
        <v>1000000</v>
      </c>
      <c r="BS885">
        <v>500000</v>
      </c>
      <c r="BT885">
        <v>0</v>
      </c>
      <c r="BU885">
        <v>0</v>
      </c>
      <c r="BV885">
        <v>1</v>
      </c>
      <c r="BW885">
        <v>0</v>
      </c>
      <c r="BX885">
        <v>0</v>
      </c>
      <c r="BY885">
        <v>0</v>
      </c>
      <c r="BZ885" t="s">
        <v>2949</v>
      </c>
      <c r="CA885" t="s">
        <v>1194</v>
      </c>
      <c r="CB885" t="s">
        <v>2949</v>
      </c>
    </row>
    <row r="886" spans="1:80" x14ac:dyDescent="0.25">
      <c r="A886">
        <v>885</v>
      </c>
      <c r="B886" t="s">
        <v>2899</v>
      </c>
      <c r="C886" s="1">
        <v>44881</v>
      </c>
      <c r="D886">
        <v>15</v>
      </c>
      <c r="E886" t="s">
        <v>4</v>
      </c>
      <c r="F886" t="s">
        <v>1311</v>
      </c>
      <c r="G886">
        <v>0</v>
      </c>
      <c r="H886" s="3">
        <v>1300000</v>
      </c>
      <c r="I886" s="3">
        <v>260000</v>
      </c>
      <c r="J886" s="3">
        <v>650000</v>
      </c>
      <c r="K886" s="3">
        <v>260000</v>
      </c>
      <c r="L886" t="s">
        <v>1191</v>
      </c>
      <c r="M886">
        <v>2014118</v>
      </c>
      <c r="N886" t="s">
        <v>1685</v>
      </c>
      <c r="P886" t="s">
        <v>1730</v>
      </c>
      <c r="Q886" t="s">
        <v>1261</v>
      </c>
      <c r="R886">
        <v>74105</v>
      </c>
      <c r="S886" t="s">
        <v>1730</v>
      </c>
      <c r="T886" t="s">
        <v>965</v>
      </c>
      <c r="U886">
        <v>0</v>
      </c>
      <c r="V886">
        <v>4</v>
      </c>
      <c r="W886" t="s">
        <v>1194</v>
      </c>
      <c r="X886" t="s">
        <v>973</v>
      </c>
      <c r="Y886">
        <v>5000</v>
      </c>
      <c r="Z886" s="2">
        <v>1</v>
      </c>
      <c r="AA886" s="2">
        <v>1</v>
      </c>
      <c r="AB886">
        <v>5.0000000000000001E-3</v>
      </c>
      <c r="AC886">
        <v>898</v>
      </c>
      <c r="AD886" t="s">
        <v>1279</v>
      </c>
      <c r="AE886">
        <v>1</v>
      </c>
      <c r="AF886" t="s">
        <v>1290</v>
      </c>
      <c r="AG886">
        <v>0</v>
      </c>
      <c r="AH886">
        <v>0</v>
      </c>
      <c r="AI886">
        <v>0</v>
      </c>
      <c r="AJ886">
        <v>2005</v>
      </c>
      <c r="AK886">
        <v>2022</v>
      </c>
      <c r="AL886">
        <v>2022</v>
      </c>
      <c r="AM886" s="4" t="s">
        <v>1238</v>
      </c>
      <c r="AN886">
        <v>0</v>
      </c>
      <c r="AO886" t="s">
        <v>1315</v>
      </c>
      <c r="AP886">
        <f t="shared" si="26"/>
        <v>0</v>
      </c>
      <c r="AQ886">
        <v>0</v>
      </c>
      <c r="AR886" t="s">
        <v>1993</v>
      </c>
      <c r="AS886" t="s">
        <v>1995</v>
      </c>
      <c r="AT886" t="s">
        <v>1995</v>
      </c>
      <c r="AU886" t="s">
        <v>1996</v>
      </c>
      <c r="AV886" t="s">
        <v>1995</v>
      </c>
      <c r="AW886" t="s">
        <v>1995</v>
      </c>
      <c r="AX886" t="s">
        <v>1194</v>
      </c>
      <c r="AY886" t="s">
        <v>1996</v>
      </c>
      <c r="AZ886">
        <v>3920</v>
      </c>
      <c r="BA886" t="s">
        <v>1194</v>
      </c>
      <c r="BB886" t="s">
        <v>1194</v>
      </c>
      <c r="BC886" s="3">
        <v>0</v>
      </c>
      <c r="BD886" s="3">
        <v>0</v>
      </c>
      <c r="BE886" s="3">
        <v>0</v>
      </c>
      <c r="BF886" s="3">
        <v>0</v>
      </c>
      <c r="BG886" s="3">
        <v>175</v>
      </c>
      <c r="BH886" s="3">
        <v>0</v>
      </c>
      <c r="BI886" s="3">
        <v>0</v>
      </c>
      <c r="BJ886" s="3">
        <v>5058.7700000000004</v>
      </c>
      <c r="BK886" s="3">
        <v>-15</v>
      </c>
      <c r="BL886" s="3">
        <v>5043.7700000000004</v>
      </c>
      <c r="BM886" s="2">
        <f t="shared" ca="1" si="27"/>
        <v>3</v>
      </c>
      <c r="BN886" s="3">
        <v>50000</v>
      </c>
      <c r="BO886" s="3">
        <v>25000</v>
      </c>
      <c r="BP886" s="3">
        <v>50000</v>
      </c>
      <c r="BQ886" s="3">
        <v>50000</v>
      </c>
      <c r="BR886" s="3">
        <v>50000</v>
      </c>
      <c r="BS886">
        <v>50000</v>
      </c>
      <c r="BT886">
        <v>0</v>
      </c>
      <c r="BU886">
        <v>0</v>
      </c>
      <c r="BV886">
        <v>1</v>
      </c>
      <c r="BW886">
        <v>0</v>
      </c>
      <c r="BX886">
        <v>0</v>
      </c>
      <c r="BY886">
        <v>0</v>
      </c>
      <c r="BZ886" t="s">
        <v>2958</v>
      </c>
      <c r="CA886" t="s">
        <v>1194</v>
      </c>
      <c r="CB886" t="s">
        <v>2945</v>
      </c>
    </row>
    <row r="887" spans="1:80" x14ac:dyDescent="0.25">
      <c r="A887">
        <v>886</v>
      </c>
      <c r="B887" t="s">
        <v>2900</v>
      </c>
      <c r="C887" s="1">
        <v>44869</v>
      </c>
      <c r="D887">
        <v>21</v>
      </c>
      <c r="E887" t="s">
        <v>4</v>
      </c>
      <c r="F887" t="s">
        <v>1311</v>
      </c>
      <c r="G887">
        <v>1</v>
      </c>
      <c r="H887" s="3">
        <v>2200000</v>
      </c>
      <c r="I887" s="3">
        <v>360000</v>
      </c>
      <c r="J887" s="3">
        <v>900000</v>
      </c>
      <c r="K887" s="3">
        <v>440000</v>
      </c>
      <c r="L887" t="s">
        <v>1191</v>
      </c>
      <c r="M887">
        <v>2013899</v>
      </c>
      <c r="N887" t="s">
        <v>1686</v>
      </c>
      <c r="P887" t="s">
        <v>1983</v>
      </c>
      <c r="Q887" t="s">
        <v>1254</v>
      </c>
      <c r="R887">
        <v>63131</v>
      </c>
      <c r="S887" t="s">
        <v>1698</v>
      </c>
      <c r="T887" t="s">
        <v>965</v>
      </c>
      <c r="U887">
        <v>0</v>
      </c>
      <c r="V887">
        <v>3</v>
      </c>
      <c r="W887" t="s">
        <v>1194</v>
      </c>
      <c r="X887" t="s">
        <v>973</v>
      </c>
      <c r="Y887">
        <v>10000</v>
      </c>
      <c r="Z887" s="2">
        <v>1</v>
      </c>
      <c r="AA887" s="2">
        <v>1</v>
      </c>
      <c r="AB887">
        <v>0.02</v>
      </c>
      <c r="AC887">
        <v>845</v>
      </c>
      <c r="AD887" t="s">
        <v>1284</v>
      </c>
      <c r="AE887">
        <v>2</v>
      </c>
      <c r="AF887" t="s">
        <v>1290</v>
      </c>
      <c r="AG887">
        <v>0</v>
      </c>
      <c r="AH887">
        <v>0</v>
      </c>
      <c r="AI887">
        <v>0</v>
      </c>
      <c r="AJ887">
        <v>1989</v>
      </c>
      <c r="AK887" t="s">
        <v>1194</v>
      </c>
      <c r="AL887">
        <v>2015</v>
      </c>
      <c r="AM887" s="4" t="s">
        <v>1238</v>
      </c>
      <c r="AN887">
        <v>0</v>
      </c>
      <c r="AO887" t="s">
        <v>1315</v>
      </c>
      <c r="AP887">
        <f t="shared" si="26"/>
        <v>0</v>
      </c>
      <c r="AQ887">
        <v>1</v>
      </c>
      <c r="AR887" t="s">
        <v>1992</v>
      </c>
      <c r="AS887" t="s">
        <v>1996</v>
      </c>
      <c r="AT887" t="s">
        <v>1995</v>
      </c>
      <c r="AU887" t="s">
        <v>1995</v>
      </c>
      <c r="AV887" t="s">
        <v>1995</v>
      </c>
      <c r="AW887" t="s">
        <v>1995</v>
      </c>
      <c r="AX887" t="s">
        <v>1194</v>
      </c>
      <c r="AY887" t="s">
        <v>1996</v>
      </c>
      <c r="AZ887">
        <v>1989</v>
      </c>
      <c r="BA887" t="s">
        <v>1194</v>
      </c>
      <c r="BB887" t="s">
        <v>1194</v>
      </c>
      <c r="BC887" s="3">
        <v>0</v>
      </c>
      <c r="BD887" s="3">
        <v>0</v>
      </c>
      <c r="BE887" s="3">
        <v>0</v>
      </c>
      <c r="BF887" s="3">
        <v>0</v>
      </c>
      <c r="BG887" s="3">
        <v>175</v>
      </c>
      <c r="BH887" s="3">
        <v>0</v>
      </c>
      <c r="BI887" s="3">
        <v>0</v>
      </c>
      <c r="BJ887" s="3">
        <v>9186.31</v>
      </c>
      <c r="BK887" s="3">
        <v>1426.09</v>
      </c>
      <c r="BL887" s="3">
        <v>10612.4</v>
      </c>
      <c r="BM887" s="2">
        <f t="shared" ca="1" si="27"/>
        <v>1</v>
      </c>
      <c r="BN887" s="3">
        <v>50000</v>
      </c>
      <c r="BO887" s="3">
        <v>1000000</v>
      </c>
      <c r="BP887" s="3">
        <v>50000</v>
      </c>
      <c r="BQ887" s="3">
        <v>1000000</v>
      </c>
      <c r="BR887" s="3">
        <v>1000000</v>
      </c>
      <c r="BS887">
        <v>500000</v>
      </c>
      <c r="BT887">
        <v>0</v>
      </c>
      <c r="BU887">
        <v>1</v>
      </c>
      <c r="BV887">
        <v>1</v>
      </c>
      <c r="BW887">
        <v>0</v>
      </c>
      <c r="BX887">
        <v>0</v>
      </c>
      <c r="BY887">
        <v>0</v>
      </c>
      <c r="BZ887" t="s">
        <v>2958</v>
      </c>
      <c r="CA887" t="s">
        <v>1194</v>
      </c>
      <c r="CB887" t="s">
        <v>2945</v>
      </c>
    </row>
    <row r="888" spans="1:80" x14ac:dyDescent="0.25">
      <c r="A888">
        <v>887</v>
      </c>
      <c r="B888" t="s">
        <v>2901</v>
      </c>
      <c r="C888" s="1">
        <v>44908</v>
      </c>
      <c r="D888">
        <v>12</v>
      </c>
      <c r="E888" t="s">
        <v>4</v>
      </c>
      <c r="F888" t="s">
        <v>1311</v>
      </c>
      <c r="G888">
        <v>1</v>
      </c>
      <c r="H888" s="3">
        <v>2184000</v>
      </c>
      <c r="I888" s="3">
        <v>256000</v>
      </c>
      <c r="J888" s="3">
        <v>1099362</v>
      </c>
      <c r="K888" s="3">
        <v>436800</v>
      </c>
      <c r="L888" t="s">
        <v>1191</v>
      </c>
      <c r="M888">
        <v>323485</v>
      </c>
      <c r="N888" t="s">
        <v>1687</v>
      </c>
      <c r="P888" t="s">
        <v>1794</v>
      </c>
      <c r="Q888" t="s">
        <v>1254</v>
      </c>
      <c r="R888">
        <v>64113</v>
      </c>
      <c r="S888" t="s">
        <v>72</v>
      </c>
      <c r="T888" t="s">
        <v>965</v>
      </c>
      <c r="U888">
        <v>0</v>
      </c>
      <c r="V888">
        <v>3</v>
      </c>
      <c r="W888" t="s">
        <v>1194</v>
      </c>
      <c r="X888" t="s">
        <v>973</v>
      </c>
      <c r="Y888">
        <v>10000</v>
      </c>
      <c r="Z888" s="2">
        <v>1</v>
      </c>
      <c r="AA888" s="2">
        <v>1</v>
      </c>
      <c r="AB888">
        <v>5.0000000000000001E-3</v>
      </c>
      <c r="AC888">
        <v>825</v>
      </c>
      <c r="AD888" t="s">
        <v>1283</v>
      </c>
      <c r="AE888">
        <v>1</v>
      </c>
      <c r="AF888" t="s">
        <v>1290</v>
      </c>
      <c r="AG888">
        <v>0</v>
      </c>
      <c r="AH888">
        <v>0</v>
      </c>
      <c r="AI888">
        <v>0</v>
      </c>
      <c r="AJ888">
        <v>1925</v>
      </c>
      <c r="AK888">
        <v>2004</v>
      </c>
      <c r="AL888" t="s">
        <v>1194</v>
      </c>
      <c r="AM888" s="4" t="s">
        <v>1238</v>
      </c>
      <c r="AN888">
        <v>1</v>
      </c>
      <c r="AO888" t="s">
        <v>1315</v>
      </c>
      <c r="AP888">
        <f t="shared" si="26"/>
        <v>0</v>
      </c>
      <c r="AQ888">
        <v>0</v>
      </c>
      <c r="AR888" t="s">
        <v>1993</v>
      </c>
      <c r="AS888" t="s">
        <v>1996</v>
      </c>
      <c r="AT888" t="s">
        <v>1996</v>
      </c>
      <c r="AU888" t="s">
        <v>1995</v>
      </c>
      <c r="AV888" t="s">
        <v>1996</v>
      </c>
      <c r="AW888" t="s">
        <v>1995</v>
      </c>
      <c r="AX888" t="s">
        <v>1194</v>
      </c>
      <c r="AY888" t="s">
        <v>1996</v>
      </c>
      <c r="AZ888">
        <v>4271</v>
      </c>
      <c r="BA888" t="s">
        <v>1194</v>
      </c>
      <c r="BB888" t="s">
        <v>1194</v>
      </c>
      <c r="BC888" s="3">
        <v>0</v>
      </c>
      <c r="BD888" s="3">
        <v>0</v>
      </c>
      <c r="BE888" s="3">
        <v>0</v>
      </c>
      <c r="BF888" s="3">
        <v>0</v>
      </c>
      <c r="BG888" s="3">
        <v>175</v>
      </c>
      <c r="BH888" s="3">
        <v>0</v>
      </c>
      <c r="BI888" s="3">
        <v>0</v>
      </c>
      <c r="BJ888" s="3">
        <v>9852.56</v>
      </c>
      <c r="BK888" s="3">
        <v>235</v>
      </c>
      <c r="BL888" s="3">
        <v>10087.56</v>
      </c>
      <c r="BM888" s="2">
        <f t="shared" ca="1" si="27"/>
        <v>1</v>
      </c>
      <c r="BN888" s="3">
        <v>100000</v>
      </c>
      <c r="BO888" s="3">
        <v>25000</v>
      </c>
      <c r="BP888" s="3">
        <v>50000</v>
      </c>
      <c r="BQ888" s="3">
        <v>1000000</v>
      </c>
      <c r="BR888" s="3">
        <v>250000</v>
      </c>
      <c r="BS888">
        <v>500000</v>
      </c>
      <c r="BT888">
        <v>0</v>
      </c>
      <c r="BU888">
        <v>0</v>
      </c>
      <c r="BV888">
        <v>1</v>
      </c>
      <c r="BW888">
        <v>0</v>
      </c>
      <c r="BX888">
        <v>0</v>
      </c>
      <c r="BY888">
        <v>0</v>
      </c>
      <c r="BZ888" t="s">
        <v>2959</v>
      </c>
      <c r="CA888" t="s">
        <v>1194</v>
      </c>
      <c r="CB888" t="s">
        <v>2945</v>
      </c>
    </row>
    <row r="889" spans="1:80" x14ac:dyDescent="0.25">
      <c r="A889">
        <v>888</v>
      </c>
      <c r="B889" t="s">
        <v>2902</v>
      </c>
      <c r="C889" s="1">
        <v>44957</v>
      </c>
      <c r="D889">
        <v>12</v>
      </c>
      <c r="E889" t="s">
        <v>6</v>
      </c>
      <c r="F889" t="s">
        <v>1310</v>
      </c>
      <c r="G889">
        <v>1</v>
      </c>
      <c r="H889" s="3">
        <v>1500000</v>
      </c>
      <c r="I889" s="3">
        <v>300000</v>
      </c>
      <c r="J889" s="3">
        <v>750000</v>
      </c>
      <c r="K889" s="3">
        <v>300000</v>
      </c>
      <c r="L889" t="s">
        <v>1191</v>
      </c>
      <c r="M889">
        <v>2048448</v>
      </c>
      <c r="N889" t="s">
        <v>1688</v>
      </c>
      <c r="P889" t="s">
        <v>1984</v>
      </c>
      <c r="Q889" t="s">
        <v>1252</v>
      </c>
      <c r="R889">
        <v>48130</v>
      </c>
      <c r="S889" t="s">
        <v>1985</v>
      </c>
      <c r="T889" t="s">
        <v>965</v>
      </c>
      <c r="U889">
        <v>0</v>
      </c>
      <c r="V889">
        <v>8</v>
      </c>
      <c r="W889" t="s">
        <v>1194</v>
      </c>
      <c r="X889" t="s">
        <v>973</v>
      </c>
      <c r="Y889">
        <v>10000</v>
      </c>
      <c r="Z889" s="2" t="s">
        <v>1194</v>
      </c>
      <c r="AA889" s="2">
        <v>1</v>
      </c>
      <c r="AB889">
        <v>0.02</v>
      </c>
      <c r="AC889">
        <v>873</v>
      </c>
      <c r="AD889" t="s">
        <v>1284</v>
      </c>
      <c r="AE889">
        <v>9</v>
      </c>
      <c r="AF889" t="s">
        <v>1290</v>
      </c>
      <c r="AG889">
        <v>0</v>
      </c>
      <c r="AH889">
        <v>0</v>
      </c>
      <c r="AI889">
        <v>0</v>
      </c>
      <c r="AJ889">
        <v>2000</v>
      </c>
      <c r="AK889" t="s">
        <v>1194</v>
      </c>
      <c r="AL889" t="s">
        <v>1194</v>
      </c>
      <c r="AM889" s="4" t="s">
        <v>1305</v>
      </c>
      <c r="AN889">
        <v>1</v>
      </c>
      <c r="AO889" t="s">
        <v>1316</v>
      </c>
      <c r="AP889">
        <f t="shared" si="26"/>
        <v>0</v>
      </c>
      <c r="AQ889">
        <v>0</v>
      </c>
      <c r="AR889" t="s">
        <v>1993</v>
      </c>
      <c r="AS889" t="s">
        <v>1995</v>
      </c>
      <c r="AT889" t="s">
        <v>1995</v>
      </c>
      <c r="AU889" t="s">
        <v>1996</v>
      </c>
      <c r="AV889" t="s">
        <v>1995</v>
      </c>
      <c r="AW889" t="s">
        <v>1996</v>
      </c>
      <c r="AX889" t="s">
        <v>1194</v>
      </c>
      <c r="AY889" t="s">
        <v>1996</v>
      </c>
      <c r="AZ889">
        <v>3265</v>
      </c>
      <c r="BA889" t="s">
        <v>1194</v>
      </c>
      <c r="BB889" t="s">
        <v>1194</v>
      </c>
      <c r="BC889" s="3">
        <v>0</v>
      </c>
      <c r="BD889" s="3">
        <v>0</v>
      </c>
      <c r="BE889" s="3">
        <v>0</v>
      </c>
      <c r="BF889" s="3">
        <v>0</v>
      </c>
      <c r="BG889" s="3">
        <v>150</v>
      </c>
      <c r="BH889" s="3">
        <v>0</v>
      </c>
      <c r="BI889" s="3">
        <v>0</v>
      </c>
      <c r="BJ889" s="3">
        <v>4713.38</v>
      </c>
      <c r="BK889" s="3">
        <v>250</v>
      </c>
      <c r="BL889" s="3">
        <v>4963.38</v>
      </c>
      <c r="BM889" s="2">
        <f t="shared" ca="1" si="27"/>
        <v>2</v>
      </c>
      <c r="BN889" s="3" t="s">
        <v>2916</v>
      </c>
      <c r="BO889" s="3">
        <v>25000</v>
      </c>
      <c r="BP889" s="3">
        <v>100000</v>
      </c>
      <c r="BQ889" s="3">
        <v>100000</v>
      </c>
      <c r="BR889" s="3">
        <v>500000</v>
      </c>
      <c r="BS889">
        <v>250000</v>
      </c>
      <c r="BT889">
        <v>0</v>
      </c>
      <c r="BU889">
        <v>0</v>
      </c>
      <c r="BV889">
        <v>1</v>
      </c>
      <c r="BW889">
        <v>0</v>
      </c>
      <c r="BX889">
        <v>0</v>
      </c>
      <c r="BY889">
        <v>0</v>
      </c>
      <c r="BZ889" t="s">
        <v>2958</v>
      </c>
      <c r="CA889" t="s">
        <v>1194</v>
      </c>
      <c r="CB889" t="s">
        <v>2941</v>
      </c>
    </row>
    <row r="890" spans="1:80" x14ac:dyDescent="0.25">
      <c r="A890">
        <v>889</v>
      </c>
      <c r="B890" t="s">
        <v>2903</v>
      </c>
      <c r="C890" s="1">
        <v>44944</v>
      </c>
      <c r="D890">
        <v>27</v>
      </c>
      <c r="E890" t="s">
        <v>5</v>
      </c>
      <c r="F890" t="s">
        <v>1310</v>
      </c>
      <c r="G890">
        <v>0</v>
      </c>
      <c r="H890" s="3">
        <v>0</v>
      </c>
      <c r="I890" s="3">
        <v>0</v>
      </c>
      <c r="J890" s="3">
        <v>2148552</v>
      </c>
      <c r="K890" s="3">
        <v>0</v>
      </c>
      <c r="L890" t="s">
        <v>1192</v>
      </c>
      <c r="M890">
        <v>2049346</v>
      </c>
      <c r="N890" t="s">
        <v>1689</v>
      </c>
      <c r="P890" t="s">
        <v>1733</v>
      </c>
      <c r="Q890" t="s">
        <v>1246</v>
      </c>
      <c r="R890">
        <v>60611</v>
      </c>
      <c r="S890" t="s">
        <v>1734</v>
      </c>
      <c r="T890" t="s">
        <v>965</v>
      </c>
      <c r="U890">
        <v>0</v>
      </c>
      <c r="V890">
        <v>7</v>
      </c>
      <c r="W890" t="s">
        <v>1194</v>
      </c>
      <c r="X890" t="s">
        <v>973</v>
      </c>
      <c r="Y890">
        <v>10000</v>
      </c>
      <c r="Z890" s="2" t="s">
        <v>1194</v>
      </c>
      <c r="AA890" s="2">
        <v>0</v>
      </c>
      <c r="AB890" t="s">
        <v>1238</v>
      </c>
      <c r="AC890">
        <v>749</v>
      </c>
      <c r="AD890" t="s">
        <v>1281</v>
      </c>
      <c r="AE890">
        <v>1</v>
      </c>
      <c r="AF890" t="s">
        <v>1290</v>
      </c>
      <c r="AG890">
        <v>0</v>
      </c>
      <c r="AH890">
        <v>0</v>
      </c>
      <c r="AI890">
        <v>0</v>
      </c>
      <c r="AJ890">
        <v>2009</v>
      </c>
      <c r="AK890" t="s">
        <v>1194</v>
      </c>
      <c r="AL890" t="s">
        <v>1194</v>
      </c>
      <c r="AM890" s="4" t="s">
        <v>1305</v>
      </c>
      <c r="AN890">
        <v>1</v>
      </c>
      <c r="AO890" t="s">
        <v>1315</v>
      </c>
      <c r="AP890">
        <f t="shared" si="26"/>
        <v>0</v>
      </c>
      <c r="AQ890">
        <v>0</v>
      </c>
      <c r="AR890" t="s">
        <v>1993</v>
      </c>
      <c r="AS890" t="s">
        <v>1996</v>
      </c>
      <c r="AT890" t="s">
        <v>1996</v>
      </c>
      <c r="AU890" t="s">
        <v>1996</v>
      </c>
      <c r="AV890" t="s">
        <v>1996</v>
      </c>
      <c r="AW890" t="s">
        <v>1995</v>
      </c>
      <c r="AX890" t="s">
        <v>1194</v>
      </c>
      <c r="AY890" t="s">
        <v>1996</v>
      </c>
      <c r="AZ890">
        <v>3045</v>
      </c>
      <c r="BA890" t="s">
        <v>1194</v>
      </c>
      <c r="BB890" t="s">
        <v>1194</v>
      </c>
      <c r="BC890" s="3">
        <v>0</v>
      </c>
      <c r="BD890" s="3">
        <v>0</v>
      </c>
      <c r="BE890" s="3">
        <v>0</v>
      </c>
      <c r="BF890" s="3">
        <v>0</v>
      </c>
      <c r="BG890" s="3">
        <v>175</v>
      </c>
      <c r="BH890" s="3">
        <v>0</v>
      </c>
      <c r="BI890" s="3">
        <v>0</v>
      </c>
      <c r="BJ890" s="3">
        <v>4129.9799999999996</v>
      </c>
      <c r="BK890" s="3">
        <v>375</v>
      </c>
      <c r="BL890" s="3">
        <v>4504.9799999999996</v>
      </c>
      <c r="BM890" s="2">
        <f t="shared" ca="1" si="27"/>
        <v>3</v>
      </c>
      <c r="BN890" s="3">
        <v>100000</v>
      </c>
      <c r="BO890" s="3">
        <v>25000</v>
      </c>
      <c r="BP890" s="3">
        <v>50000</v>
      </c>
      <c r="BQ890" s="3">
        <v>25000</v>
      </c>
      <c r="BR890" s="3">
        <v>1000000</v>
      </c>
      <c r="BS890">
        <v>100000</v>
      </c>
      <c r="BT890">
        <v>0</v>
      </c>
      <c r="BU890">
        <v>0</v>
      </c>
      <c r="BV890">
        <v>1</v>
      </c>
      <c r="BW890">
        <v>0</v>
      </c>
      <c r="BX890">
        <v>0</v>
      </c>
      <c r="BY890">
        <v>0</v>
      </c>
      <c r="BZ890" t="s">
        <v>1194</v>
      </c>
      <c r="CA890" t="s">
        <v>1194</v>
      </c>
      <c r="CB890" t="s">
        <v>1194</v>
      </c>
    </row>
    <row r="891" spans="1:80" x14ac:dyDescent="0.25">
      <c r="C891" s="1"/>
      <c r="H891" s="3"/>
      <c r="I891" s="3"/>
      <c r="J891" s="3"/>
      <c r="K891" s="3"/>
    </row>
    <row r="892" spans="1:80" x14ac:dyDescent="0.25">
      <c r="C892" s="1"/>
      <c r="H892" s="3"/>
      <c r="I892" s="3"/>
      <c r="J892" s="3"/>
      <c r="K892" s="3"/>
    </row>
    <row r="893" spans="1:80" x14ac:dyDescent="0.25">
      <c r="C893" s="1"/>
      <c r="H893" s="3"/>
      <c r="I893" s="3"/>
      <c r="J893" s="3"/>
      <c r="K893" s="3"/>
    </row>
    <row r="894" spans="1:80" x14ac:dyDescent="0.25">
      <c r="C894" s="1"/>
      <c r="H894" s="3"/>
      <c r="I894" s="3"/>
      <c r="J894" s="3"/>
      <c r="K894" s="3"/>
    </row>
    <row r="895" spans="1:80" x14ac:dyDescent="0.25">
      <c r="C895" s="1"/>
      <c r="H895" s="3"/>
      <c r="I895" s="3"/>
      <c r="J895" s="3"/>
      <c r="K895" s="3"/>
    </row>
    <row r="896" spans="1:80" x14ac:dyDescent="0.25">
      <c r="C896" s="1"/>
      <c r="H896" s="3"/>
      <c r="I896" s="3"/>
      <c r="J896" s="3"/>
      <c r="K896" s="3"/>
    </row>
    <row r="897" spans="3:11" x14ac:dyDescent="0.25">
      <c r="C897" s="1"/>
      <c r="H897" s="3"/>
      <c r="I897" s="3"/>
      <c r="J897" s="3"/>
      <c r="K897" s="3"/>
    </row>
    <row r="898" spans="3:11" x14ac:dyDescent="0.25">
      <c r="C898" s="1"/>
      <c r="H898" s="3"/>
      <c r="I898" s="3"/>
      <c r="J898" s="3"/>
      <c r="K898" s="3"/>
    </row>
    <row r="899" spans="3:11" x14ac:dyDescent="0.25">
      <c r="C899" s="1"/>
      <c r="H899" s="3"/>
      <c r="I899" s="3"/>
      <c r="J899" s="3"/>
      <c r="K899" s="3"/>
    </row>
    <row r="900" spans="3:11" x14ac:dyDescent="0.25">
      <c r="C900" s="1"/>
      <c r="H900" s="3"/>
      <c r="I900" s="3"/>
      <c r="J900" s="3"/>
      <c r="K900" s="3"/>
    </row>
    <row r="901" spans="3:11" x14ac:dyDescent="0.25">
      <c r="C901" s="1"/>
      <c r="H901" s="3"/>
      <c r="I901" s="3"/>
      <c r="J901" s="3"/>
      <c r="K901" s="3"/>
    </row>
    <row r="902" spans="3:11" x14ac:dyDescent="0.25">
      <c r="C902" s="1"/>
      <c r="H902" s="3"/>
      <c r="I902" s="3"/>
      <c r="J902" s="3"/>
      <c r="K902" s="3"/>
    </row>
    <row r="903" spans="3:11" x14ac:dyDescent="0.25">
      <c r="C903" s="1"/>
      <c r="H903" s="3"/>
      <c r="I903" s="3"/>
      <c r="J903" s="3"/>
      <c r="K903" s="3"/>
    </row>
    <row r="904" spans="3:11" x14ac:dyDescent="0.25">
      <c r="C904" s="1"/>
      <c r="H904" s="3"/>
      <c r="I904" s="3"/>
      <c r="J904" s="3"/>
      <c r="K904" s="3"/>
    </row>
    <row r="905" spans="3:11" x14ac:dyDescent="0.25">
      <c r="C905" s="1"/>
      <c r="H905" s="3"/>
      <c r="I905" s="3"/>
      <c r="J905" s="3"/>
      <c r="K905" s="3"/>
    </row>
    <row r="906" spans="3:11" x14ac:dyDescent="0.25">
      <c r="C906" s="1"/>
      <c r="H906" s="3"/>
      <c r="I906" s="3"/>
      <c r="J906" s="3"/>
      <c r="K906" s="3"/>
    </row>
    <row r="907" spans="3:11" x14ac:dyDescent="0.25">
      <c r="C907" s="1"/>
      <c r="H907" s="3"/>
      <c r="I907" s="3"/>
      <c r="J907" s="3"/>
      <c r="K907" s="3"/>
    </row>
    <row r="908" spans="3:11" x14ac:dyDescent="0.25">
      <c r="C908" s="1"/>
      <c r="H908" s="3"/>
      <c r="I908" s="3"/>
      <c r="J908" s="3"/>
      <c r="K908" s="3"/>
    </row>
    <row r="909" spans="3:11" x14ac:dyDescent="0.25">
      <c r="C909" s="1"/>
      <c r="H909" s="3"/>
      <c r="I909" s="3"/>
      <c r="J909" s="3"/>
      <c r="K909" s="3"/>
    </row>
    <row r="910" spans="3:11" x14ac:dyDescent="0.25">
      <c r="C910" s="1"/>
      <c r="H910" s="3"/>
      <c r="I910" s="3"/>
      <c r="J910" s="3"/>
      <c r="K910" s="3"/>
    </row>
    <row r="911" spans="3:11" x14ac:dyDescent="0.25">
      <c r="C911" s="1"/>
      <c r="H911" s="3"/>
      <c r="I911" s="3"/>
      <c r="J911" s="3"/>
      <c r="K911" s="3"/>
    </row>
    <row r="912" spans="3:11" x14ac:dyDescent="0.25">
      <c r="C912" s="1"/>
      <c r="H912" s="3"/>
      <c r="I912" s="3"/>
      <c r="J912" s="3"/>
      <c r="K912" s="3"/>
    </row>
    <row r="913" spans="3:11" x14ac:dyDescent="0.25">
      <c r="C913" s="1"/>
      <c r="H913" s="3"/>
      <c r="I913" s="3"/>
      <c r="J913" s="3"/>
      <c r="K913" s="3"/>
    </row>
    <row r="914" spans="3:11" x14ac:dyDescent="0.25">
      <c r="C914" s="1"/>
      <c r="H914" s="3"/>
      <c r="I914" s="3"/>
      <c r="J914" s="3"/>
      <c r="K914" s="3"/>
    </row>
    <row r="915" spans="3:11" x14ac:dyDescent="0.25">
      <c r="C915" s="1"/>
      <c r="H915" s="3"/>
      <c r="I915" s="3"/>
      <c r="J915" s="3"/>
      <c r="K915" s="3"/>
    </row>
    <row r="916" spans="3:11" x14ac:dyDescent="0.25">
      <c r="C916" s="1"/>
      <c r="H916" s="3"/>
      <c r="I916" s="3"/>
      <c r="J916" s="3"/>
      <c r="K916" s="3"/>
    </row>
    <row r="917" spans="3:11" x14ac:dyDescent="0.25">
      <c r="C917" s="1"/>
      <c r="H917" s="3"/>
      <c r="I917" s="3"/>
      <c r="J917" s="3"/>
      <c r="K917" s="3"/>
    </row>
    <row r="918" spans="3:11" x14ac:dyDescent="0.25">
      <c r="C918" s="1"/>
      <c r="H918" s="3"/>
      <c r="I918" s="3"/>
      <c r="J918" s="3"/>
      <c r="K918" s="3"/>
    </row>
    <row r="919" spans="3:11" x14ac:dyDescent="0.25">
      <c r="C919" s="1"/>
      <c r="H919" s="3"/>
      <c r="I919" s="3"/>
      <c r="J919" s="3"/>
      <c r="K919" s="3"/>
    </row>
    <row r="920" spans="3:11" x14ac:dyDescent="0.25">
      <c r="C920" s="1"/>
      <c r="H920" s="3"/>
      <c r="I920" s="3"/>
      <c r="J920" s="3"/>
      <c r="K920" s="3"/>
    </row>
    <row r="921" spans="3:11" x14ac:dyDescent="0.25">
      <c r="C921" s="1"/>
      <c r="H921" s="3"/>
      <c r="I921" s="3"/>
      <c r="J921" s="3"/>
      <c r="K921" s="3"/>
    </row>
    <row r="922" spans="3:11" x14ac:dyDescent="0.25">
      <c r="C922" s="1"/>
      <c r="H922" s="3"/>
      <c r="I922" s="3"/>
      <c r="J922" s="3"/>
      <c r="K922" s="3"/>
    </row>
    <row r="923" spans="3:11" x14ac:dyDescent="0.25">
      <c r="C923" s="1"/>
      <c r="H923" s="3"/>
      <c r="I923" s="3"/>
      <c r="J923" s="3"/>
      <c r="K923" s="3"/>
    </row>
    <row r="924" spans="3:11" x14ac:dyDescent="0.25">
      <c r="C924" s="1"/>
      <c r="H924" s="3"/>
      <c r="I924" s="3"/>
      <c r="J924" s="3"/>
      <c r="K924" s="3"/>
    </row>
    <row r="925" spans="3:11" x14ac:dyDescent="0.25">
      <c r="C925" s="1"/>
      <c r="H925" s="3"/>
      <c r="I925" s="3"/>
      <c r="J925" s="3"/>
      <c r="K925" s="3"/>
    </row>
    <row r="926" spans="3:11" x14ac:dyDescent="0.25">
      <c r="C926" s="1"/>
      <c r="H926" s="3"/>
      <c r="I926" s="3"/>
      <c r="J926" s="3"/>
      <c r="K926" s="3"/>
    </row>
    <row r="927" spans="3:11" x14ac:dyDescent="0.25">
      <c r="C927" s="1"/>
      <c r="H927" s="3"/>
      <c r="I927" s="3"/>
      <c r="J927" s="3"/>
      <c r="K927" s="3"/>
    </row>
    <row r="928" spans="3:11" x14ac:dyDescent="0.25">
      <c r="C928" s="1"/>
      <c r="H928" s="3"/>
      <c r="I928" s="3"/>
      <c r="J928" s="3"/>
      <c r="K928" s="3"/>
    </row>
    <row r="929" spans="3:11" x14ac:dyDescent="0.25">
      <c r="C929" s="1"/>
      <c r="H929" s="3"/>
      <c r="I929" s="3"/>
      <c r="J929" s="3"/>
      <c r="K929" s="3"/>
    </row>
    <row r="930" spans="3:11" x14ac:dyDescent="0.25">
      <c r="C930" s="1"/>
      <c r="H930" s="3"/>
      <c r="I930" s="3"/>
      <c r="J930" s="3"/>
      <c r="K930" s="3"/>
    </row>
    <row r="931" spans="3:11" x14ac:dyDescent="0.25">
      <c r="C931" s="1"/>
      <c r="H931" s="3"/>
      <c r="I931" s="3"/>
      <c r="J931" s="3"/>
      <c r="K931" s="3"/>
    </row>
    <row r="932" spans="3:11" x14ac:dyDescent="0.25">
      <c r="C932" s="1"/>
      <c r="H932" s="3"/>
      <c r="I932" s="3"/>
      <c r="J932" s="3"/>
      <c r="K932" s="3"/>
    </row>
    <row r="933" spans="3:11" x14ac:dyDescent="0.25">
      <c r="C933" s="1"/>
      <c r="H933" s="3"/>
      <c r="I933" s="3"/>
      <c r="J933" s="3"/>
      <c r="K933" s="3"/>
    </row>
    <row r="934" spans="3:11" x14ac:dyDescent="0.25">
      <c r="C934" s="1"/>
      <c r="H934" s="3"/>
      <c r="I934" s="3"/>
      <c r="J934" s="3"/>
      <c r="K934" s="3"/>
    </row>
    <row r="935" spans="3:11" x14ac:dyDescent="0.25">
      <c r="C935" s="1"/>
      <c r="H935" s="3"/>
      <c r="I935" s="3"/>
      <c r="J935" s="3"/>
      <c r="K935" s="3"/>
    </row>
    <row r="936" spans="3:11" x14ac:dyDescent="0.25">
      <c r="C936" s="1"/>
      <c r="H936" s="3"/>
      <c r="I936" s="3"/>
      <c r="J936" s="3"/>
      <c r="K936" s="3"/>
    </row>
    <row r="937" spans="3:11" x14ac:dyDescent="0.25">
      <c r="C937" s="1"/>
      <c r="H937" s="3"/>
      <c r="I937" s="3"/>
      <c r="J937" s="3"/>
      <c r="K937" s="3"/>
    </row>
    <row r="938" spans="3:11" x14ac:dyDescent="0.25">
      <c r="C938" s="1"/>
      <c r="H938" s="3"/>
      <c r="I938" s="3"/>
      <c r="J938" s="3"/>
      <c r="K938" s="3"/>
    </row>
    <row r="939" spans="3:11" x14ac:dyDescent="0.25">
      <c r="C939" s="1"/>
      <c r="H939" s="3"/>
      <c r="I939" s="3"/>
      <c r="J939" s="3"/>
      <c r="K939" s="3"/>
    </row>
    <row r="940" spans="3:11" x14ac:dyDescent="0.25">
      <c r="C940" s="1"/>
      <c r="H940" s="3"/>
      <c r="I940" s="3"/>
      <c r="J940" s="3"/>
      <c r="K940" s="3"/>
    </row>
    <row r="941" spans="3:11" x14ac:dyDescent="0.25">
      <c r="C941" s="1"/>
      <c r="H941" s="3"/>
      <c r="I941" s="3"/>
      <c r="J941" s="3"/>
      <c r="K941" s="3"/>
    </row>
    <row r="942" spans="3:11" x14ac:dyDescent="0.25">
      <c r="C942" s="1"/>
      <c r="H942" s="3"/>
      <c r="I942" s="3"/>
      <c r="J942" s="3"/>
      <c r="K942" s="3"/>
    </row>
    <row r="943" spans="3:11" x14ac:dyDescent="0.25">
      <c r="C943" s="1"/>
      <c r="H943" s="3"/>
      <c r="I943" s="3"/>
      <c r="J943" s="3"/>
      <c r="K943" s="3"/>
    </row>
    <row r="944" spans="3:11" x14ac:dyDescent="0.25">
      <c r="C944" s="1"/>
      <c r="H944" s="3"/>
      <c r="I944" s="3"/>
      <c r="J944" s="3"/>
      <c r="K944" s="3"/>
    </row>
    <row r="945" spans="3:11" x14ac:dyDescent="0.25">
      <c r="C945" s="1"/>
      <c r="H945" s="3"/>
      <c r="I945" s="3"/>
      <c r="J945" s="3"/>
      <c r="K945" s="3"/>
    </row>
    <row r="946" spans="3:11" x14ac:dyDescent="0.25">
      <c r="C946" s="1"/>
      <c r="H946" s="3"/>
      <c r="I946" s="3"/>
      <c r="J946" s="3"/>
      <c r="K946" s="3"/>
    </row>
    <row r="947" spans="3:11" x14ac:dyDescent="0.25">
      <c r="C947" s="1"/>
      <c r="H947" s="3"/>
      <c r="I947" s="3"/>
      <c r="J947" s="3"/>
      <c r="K947" s="3"/>
    </row>
    <row r="948" spans="3:11" x14ac:dyDescent="0.25">
      <c r="C948" s="1"/>
      <c r="H948" s="3"/>
      <c r="I948" s="3"/>
      <c r="J948" s="3"/>
      <c r="K948" s="3"/>
    </row>
    <row r="949" spans="3:11" x14ac:dyDescent="0.25">
      <c r="C949" s="1"/>
      <c r="H949" s="3"/>
      <c r="I949" s="3"/>
      <c r="J949" s="3"/>
      <c r="K949" s="3"/>
    </row>
    <row r="950" spans="3:11" x14ac:dyDescent="0.25">
      <c r="C950" s="1"/>
      <c r="H950" s="3"/>
      <c r="I950" s="3"/>
      <c r="J950" s="3"/>
      <c r="K950" s="3"/>
    </row>
    <row r="951" spans="3:11" x14ac:dyDescent="0.25">
      <c r="C951" s="1"/>
      <c r="H951" s="3"/>
      <c r="I951" s="3"/>
      <c r="J951" s="3"/>
      <c r="K951" s="3"/>
    </row>
    <row r="952" spans="3:11" x14ac:dyDescent="0.25">
      <c r="C952" s="1"/>
      <c r="H952" s="3"/>
      <c r="I952" s="3"/>
      <c r="J952" s="3"/>
      <c r="K952" s="3"/>
    </row>
    <row r="953" spans="3:11" x14ac:dyDescent="0.25">
      <c r="C953" s="1"/>
      <c r="H953" s="3"/>
      <c r="I953" s="3"/>
      <c r="J953" s="3"/>
      <c r="K953" s="3"/>
    </row>
    <row r="954" spans="3:11" x14ac:dyDescent="0.25">
      <c r="C954" s="1"/>
      <c r="H954" s="3"/>
      <c r="I954" s="3"/>
      <c r="J954" s="3"/>
      <c r="K954" s="3"/>
    </row>
    <row r="955" spans="3:11" x14ac:dyDescent="0.25">
      <c r="C955" s="1"/>
      <c r="H955" s="3"/>
      <c r="I955" s="3"/>
      <c r="J955" s="3"/>
      <c r="K955" s="3"/>
    </row>
    <row r="956" spans="3:11" x14ac:dyDescent="0.25">
      <c r="C956" s="1"/>
      <c r="H956" s="3"/>
      <c r="I956" s="3"/>
      <c r="J956" s="3"/>
      <c r="K956" s="3"/>
    </row>
    <row r="957" spans="3:11" x14ac:dyDescent="0.25">
      <c r="C957" s="1"/>
      <c r="H957" s="3"/>
      <c r="I957" s="3"/>
      <c r="J957" s="3"/>
      <c r="K957" s="3"/>
    </row>
    <row r="958" spans="3:11" x14ac:dyDescent="0.25">
      <c r="C958" s="1"/>
      <c r="H958" s="3"/>
      <c r="I958" s="3"/>
      <c r="J958" s="3"/>
      <c r="K958" s="3"/>
    </row>
    <row r="959" spans="3:11" x14ac:dyDescent="0.25">
      <c r="C959" s="1"/>
      <c r="H959" s="3"/>
      <c r="I959" s="3"/>
      <c r="J959" s="3"/>
      <c r="K959" s="3"/>
    </row>
    <row r="960" spans="3:11" x14ac:dyDescent="0.25">
      <c r="C960" s="1"/>
      <c r="H960" s="3"/>
      <c r="I960" s="3"/>
      <c r="J960" s="3"/>
      <c r="K960" s="3"/>
    </row>
    <row r="961" spans="3:11" x14ac:dyDescent="0.25">
      <c r="C961" s="1"/>
      <c r="H961" s="3"/>
      <c r="I961" s="3"/>
      <c r="J961" s="3"/>
      <c r="K961" s="3"/>
    </row>
    <row r="962" spans="3:11" x14ac:dyDescent="0.25">
      <c r="C962" s="1"/>
      <c r="H962" s="3"/>
      <c r="I962" s="3"/>
      <c r="J962" s="3"/>
      <c r="K962" s="3"/>
    </row>
    <row r="963" spans="3:11" x14ac:dyDescent="0.25">
      <c r="C963" s="1"/>
      <c r="H963" s="3"/>
      <c r="I963" s="3"/>
      <c r="J963" s="3"/>
      <c r="K963" s="3"/>
    </row>
    <row r="964" spans="3:11" x14ac:dyDescent="0.25">
      <c r="C964" s="1"/>
      <c r="H964" s="3"/>
      <c r="I964" s="3"/>
      <c r="J964" s="3"/>
      <c r="K964" s="3"/>
    </row>
    <row r="965" spans="3:11" x14ac:dyDescent="0.25">
      <c r="C965" s="1"/>
      <c r="H965" s="3"/>
      <c r="I965" s="3"/>
      <c r="J965" s="3"/>
      <c r="K965" s="3"/>
    </row>
    <row r="966" spans="3:11" x14ac:dyDescent="0.25">
      <c r="C966" s="1"/>
      <c r="H966" s="3"/>
      <c r="I966" s="3"/>
      <c r="J966" s="3"/>
      <c r="K966" s="3"/>
    </row>
    <row r="967" spans="3:11" x14ac:dyDescent="0.25">
      <c r="C967" s="1"/>
      <c r="H967" s="3"/>
      <c r="I967" s="3"/>
      <c r="J967" s="3"/>
      <c r="K967" s="3"/>
    </row>
    <row r="968" spans="3:11" x14ac:dyDescent="0.25">
      <c r="C968" s="1"/>
      <c r="H968" s="3"/>
      <c r="I968" s="3"/>
      <c r="J968" s="3"/>
      <c r="K968" s="3"/>
    </row>
    <row r="969" spans="3:11" x14ac:dyDescent="0.25">
      <c r="C969" s="1"/>
      <c r="H969" s="3"/>
      <c r="I969" s="3"/>
      <c r="J969" s="3"/>
      <c r="K969" s="3"/>
    </row>
    <row r="970" spans="3:11" x14ac:dyDescent="0.25">
      <c r="C970" s="1"/>
      <c r="H970" s="3"/>
      <c r="I970" s="3"/>
      <c r="J970" s="3"/>
      <c r="K970" s="3"/>
    </row>
    <row r="971" spans="3:11" x14ac:dyDescent="0.25">
      <c r="C971" s="1"/>
      <c r="H971" s="3"/>
      <c r="I971" s="3"/>
      <c r="J971" s="3"/>
      <c r="K971" s="3"/>
    </row>
    <row r="972" spans="3:11" x14ac:dyDescent="0.25">
      <c r="C972" s="1"/>
      <c r="H972" s="3"/>
      <c r="I972" s="3"/>
      <c r="J972" s="3"/>
      <c r="K972" s="3"/>
    </row>
    <row r="973" spans="3:11" x14ac:dyDescent="0.25">
      <c r="C973" s="1"/>
      <c r="H973" s="3"/>
      <c r="I973" s="3"/>
      <c r="J973" s="3"/>
      <c r="K973" s="3"/>
    </row>
    <row r="974" spans="3:11" x14ac:dyDescent="0.25">
      <c r="C974" s="1"/>
      <c r="H974" s="3"/>
      <c r="I974" s="3"/>
      <c r="J974" s="3"/>
      <c r="K974" s="3"/>
    </row>
    <row r="975" spans="3:11" x14ac:dyDescent="0.25">
      <c r="C975" s="1"/>
      <c r="H975" s="3"/>
      <c r="I975" s="3"/>
      <c r="J975" s="3"/>
      <c r="K975" s="3"/>
    </row>
    <row r="976" spans="3:11" x14ac:dyDescent="0.25">
      <c r="C976" s="1"/>
      <c r="H976" s="3"/>
      <c r="I976" s="3"/>
      <c r="J976" s="3"/>
      <c r="K976" s="3"/>
    </row>
    <row r="977" spans="3:11" x14ac:dyDescent="0.25">
      <c r="C977" s="1"/>
      <c r="H977" s="3"/>
      <c r="I977" s="3"/>
      <c r="J977" s="3"/>
      <c r="K977" s="3"/>
    </row>
    <row r="978" spans="3:11" x14ac:dyDescent="0.25">
      <c r="C978" s="1"/>
      <c r="H978" s="3"/>
      <c r="I978" s="3"/>
      <c r="J978" s="3"/>
      <c r="K978" s="3"/>
    </row>
    <row r="979" spans="3:11" x14ac:dyDescent="0.25">
      <c r="C979" s="1"/>
      <c r="H979" s="3"/>
      <c r="I979" s="3"/>
      <c r="J979" s="3"/>
      <c r="K979" s="3"/>
    </row>
    <row r="980" spans="3:11" x14ac:dyDescent="0.25">
      <c r="C980" s="1"/>
      <c r="H980" s="3"/>
      <c r="I980" s="3"/>
      <c r="J980" s="3"/>
      <c r="K980" s="3"/>
    </row>
    <row r="981" spans="3:11" x14ac:dyDescent="0.25">
      <c r="C981" s="1"/>
      <c r="H981" s="3"/>
      <c r="I981" s="3"/>
      <c r="J981" s="3"/>
      <c r="K981" s="3"/>
    </row>
    <row r="982" spans="3:11" x14ac:dyDescent="0.25">
      <c r="C982" s="1"/>
      <c r="H982" s="3"/>
      <c r="I982" s="3"/>
      <c r="J982" s="3"/>
      <c r="K982" s="3"/>
    </row>
    <row r="983" spans="3:11" x14ac:dyDescent="0.25">
      <c r="C983" s="1"/>
      <c r="H983" s="3"/>
      <c r="I983" s="3"/>
      <c r="J983" s="3"/>
      <c r="K983" s="3"/>
    </row>
    <row r="984" spans="3:11" x14ac:dyDescent="0.25">
      <c r="C984" s="1"/>
      <c r="H984" s="3"/>
      <c r="I984" s="3"/>
      <c r="J984" s="3"/>
      <c r="K984" s="3"/>
    </row>
    <row r="985" spans="3:11" x14ac:dyDescent="0.25">
      <c r="C985" s="1"/>
      <c r="H985" s="3"/>
      <c r="I985" s="3"/>
      <c r="J985" s="3"/>
      <c r="K985" s="3"/>
    </row>
    <row r="986" spans="3:11" x14ac:dyDescent="0.25">
      <c r="C986" s="1"/>
      <c r="H986" s="3"/>
      <c r="I986" s="3"/>
      <c r="J986" s="3"/>
      <c r="K986" s="3"/>
    </row>
    <row r="987" spans="3:11" x14ac:dyDescent="0.25">
      <c r="C987" s="1"/>
      <c r="H987" s="3"/>
      <c r="I987" s="3"/>
      <c r="J987" s="3"/>
      <c r="K987" s="3"/>
    </row>
    <row r="988" spans="3:11" x14ac:dyDescent="0.25">
      <c r="C988" s="1"/>
      <c r="H988" s="3"/>
      <c r="I988" s="3"/>
      <c r="J988" s="3"/>
      <c r="K988" s="3"/>
    </row>
    <row r="989" spans="3:11" x14ac:dyDescent="0.25">
      <c r="C989" s="1"/>
      <c r="H989" s="3"/>
      <c r="I989" s="3"/>
      <c r="J989" s="3"/>
      <c r="K989" s="3"/>
    </row>
    <row r="990" spans="3:11" x14ac:dyDescent="0.25">
      <c r="C990" s="1"/>
      <c r="H990" s="3"/>
      <c r="I990" s="3"/>
      <c r="J990" s="3"/>
      <c r="K990" s="3"/>
    </row>
    <row r="991" spans="3:11" x14ac:dyDescent="0.25">
      <c r="C991" s="1"/>
      <c r="H991" s="3"/>
      <c r="I991" s="3"/>
      <c r="J991" s="3"/>
      <c r="K991" s="3"/>
    </row>
    <row r="992" spans="3:11" x14ac:dyDescent="0.25">
      <c r="C992" s="1"/>
      <c r="H992" s="3"/>
      <c r="I992" s="3"/>
      <c r="J992" s="3"/>
      <c r="K992" s="3"/>
    </row>
    <row r="993" spans="3:11" x14ac:dyDescent="0.25">
      <c r="C993" s="1"/>
      <c r="H993" s="3"/>
      <c r="I993" s="3"/>
      <c r="J993" s="3"/>
      <c r="K993" s="3"/>
    </row>
    <row r="994" spans="3:11" x14ac:dyDescent="0.25">
      <c r="C994" s="1"/>
      <c r="H994" s="3"/>
      <c r="I994" s="3"/>
      <c r="J994" s="3"/>
      <c r="K994" s="3"/>
    </row>
    <row r="995" spans="3:11" x14ac:dyDescent="0.25">
      <c r="C995" s="1"/>
      <c r="H995" s="3"/>
      <c r="I995" s="3"/>
      <c r="J995" s="3"/>
      <c r="K995" s="3"/>
    </row>
    <row r="996" spans="3:11" x14ac:dyDescent="0.25">
      <c r="C996" s="1"/>
      <c r="H996" s="3"/>
      <c r="I996" s="3"/>
      <c r="J996" s="3"/>
      <c r="K996" s="3"/>
    </row>
    <row r="997" spans="3:11" x14ac:dyDescent="0.25">
      <c r="C997" s="1"/>
      <c r="H997" s="3"/>
      <c r="I997" s="3"/>
      <c r="J997" s="3"/>
      <c r="K997" s="3"/>
    </row>
    <row r="998" spans="3:11" x14ac:dyDescent="0.25">
      <c r="C998" s="1"/>
      <c r="H998" s="3"/>
      <c r="I998" s="3"/>
      <c r="J998" s="3"/>
      <c r="K998" s="3"/>
    </row>
    <row r="999" spans="3:11" x14ac:dyDescent="0.25">
      <c r="C999" s="1"/>
      <c r="H999" s="3"/>
      <c r="I999" s="3"/>
      <c r="J999" s="3"/>
      <c r="K999" s="3"/>
    </row>
    <row r="1000" spans="3:11" x14ac:dyDescent="0.25">
      <c r="C1000" s="1"/>
      <c r="H1000" s="3"/>
      <c r="I1000" s="3"/>
      <c r="J1000" s="3"/>
      <c r="K1000" s="3"/>
    </row>
    <row r="1001" spans="3:11" x14ac:dyDescent="0.25">
      <c r="C1001" s="1"/>
      <c r="H1001" s="3"/>
      <c r="I1001" s="3"/>
      <c r="J1001" s="3"/>
      <c r="K1001" s="3"/>
    </row>
    <row r="1002" spans="3:11" x14ac:dyDescent="0.25">
      <c r="C1002" s="1"/>
      <c r="H1002" s="3"/>
      <c r="I1002" s="3"/>
      <c r="J1002" s="3"/>
      <c r="K1002" s="3"/>
    </row>
    <row r="1003" spans="3:11" x14ac:dyDescent="0.25">
      <c r="C1003" s="1"/>
      <c r="H1003" s="3"/>
      <c r="I1003" s="3"/>
      <c r="J1003" s="3"/>
      <c r="K1003" s="3"/>
    </row>
    <row r="1004" spans="3:11" x14ac:dyDescent="0.25">
      <c r="C1004" s="1"/>
      <c r="H1004" s="3"/>
      <c r="I1004" s="3"/>
      <c r="J1004" s="3"/>
      <c r="K1004" s="3"/>
    </row>
    <row r="1005" spans="3:11" x14ac:dyDescent="0.25">
      <c r="C1005" s="1"/>
      <c r="H1005" s="3"/>
      <c r="I1005" s="3"/>
      <c r="J1005" s="3"/>
      <c r="K1005" s="3"/>
    </row>
    <row r="1006" spans="3:11" x14ac:dyDescent="0.25">
      <c r="C1006" s="1"/>
      <c r="H1006" s="3"/>
      <c r="I1006" s="3"/>
      <c r="J1006" s="3"/>
      <c r="K1006" s="3"/>
    </row>
    <row r="1007" spans="3:11" x14ac:dyDescent="0.25">
      <c r="C1007" s="1"/>
      <c r="H1007" s="3"/>
      <c r="I1007" s="3"/>
      <c r="J1007" s="3"/>
      <c r="K1007" s="3"/>
    </row>
    <row r="1008" spans="3:11" x14ac:dyDescent="0.25">
      <c r="C1008" s="1"/>
      <c r="H1008" s="3"/>
      <c r="I1008" s="3"/>
      <c r="J1008" s="3"/>
      <c r="K1008" s="3"/>
    </row>
    <row r="1009" spans="3:11" x14ac:dyDescent="0.25">
      <c r="C1009" s="1"/>
      <c r="H1009" s="3"/>
      <c r="I1009" s="3"/>
      <c r="J1009" s="3"/>
      <c r="K1009" s="3"/>
    </row>
    <row r="1010" spans="3:11" x14ac:dyDescent="0.25">
      <c r="C1010" s="1"/>
      <c r="H1010" s="3"/>
      <c r="I1010" s="3"/>
      <c r="J1010" s="3"/>
      <c r="K1010" s="3"/>
    </row>
    <row r="1011" spans="3:11" x14ac:dyDescent="0.25">
      <c r="C1011" s="1"/>
      <c r="H1011" s="3"/>
      <c r="I1011" s="3"/>
      <c r="J1011" s="3"/>
      <c r="K1011" s="3"/>
    </row>
    <row r="1012" spans="3:11" x14ac:dyDescent="0.25">
      <c r="C1012" s="1"/>
      <c r="H1012" s="3"/>
      <c r="I1012" s="3"/>
      <c r="J1012" s="3"/>
      <c r="K1012" s="3"/>
    </row>
    <row r="1013" spans="3:11" x14ac:dyDescent="0.25">
      <c r="C1013" s="1"/>
      <c r="H1013" s="3"/>
      <c r="I1013" s="3"/>
      <c r="J1013" s="3"/>
      <c r="K1013" s="3"/>
    </row>
    <row r="1014" spans="3:11" x14ac:dyDescent="0.25">
      <c r="C1014" s="1"/>
      <c r="H1014" s="3"/>
      <c r="I1014" s="3"/>
      <c r="J1014" s="3"/>
      <c r="K1014" s="3"/>
    </row>
    <row r="1015" spans="3:11" x14ac:dyDescent="0.25">
      <c r="C1015" s="1"/>
      <c r="H1015" s="3"/>
      <c r="I1015" s="3"/>
      <c r="J1015" s="3"/>
      <c r="K1015" s="3"/>
    </row>
    <row r="1016" spans="3:11" x14ac:dyDescent="0.25">
      <c r="C1016" s="1"/>
      <c r="H1016" s="3"/>
      <c r="I1016" s="3"/>
      <c r="J1016" s="3"/>
      <c r="K1016" s="3"/>
    </row>
    <row r="1017" spans="3:11" x14ac:dyDescent="0.25">
      <c r="C1017" s="1"/>
      <c r="H1017" s="3"/>
      <c r="I1017" s="3"/>
      <c r="J1017" s="3"/>
      <c r="K1017" s="3"/>
    </row>
    <row r="1018" spans="3:11" x14ac:dyDescent="0.25">
      <c r="C1018" s="1"/>
      <c r="H1018" s="3"/>
      <c r="I1018" s="3"/>
      <c r="J1018" s="3"/>
      <c r="K1018" s="3"/>
    </row>
    <row r="1019" spans="3:11" x14ac:dyDescent="0.25">
      <c r="C1019" s="1"/>
      <c r="H1019" s="3"/>
      <c r="I1019" s="3"/>
      <c r="J1019" s="3"/>
      <c r="K1019" s="3"/>
    </row>
    <row r="1020" spans="3:11" x14ac:dyDescent="0.25">
      <c r="C1020" s="1"/>
      <c r="H1020" s="3"/>
      <c r="I1020" s="3"/>
      <c r="J1020" s="3"/>
      <c r="K1020" s="3"/>
    </row>
    <row r="1021" spans="3:11" x14ac:dyDescent="0.25">
      <c r="C1021" s="1"/>
      <c r="H1021" s="3"/>
      <c r="I1021" s="3"/>
      <c r="J1021" s="3"/>
      <c r="K1021" s="3"/>
    </row>
    <row r="1022" spans="3:11" x14ac:dyDescent="0.25">
      <c r="C1022" s="1"/>
      <c r="H1022" s="3"/>
      <c r="I1022" s="3"/>
      <c r="J1022" s="3"/>
      <c r="K1022" s="3"/>
    </row>
    <row r="1023" spans="3:11" x14ac:dyDescent="0.25">
      <c r="C1023" s="1"/>
      <c r="H1023" s="3"/>
      <c r="I1023" s="3"/>
      <c r="J1023" s="3"/>
      <c r="K1023" s="3"/>
    </row>
    <row r="1024" spans="3:11" x14ac:dyDescent="0.25">
      <c r="C1024" s="1"/>
      <c r="H1024" s="3"/>
      <c r="I1024" s="3"/>
      <c r="J1024" s="3"/>
      <c r="K1024" s="3"/>
    </row>
    <row r="1025" spans="3:11" x14ac:dyDescent="0.25">
      <c r="C1025" s="1"/>
      <c r="H1025" s="3"/>
      <c r="I1025" s="3"/>
      <c r="J1025" s="3"/>
      <c r="K1025" s="3"/>
    </row>
    <row r="1026" spans="3:11" x14ac:dyDescent="0.25">
      <c r="C1026" s="1"/>
      <c r="H1026" s="3"/>
      <c r="I1026" s="3"/>
      <c r="J1026" s="3"/>
      <c r="K1026" s="3"/>
    </row>
    <row r="1027" spans="3:11" x14ac:dyDescent="0.25">
      <c r="C1027" s="1"/>
      <c r="H1027" s="3"/>
      <c r="I1027" s="3"/>
      <c r="J1027" s="3"/>
      <c r="K1027" s="3"/>
    </row>
    <row r="1028" spans="3:11" x14ac:dyDescent="0.25">
      <c r="C1028" s="1"/>
      <c r="H1028" s="3"/>
      <c r="I1028" s="3"/>
      <c r="J1028" s="3"/>
      <c r="K1028" s="3"/>
    </row>
    <row r="1029" spans="3:11" x14ac:dyDescent="0.25">
      <c r="C1029" s="1"/>
      <c r="H1029" s="3"/>
      <c r="I1029" s="3"/>
      <c r="J1029" s="3"/>
      <c r="K1029" s="3"/>
    </row>
    <row r="1030" spans="3:11" x14ac:dyDescent="0.25">
      <c r="C1030" s="1"/>
      <c r="H1030" s="3"/>
      <c r="I1030" s="3"/>
      <c r="J1030" s="3"/>
      <c r="K1030" s="3"/>
    </row>
    <row r="1031" spans="3:11" x14ac:dyDescent="0.25">
      <c r="C1031" s="1"/>
      <c r="H1031" s="3"/>
      <c r="I1031" s="3"/>
      <c r="J1031" s="3"/>
      <c r="K1031" s="3"/>
    </row>
    <row r="1032" spans="3:11" x14ac:dyDescent="0.25">
      <c r="C1032" s="1"/>
      <c r="H1032" s="3"/>
      <c r="I1032" s="3"/>
      <c r="J1032" s="3"/>
      <c r="K1032" s="3"/>
    </row>
    <row r="1033" spans="3:11" x14ac:dyDescent="0.25">
      <c r="C1033" s="1"/>
      <c r="H1033" s="3"/>
      <c r="I1033" s="3"/>
      <c r="J1033" s="3"/>
      <c r="K1033" s="3"/>
    </row>
    <row r="1034" spans="3:11" x14ac:dyDescent="0.25">
      <c r="C1034" s="1"/>
      <c r="H1034" s="3"/>
      <c r="I1034" s="3"/>
      <c r="J1034" s="3"/>
      <c r="K1034" s="3"/>
    </row>
    <row r="1035" spans="3:11" x14ac:dyDescent="0.25">
      <c r="C1035" s="1"/>
      <c r="H1035" s="3"/>
      <c r="I1035" s="3"/>
      <c r="J1035" s="3"/>
      <c r="K1035" s="3"/>
    </row>
    <row r="1036" spans="3:11" x14ac:dyDescent="0.25">
      <c r="C1036" s="1"/>
      <c r="H1036" s="3"/>
      <c r="I1036" s="3"/>
      <c r="J1036" s="3"/>
      <c r="K1036" s="3"/>
    </row>
    <row r="1037" spans="3:11" x14ac:dyDescent="0.25">
      <c r="C1037" s="1"/>
      <c r="H1037" s="3"/>
      <c r="I1037" s="3"/>
      <c r="J1037" s="3"/>
      <c r="K1037" s="3"/>
    </row>
    <row r="1038" spans="3:11" x14ac:dyDescent="0.25">
      <c r="C1038" s="1"/>
      <c r="H1038" s="3"/>
      <c r="I1038" s="3"/>
      <c r="J1038" s="3"/>
      <c r="K1038" s="3"/>
    </row>
    <row r="1039" spans="3:11" x14ac:dyDescent="0.25">
      <c r="C1039" s="1"/>
      <c r="H1039" s="3"/>
      <c r="I1039" s="3"/>
      <c r="J1039" s="3"/>
      <c r="K1039" s="3"/>
    </row>
    <row r="1040" spans="3:11" x14ac:dyDescent="0.25">
      <c r="C1040" s="1"/>
      <c r="H1040" s="3"/>
      <c r="I1040" s="3"/>
      <c r="J1040" s="3"/>
      <c r="K1040" s="3"/>
    </row>
    <row r="1041" spans="3:11" x14ac:dyDescent="0.25">
      <c r="C1041" s="1"/>
      <c r="H1041" s="3"/>
      <c r="I1041" s="3"/>
      <c r="J1041" s="3"/>
      <c r="K1041" s="3"/>
    </row>
    <row r="1042" spans="3:11" x14ac:dyDescent="0.25">
      <c r="C1042" s="1"/>
      <c r="H1042" s="3"/>
      <c r="I1042" s="3"/>
      <c r="J1042" s="3"/>
      <c r="K1042" s="3"/>
    </row>
    <row r="1043" spans="3:11" x14ac:dyDescent="0.25">
      <c r="C1043" s="1"/>
      <c r="H1043" s="3"/>
      <c r="I1043" s="3"/>
      <c r="J1043" s="3"/>
      <c r="K1043" s="3"/>
    </row>
    <row r="1044" spans="3:11" x14ac:dyDescent="0.25">
      <c r="C1044" s="1"/>
      <c r="H1044" s="3"/>
      <c r="I1044" s="3"/>
      <c r="J1044" s="3"/>
      <c r="K1044" s="3"/>
    </row>
    <row r="1045" spans="3:11" x14ac:dyDescent="0.25">
      <c r="C1045" s="1"/>
      <c r="H1045" s="3"/>
      <c r="I1045" s="3"/>
      <c r="J1045" s="3"/>
      <c r="K1045" s="3"/>
    </row>
    <row r="1046" spans="3:11" x14ac:dyDescent="0.25">
      <c r="C1046" s="1"/>
      <c r="H1046" s="3"/>
      <c r="I1046" s="3"/>
      <c r="J1046" s="3"/>
      <c r="K1046" s="3"/>
    </row>
    <row r="1047" spans="3:11" x14ac:dyDescent="0.25">
      <c r="C1047" s="1"/>
      <c r="H1047" s="3"/>
      <c r="I1047" s="3"/>
      <c r="J1047" s="3"/>
      <c r="K1047" s="3"/>
    </row>
    <row r="1048" spans="3:11" x14ac:dyDescent="0.25">
      <c r="C1048" s="1"/>
      <c r="H1048" s="3"/>
      <c r="I1048" s="3"/>
      <c r="J1048" s="3"/>
      <c r="K1048" s="3"/>
    </row>
    <row r="1049" spans="3:11" x14ac:dyDescent="0.25">
      <c r="C1049" s="1"/>
      <c r="H1049" s="3"/>
      <c r="I1049" s="3"/>
      <c r="J1049" s="3"/>
      <c r="K1049" s="3"/>
    </row>
    <row r="1050" spans="3:11" x14ac:dyDescent="0.25">
      <c r="C1050" s="1"/>
      <c r="H1050" s="3"/>
      <c r="I1050" s="3"/>
      <c r="J1050" s="3"/>
      <c r="K1050" s="3"/>
    </row>
    <row r="1051" spans="3:11" x14ac:dyDescent="0.25">
      <c r="C1051" s="1"/>
      <c r="H1051" s="3"/>
      <c r="I1051" s="3"/>
      <c r="J1051" s="3"/>
      <c r="K1051" s="3"/>
    </row>
    <row r="1052" spans="3:11" x14ac:dyDescent="0.25">
      <c r="C1052" s="1"/>
      <c r="H1052" s="3"/>
      <c r="I1052" s="3"/>
      <c r="J1052" s="3"/>
      <c r="K1052" s="3"/>
    </row>
    <row r="1053" spans="3:11" x14ac:dyDescent="0.25">
      <c r="C1053" s="1"/>
      <c r="H1053" s="3"/>
      <c r="I1053" s="3"/>
      <c r="J1053" s="3"/>
      <c r="K1053" s="3"/>
    </row>
    <row r="1054" spans="3:11" x14ac:dyDescent="0.25">
      <c r="C1054" s="1"/>
      <c r="H1054" s="3"/>
      <c r="I1054" s="3"/>
      <c r="J1054" s="3"/>
      <c r="K1054" s="3"/>
    </row>
    <row r="1055" spans="3:11" x14ac:dyDescent="0.25">
      <c r="C1055" s="1"/>
      <c r="H1055" s="3"/>
      <c r="I1055" s="3"/>
      <c r="J1055" s="3"/>
      <c r="K1055" s="3"/>
    </row>
    <row r="1056" spans="3:11" x14ac:dyDescent="0.25">
      <c r="C1056" s="1"/>
      <c r="H1056" s="3"/>
      <c r="I1056" s="3"/>
      <c r="J1056" s="3"/>
      <c r="K1056" s="3"/>
    </row>
    <row r="1057" spans="3:11" x14ac:dyDescent="0.25">
      <c r="C1057" s="1"/>
      <c r="H1057" s="3"/>
      <c r="I1057" s="3"/>
      <c r="J1057" s="3"/>
      <c r="K1057" s="3"/>
    </row>
    <row r="1058" spans="3:11" x14ac:dyDescent="0.25">
      <c r="C1058" s="1"/>
      <c r="H1058" s="3"/>
      <c r="I1058" s="3"/>
      <c r="J1058" s="3"/>
      <c r="K1058" s="3"/>
    </row>
    <row r="1059" spans="3:11" x14ac:dyDescent="0.25">
      <c r="C1059" s="1"/>
      <c r="H1059" s="3"/>
      <c r="I1059" s="3"/>
      <c r="J1059" s="3"/>
      <c r="K1059" s="3"/>
    </row>
    <row r="1060" spans="3:11" x14ac:dyDescent="0.25">
      <c r="C1060" s="1"/>
      <c r="H1060" s="3"/>
      <c r="I1060" s="3"/>
      <c r="J1060" s="3"/>
      <c r="K1060" s="3"/>
    </row>
    <row r="1061" spans="3:11" x14ac:dyDescent="0.25">
      <c r="C1061" s="1"/>
      <c r="H1061" s="3"/>
      <c r="I1061" s="3"/>
      <c r="J1061" s="3"/>
      <c r="K1061" s="3"/>
    </row>
    <row r="1062" spans="3:11" x14ac:dyDescent="0.25">
      <c r="C1062" s="1"/>
      <c r="H1062" s="3"/>
      <c r="I1062" s="3"/>
      <c r="J1062" s="3"/>
      <c r="K1062" s="3"/>
    </row>
    <row r="1063" spans="3:11" x14ac:dyDescent="0.25">
      <c r="C1063" s="1"/>
      <c r="H1063" s="3"/>
      <c r="I1063" s="3"/>
      <c r="J1063" s="3"/>
      <c r="K1063" s="3"/>
    </row>
    <row r="1064" spans="3:11" x14ac:dyDescent="0.25">
      <c r="C1064" s="1"/>
      <c r="H1064" s="3"/>
      <c r="I1064" s="3"/>
      <c r="J1064" s="3"/>
      <c r="K1064" s="3"/>
    </row>
    <row r="1065" spans="3:11" x14ac:dyDescent="0.25">
      <c r="C1065" s="1"/>
      <c r="H1065" s="3"/>
      <c r="I1065" s="3"/>
      <c r="J1065" s="3"/>
      <c r="K1065" s="3"/>
    </row>
    <row r="1066" spans="3:11" x14ac:dyDescent="0.25">
      <c r="C1066" s="1"/>
      <c r="H1066" s="3"/>
      <c r="I1066" s="3"/>
      <c r="J1066" s="3"/>
      <c r="K1066" s="3"/>
    </row>
    <row r="1067" spans="3:11" x14ac:dyDescent="0.25">
      <c r="C1067" s="1"/>
      <c r="H1067" s="3"/>
      <c r="I1067" s="3"/>
      <c r="J1067" s="3"/>
      <c r="K1067" s="3"/>
    </row>
    <row r="1068" spans="3:11" x14ac:dyDescent="0.25">
      <c r="C1068" s="1"/>
      <c r="H1068" s="3"/>
      <c r="I1068" s="3"/>
      <c r="J1068" s="3"/>
      <c r="K1068" s="3"/>
    </row>
    <row r="1069" spans="3:11" x14ac:dyDescent="0.25">
      <c r="C1069" s="1"/>
      <c r="H1069" s="3"/>
      <c r="I1069" s="3"/>
      <c r="J1069" s="3"/>
      <c r="K1069" s="3"/>
    </row>
    <row r="1070" spans="3:11" x14ac:dyDescent="0.25">
      <c r="C1070" s="1"/>
      <c r="H1070" s="3"/>
      <c r="I1070" s="3"/>
      <c r="J1070" s="3"/>
      <c r="K1070" s="3"/>
    </row>
    <row r="1071" spans="3:11" x14ac:dyDescent="0.25">
      <c r="C1071" s="1"/>
      <c r="H1071" s="3"/>
      <c r="I1071" s="3"/>
      <c r="J1071" s="3"/>
      <c r="K1071" s="3"/>
    </row>
    <row r="1072" spans="3:11" x14ac:dyDescent="0.25">
      <c r="C1072" s="1"/>
      <c r="H1072" s="3"/>
      <c r="I1072" s="3"/>
      <c r="J1072" s="3"/>
      <c r="K1072" s="3"/>
    </row>
    <row r="1073" spans="3:11" x14ac:dyDescent="0.25">
      <c r="C1073" s="1"/>
      <c r="H1073" s="3"/>
      <c r="I1073" s="3"/>
      <c r="J1073" s="3"/>
      <c r="K1073" s="3"/>
    </row>
    <row r="1074" spans="3:11" x14ac:dyDescent="0.25">
      <c r="C1074" s="1"/>
      <c r="H1074" s="3"/>
      <c r="I1074" s="3"/>
      <c r="J1074" s="3"/>
      <c r="K1074" s="3"/>
    </row>
    <row r="1075" spans="3:11" x14ac:dyDescent="0.25">
      <c r="C1075" s="1"/>
      <c r="H1075" s="3"/>
      <c r="I1075" s="3"/>
      <c r="J1075" s="3"/>
      <c r="K1075" s="3"/>
    </row>
    <row r="1076" spans="3:11" x14ac:dyDescent="0.25">
      <c r="C1076" s="1"/>
      <c r="H1076" s="3"/>
      <c r="I1076" s="3"/>
      <c r="J1076" s="3"/>
      <c r="K1076" s="3"/>
    </row>
    <row r="1077" spans="3:11" x14ac:dyDescent="0.25">
      <c r="C1077" s="1"/>
      <c r="H1077" s="3"/>
      <c r="I1077" s="3"/>
      <c r="J1077" s="3"/>
      <c r="K1077" s="3"/>
    </row>
    <row r="1078" spans="3:11" x14ac:dyDescent="0.25">
      <c r="C1078" s="1"/>
      <c r="H1078" s="3"/>
      <c r="I1078" s="3"/>
      <c r="J1078" s="3"/>
      <c r="K1078" s="3"/>
    </row>
    <row r="1079" spans="3:11" x14ac:dyDescent="0.25">
      <c r="C1079" s="1"/>
      <c r="H1079" s="3"/>
      <c r="I1079" s="3"/>
      <c r="J1079" s="3"/>
      <c r="K1079" s="3"/>
    </row>
    <row r="1080" spans="3:11" x14ac:dyDescent="0.25">
      <c r="C1080" s="1"/>
      <c r="H1080" s="3"/>
      <c r="I1080" s="3"/>
      <c r="J1080" s="3"/>
      <c r="K1080" s="3"/>
    </row>
    <row r="1081" spans="3:11" x14ac:dyDescent="0.25">
      <c r="C1081" s="1"/>
      <c r="H1081" s="3"/>
      <c r="I1081" s="3"/>
      <c r="J1081" s="3"/>
      <c r="K1081" s="3"/>
    </row>
    <row r="1082" spans="3:11" x14ac:dyDescent="0.25">
      <c r="C1082" s="1"/>
      <c r="H1082" s="3"/>
      <c r="I1082" s="3"/>
      <c r="J1082" s="3"/>
      <c r="K1082" s="3"/>
    </row>
    <row r="1083" spans="3:11" x14ac:dyDescent="0.25">
      <c r="C1083" s="1"/>
      <c r="H1083" s="3"/>
      <c r="I1083" s="3"/>
      <c r="J1083" s="3"/>
      <c r="K1083" s="3"/>
    </row>
    <row r="1084" spans="3:11" x14ac:dyDescent="0.25">
      <c r="C1084" s="1"/>
      <c r="H1084" s="3"/>
      <c r="I1084" s="3"/>
      <c r="J1084" s="3"/>
      <c r="K1084" s="3"/>
    </row>
    <row r="1085" spans="3:11" x14ac:dyDescent="0.25">
      <c r="C1085" s="1"/>
      <c r="H1085" s="3"/>
      <c r="I1085" s="3"/>
      <c r="J1085" s="3"/>
      <c r="K1085" s="3"/>
    </row>
    <row r="1086" spans="3:11" x14ac:dyDescent="0.25">
      <c r="C1086" s="1"/>
      <c r="H1086" s="3"/>
      <c r="I1086" s="3"/>
      <c r="J1086" s="3"/>
      <c r="K1086" s="3"/>
    </row>
    <row r="1087" spans="3:11" x14ac:dyDescent="0.25">
      <c r="C1087" s="1"/>
      <c r="H1087" s="3"/>
      <c r="I1087" s="3"/>
      <c r="J1087" s="3"/>
      <c r="K1087" s="3"/>
    </row>
    <row r="1088" spans="3:11" x14ac:dyDescent="0.25">
      <c r="C1088" s="1"/>
      <c r="H1088" s="3"/>
      <c r="I1088" s="3"/>
      <c r="J1088" s="3"/>
      <c r="K1088" s="3"/>
    </row>
    <row r="1089" spans="3:11" x14ac:dyDescent="0.25">
      <c r="C1089" s="1"/>
      <c r="H1089" s="3"/>
      <c r="I1089" s="3"/>
      <c r="J1089" s="3"/>
      <c r="K1089" s="3"/>
    </row>
    <row r="1090" spans="3:11" x14ac:dyDescent="0.25">
      <c r="C1090" s="1"/>
      <c r="H1090" s="3"/>
      <c r="I1090" s="3"/>
      <c r="J1090" s="3"/>
      <c r="K1090" s="3"/>
    </row>
    <row r="1091" spans="3:11" x14ac:dyDescent="0.25">
      <c r="C1091" s="1"/>
      <c r="H1091" s="3"/>
      <c r="I1091" s="3"/>
      <c r="J1091" s="3"/>
      <c r="K1091" s="3"/>
    </row>
    <row r="1092" spans="3:11" x14ac:dyDescent="0.25">
      <c r="C1092" s="1"/>
      <c r="H1092" s="3"/>
      <c r="I1092" s="3"/>
      <c r="J1092" s="3"/>
      <c r="K1092" s="3"/>
    </row>
    <row r="1093" spans="3:11" x14ac:dyDescent="0.25">
      <c r="C1093" s="1"/>
      <c r="H1093" s="3"/>
      <c r="I1093" s="3"/>
      <c r="J1093" s="3"/>
      <c r="K1093" s="3"/>
    </row>
    <row r="1094" spans="3:11" x14ac:dyDescent="0.25">
      <c r="C1094" s="1"/>
      <c r="H1094" s="3"/>
      <c r="I1094" s="3"/>
      <c r="J1094" s="3"/>
      <c r="K1094" s="3"/>
    </row>
    <row r="1095" spans="3:11" x14ac:dyDescent="0.25">
      <c r="C1095" s="1"/>
      <c r="H1095" s="3"/>
      <c r="I1095" s="3"/>
      <c r="J1095" s="3"/>
      <c r="K1095" s="3"/>
    </row>
    <row r="1096" spans="3:11" x14ac:dyDescent="0.25">
      <c r="C1096" s="1"/>
      <c r="H1096" s="3"/>
      <c r="I1096" s="3"/>
      <c r="J1096" s="3"/>
      <c r="K1096" s="3"/>
    </row>
    <row r="1097" spans="3:11" x14ac:dyDescent="0.25">
      <c r="C1097" s="1"/>
      <c r="H1097" s="3"/>
      <c r="I1097" s="3"/>
      <c r="J1097" s="3"/>
      <c r="K1097" s="3"/>
    </row>
    <row r="1098" spans="3:11" x14ac:dyDescent="0.25">
      <c r="C1098" s="1"/>
      <c r="H1098" s="3"/>
      <c r="I1098" s="3"/>
      <c r="J1098" s="3"/>
      <c r="K1098" s="3"/>
    </row>
    <row r="1099" spans="3:11" x14ac:dyDescent="0.25">
      <c r="C1099" s="1"/>
      <c r="H1099" s="3"/>
      <c r="I1099" s="3"/>
      <c r="J1099" s="3"/>
      <c r="K1099" s="3"/>
    </row>
    <row r="1100" spans="3:11" x14ac:dyDescent="0.25">
      <c r="C1100" s="1"/>
      <c r="H1100" s="3"/>
      <c r="I1100" s="3"/>
      <c r="J1100" s="3"/>
      <c r="K1100" s="3"/>
    </row>
    <row r="1101" spans="3:11" x14ac:dyDescent="0.25">
      <c r="C1101" s="1"/>
      <c r="H1101" s="3"/>
      <c r="I1101" s="3"/>
      <c r="J1101" s="3"/>
      <c r="K1101" s="3"/>
    </row>
    <row r="1102" spans="3:11" x14ac:dyDescent="0.25">
      <c r="C1102" s="1"/>
      <c r="H1102" s="3"/>
      <c r="I1102" s="3"/>
      <c r="J1102" s="3"/>
      <c r="K1102" s="3"/>
    </row>
    <row r="1103" spans="3:11" x14ac:dyDescent="0.25">
      <c r="C1103" s="1"/>
      <c r="H1103" s="3"/>
      <c r="I1103" s="3"/>
      <c r="J1103" s="3"/>
      <c r="K1103" s="3"/>
    </row>
    <row r="1104" spans="3:11" x14ac:dyDescent="0.25">
      <c r="C1104" s="1"/>
      <c r="H1104" s="3"/>
      <c r="I1104" s="3"/>
      <c r="J1104" s="3"/>
      <c r="K1104" s="3"/>
    </row>
    <row r="1105" spans="3:11" x14ac:dyDescent="0.25">
      <c r="C1105" s="1"/>
      <c r="H1105" s="3"/>
      <c r="I1105" s="3"/>
      <c r="J1105" s="3"/>
      <c r="K1105" s="3"/>
    </row>
    <row r="1106" spans="3:11" x14ac:dyDescent="0.25">
      <c r="C1106" s="1"/>
      <c r="H1106" s="3"/>
      <c r="I1106" s="3"/>
      <c r="J1106" s="3"/>
      <c r="K1106" s="3"/>
    </row>
    <row r="1107" spans="3:11" x14ac:dyDescent="0.25">
      <c r="C1107" s="1"/>
      <c r="H1107" s="3"/>
      <c r="I1107" s="3"/>
      <c r="J1107" s="3"/>
      <c r="K1107" s="3"/>
    </row>
    <row r="1108" spans="3:11" x14ac:dyDescent="0.25">
      <c r="C1108" s="1"/>
      <c r="H1108" s="3"/>
      <c r="I1108" s="3"/>
      <c r="J1108" s="3"/>
      <c r="K1108" s="3"/>
    </row>
    <row r="1109" spans="3:11" x14ac:dyDescent="0.25">
      <c r="C1109" s="1"/>
      <c r="H1109" s="3"/>
      <c r="I1109" s="3"/>
      <c r="J1109" s="3"/>
      <c r="K1109" s="3"/>
    </row>
    <row r="1110" spans="3:11" x14ac:dyDescent="0.25">
      <c r="C1110" s="1"/>
      <c r="H1110" s="3"/>
      <c r="I1110" s="3"/>
      <c r="J1110" s="3"/>
      <c r="K1110" s="3"/>
    </row>
    <row r="1111" spans="3:11" x14ac:dyDescent="0.25">
      <c r="C1111" s="1"/>
      <c r="H1111" s="3"/>
      <c r="I1111" s="3"/>
      <c r="J1111" s="3"/>
      <c r="K1111" s="3"/>
    </row>
    <row r="1112" spans="3:11" x14ac:dyDescent="0.25">
      <c r="C1112" s="1"/>
      <c r="H1112" s="3"/>
      <c r="I1112" s="3"/>
      <c r="J1112" s="3"/>
      <c r="K1112" s="3"/>
    </row>
    <row r="1113" spans="3:11" x14ac:dyDescent="0.25">
      <c r="C1113" s="1"/>
      <c r="H1113" s="3"/>
      <c r="I1113" s="3"/>
      <c r="J1113" s="3"/>
      <c r="K1113" s="3"/>
    </row>
    <row r="1114" spans="3:11" x14ac:dyDescent="0.25">
      <c r="C1114" s="1"/>
      <c r="H1114" s="3"/>
      <c r="I1114" s="3"/>
      <c r="J1114" s="3"/>
      <c r="K1114" s="3"/>
    </row>
    <row r="1115" spans="3:11" x14ac:dyDescent="0.25">
      <c r="C1115" s="1"/>
      <c r="H1115" s="3"/>
      <c r="I1115" s="3"/>
      <c r="J1115" s="3"/>
      <c r="K1115" s="3"/>
    </row>
    <row r="1116" spans="3:11" x14ac:dyDescent="0.25">
      <c r="C1116" s="1"/>
      <c r="H1116" s="3"/>
      <c r="I1116" s="3"/>
      <c r="J1116" s="3"/>
      <c r="K1116" s="3"/>
    </row>
    <row r="1117" spans="3:11" x14ac:dyDescent="0.25">
      <c r="C1117" s="1"/>
      <c r="H1117" s="3"/>
      <c r="I1117" s="3"/>
      <c r="J1117" s="3"/>
      <c r="K1117" s="3"/>
    </row>
    <row r="1118" spans="3:11" x14ac:dyDescent="0.25">
      <c r="C1118" s="1"/>
      <c r="H1118" s="3"/>
      <c r="I1118" s="3"/>
      <c r="J1118" s="3"/>
      <c r="K1118" s="3"/>
    </row>
    <row r="1119" spans="3:11" x14ac:dyDescent="0.25">
      <c r="C1119" s="1"/>
      <c r="H1119" s="3"/>
      <c r="I1119" s="3"/>
      <c r="J1119" s="3"/>
      <c r="K1119" s="3"/>
    </row>
    <row r="1120" spans="3:11" x14ac:dyDescent="0.25">
      <c r="C1120" s="1"/>
      <c r="H1120" s="3"/>
      <c r="I1120" s="3"/>
      <c r="J1120" s="3"/>
      <c r="K1120" s="3"/>
    </row>
    <row r="1121" spans="3:11" x14ac:dyDescent="0.25">
      <c r="C1121" s="1"/>
      <c r="H1121" s="3"/>
      <c r="I1121" s="3"/>
      <c r="J1121" s="3"/>
      <c r="K1121" s="3"/>
    </row>
    <row r="1122" spans="3:11" x14ac:dyDescent="0.25">
      <c r="C1122" s="1"/>
      <c r="H1122" s="3"/>
      <c r="I1122" s="3"/>
      <c r="J1122" s="3"/>
      <c r="K1122" s="3"/>
    </row>
    <row r="1123" spans="3:11" x14ac:dyDescent="0.25">
      <c r="C1123" s="1"/>
      <c r="H1123" s="3"/>
      <c r="I1123" s="3"/>
      <c r="J1123" s="3"/>
      <c r="K1123" s="3"/>
    </row>
    <row r="1124" spans="3:11" x14ac:dyDescent="0.25">
      <c r="C1124" s="1"/>
      <c r="H1124" s="3"/>
      <c r="I1124" s="3"/>
      <c r="J1124" s="3"/>
      <c r="K1124" s="3"/>
    </row>
    <row r="1125" spans="3:11" x14ac:dyDescent="0.25">
      <c r="C1125" s="1"/>
      <c r="H1125" s="3"/>
      <c r="I1125" s="3"/>
      <c r="J1125" s="3"/>
      <c r="K1125" s="3"/>
    </row>
    <row r="1126" spans="3:11" x14ac:dyDescent="0.25">
      <c r="C1126" s="1"/>
      <c r="H1126" s="3"/>
      <c r="I1126" s="3"/>
      <c r="J1126" s="3"/>
      <c r="K1126" s="3"/>
    </row>
    <row r="1127" spans="3:11" x14ac:dyDescent="0.25">
      <c r="C1127" s="1"/>
      <c r="H1127" s="3"/>
      <c r="I1127" s="3"/>
      <c r="J1127" s="3"/>
      <c r="K1127" s="3"/>
    </row>
    <row r="1128" spans="3:11" x14ac:dyDescent="0.25">
      <c r="C1128" s="1"/>
      <c r="H1128" s="3"/>
      <c r="I1128" s="3"/>
      <c r="J1128" s="3"/>
      <c r="K1128" s="3"/>
    </row>
    <row r="1129" spans="3:11" x14ac:dyDescent="0.25">
      <c r="C1129" s="1"/>
      <c r="H1129" s="3"/>
      <c r="I1129" s="3"/>
      <c r="J1129" s="3"/>
      <c r="K1129" s="3"/>
    </row>
    <row r="1130" spans="3:11" x14ac:dyDescent="0.25">
      <c r="C1130" s="1"/>
      <c r="H1130" s="3"/>
      <c r="I1130" s="3"/>
      <c r="J1130" s="3"/>
      <c r="K1130" s="3"/>
    </row>
    <row r="1131" spans="3:11" x14ac:dyDescent="0.25">
      <c r="C1131" s="1"/>
      <c r="H1131" s="3"/>
      <c r="I1131" s="3"/>
      <c r="J1131" s="3"/>
      <c r="K1131" s="3"/>
    </row>
    <row r="1132" spans="3:11" x14ac:dyDescent="0.25">
      <c r="C1132" s="1"/>
      <c r="H1132" s="3"/>
      <c r="I1132" s="3"/>
      <c r="J1132" s="3"/>
      <c r="K1132" s="3"/>
    </row>
    <row r="1133" spans="3:11" x14ac:dyDescent="0.25">
      <c r="C1133" s="1"/>
      <c r="H1133" s="3"/>
      <c r="I1133" s="3"/>
      <c r="J1133" s="3"/>
      <c r="K1133" s="3"/>
    </row>
    <row r="1134" spans="3:11" x14ac:dyDescent="0.25">
      <c r="C1134" s="1"/>
      <c r="H1134" s="3"/>
      <c r="I1134" s="3"/>
      <c r="J1134" s="3"/>
      <c r="K1134" s="3"/>
    </row>
    <row r="1135" spans="3:11" x14ac:dyDescent="0.25">
      <c r="C1135" s="1"/>
      <c r="H1135" s="3"/>
      <c r="I1135" s="3"/>
      <c r="J1135" s="3"/>
      <c r="K1135" s="3"/>
    </row>
    <row r="1136" spans="3:11" x14ac:dyDescent="0.25">
      <c r="C1136" s="1"/>
      <c r="H1136" s="3"/>
      <c r="I1136" s="3"/>
      <c r="J1136" s="3"/>
      <c r="K1136" s="3"/>
    </row>
    <row r="1137" spans="3:11" x14ac:dyDescent="0.25">
      <c r="C1137" s="1"/>
      <c r="H1137" s="3"/>
      <c r="I1137" s="3"/>
      <c r="J1137" s="3"/>
      <c r="K1137" s="3"/>
    </row>
    <row r="1138" spans="3:11" x14ac:dyDescent="0.25">
      <c r="C1138" s="1"/>
      <c r="H1138" s="3"/>
      <c r="I1138" s="3"/>
      <c r="J1138" s="3"/>
      <c r="K1138" s="3"/>
    </row>
    <row r="1139" spans="3:11" x14ac:dyDescent="0.25">
      <c r="C1139" s="1"/>
      <c r="H1139" s="3"/>
      <c r="I1139" s="3"/>
      <c r="J1139" s="3"/>
      <c r="K1139" s="3"/>
    </row>
    <row r="1140" spans="3:11" x14ac:dyDescent="0.25">
      <c r="C1140" s="1"/>
      <c r="H1140" s="3"/>
      <c r="I1140" s="3"/>
      <c r="J1140" s="3"/>
      <c r="K1140" s="3"/>
    </row>
    <row r="1141" spans="3:11" x14ac:dyDescent="0.25">
      <c r="C1141" s="1"/>
      <c r="H1141" s="3"/>
      <c r="I1141" s="3"/>
      <c r="J1141" s="3"/>
      <c r="K1141" s="3"/>
    </row>
    <row r="1142" spans="3:11" x14ac:dyDescent="0.25">
      <c r="C1142" s="1"/>
      <c r="H1142" s="3"/>
      <c r="I1142" s="3"/>
      <c r="J1142" s="3"/>
      <c r="K1142" s="3"/>
    </row>
    <row r="1143" spans="3:11" x14ac:dyDescent="0.25">
      <c r="C1143" s="1"/>
      <c r="H1143" s="3"/>
      <c r="I1143" s="3"/>
      <c r="J1143" s="3"/>
      <c r="K1143" s="3"/>
    </row>
    <row r="1144" spans="3:11" x14ac:dyDescent="0.25">
      <c r="C1144" s="1"/>
      <c r="H1144" s="3"/>
      <c r="I1144" s="3"/>
      <c r="J1144" s="3"/>
      <c r="K1144" s="3"/>
    </row>
    <row r="1145" spans="3:11" x14ac:dyDescent="0.25">
      <c r="C1145" s="1"/>
      <c r="H1145" s="3"/>
      <c r="I1145" s="3"/>
      <c r="J1145" s="3"/>
      <c r="K1145" s="3"/>
    </row>
    <row r="1146" spans="3:11" x14ac:dyDescent="0.25">
      <c r="C1146" s="1"/>
      <c r="H1146" s="3"/>
      <c r="I1146" s="3"/>
      <c r="J1146" s="3"/>
      <c r="K1146" s="3"/>
    </row>
    <row r="1147" spans="3:11" x14ac:dyDescent="0.25">
      <c r="C1147" s="1"/>
      <c r="H1147" s="3"/>
      <c r="I1147" s="3"/>
      <c r="J1147" s="3"/>
      <c r="K1147" s="3"/>
    </row>
    <row r="1148" spans="3:11" x14ac:dyDescent="0.25">
      <c r="C1148" s="1"/>
      <c r="H1148" s="3"/>
      <c r="I1148" s="3"/>
      <c r="J1148" s="3"/>
      <c r="K1148" s="3"/>
    </row>
    <row r="1149" spans="3:11" x14ac:dyDescent="0.25">
      <c r="C1149" s="1"/>
      <c r="H1149" s="3"/>
      <c r="I1149" s="3"/>
      <c r="J1149" s="3"/>
      <c r="K1149" s="3"/>
    </row>
    <row r="1150" spans="3:11" x14ac:dyDescent="0.25">
      <c r="C1150" s="1"/>
      <c r="H1150" s="3"/>
      <c r="I1150" s="3"/>
      <c r="J1150" s="3"/>
      <c r="K1150" s="3"/>
    </row>
    <row r="1151" spans="3:11" x14ac:dyDescent="0.25">
      <c r="C1151" s="1"/>
      <c r="H1151" s="3"/>
      <c r="I1151" s="3"/>
      <c r="J1151" s="3"/>
      <c r="K1151" s="3"/>
    </row>
    <row r="1152" spans="3:11" x14ac:dyDescent="0.25">
      <c r="C1152" s="1"/>
      <c r="H1152" s="3"/>
      <c r="I1152" s="3"/>
      <c r="J1152" s="3"/>
      <c r="K1152" s="3"/>
    </row>
    <row r="1153" spans="3:11" x14ac:dyDescent="0.25">
      <c r="C1153" s="1"/>
      <c r="H1153" s="3"/>
      <c r="I1153" s="3"/>
      <c r="J1153" s="3"/>
      <c r="K1153" s="3"/>
    </row>
    <row r="1154" spans="3:11" x14ac:dyDescent="0.25">
      <c r="C1154" s="1"/>
      <c r="H1154" s="3"/>
      <c r="I1154" s="3"/>
      <c r="J1154" s="3"/>
      <c r="K1154" s="3"/>
    </row>
    <row r="1155" spans="3:11" x14ac:dyDescent="0.25">
      <c r="C1155" s="1"/>
      <c r="H1155" s="3"/>
      <c r="I1155" s="3"/>
      <c r="J1155" s="3"/>
      <c r="K1155" s="3"/>
    </row>
    <row r="1156" spans="3:11" x14ac:dyDescent="0.25">
      <c r="C1156" s="1"/>
      <c r="H1156" s="3"/>
      <c r="I1156" s="3"/>
      <c r="J1156" s="3"/>
      <c r="K1156" s="3"/>
    </row>
    <row r="1157" spans="3:11" x14ac:dyDescent="0.25">
      <c r="C1157" s="1"/>
      <c r="H1157" s="3"/>
      <c r="I1157" s="3"/>
      <c r="J1157" s="3"/>
      <c r="K1157" s="3"/>
    </row>
    <row r="1158" spans="3:11" x14ac:dyDescent="0.25">
      <c r="C1158" s="1"/>
      <c r="H1158" s="3"/>
      <c r="I1158" s="3"/>
      <c r="J1158" s="3"/>
      <c r="K1158" s="3"/>
    </row>
    <row r="1159" spans="3:11" x14ac:dyDescent="0.25">
      <c r="C1159" s="1"/>
      <c r="H1159" s="3"/>
      <c r="I1159" s="3"/>
      <c r="J1159" s="3"/>
      <c r="K1159" s="3"/>
    </row>
    <row r="1160" spans="3:11" x14ac:dyDescent="0.25">
      <c r="C1160" s="1"/>
      <c r="H1160" s="3"/>
      <c r="I1160" s="3"/>
      <c r="J1160" s="3"/>
      <c r="K1160" s="3"/>
    </row>
    <row r="1161" spans="3:11" x14ac:dyDescent="0.25">
      <c r="C1161" s="1"/>
      <c r="H1161" s="3"/>
      <c r="I1161" s="3"/>
      <c r="J1161" s="3"/>
      <c r="K1161" s="3"/>
    </row>
    <row r="1162" spans="3:11" x14ac:dyDescent="0.25">
      <c r="C1162" s="1"/>
      <c r="H1162" s="3"/>
      <c r="I1162" s="3"/>
      <c r="J1162" s="3"/>
      <c r="K1162" s="3"/>
    </row>
    <row r="1163" spans="3:11" x14ac:dyDescent="0.25">
      <c r="C1163" s="1"/>
      <c r="H1163" s="3"/>
      <c r="I1163" s="3"/>
      <c r="J1163" s="3"/>
      <c r="K1163" s="3"/>
    </row>
    <row r="1164" spans="3:11" x14ac:dyDescent="0.25">
      <c r="C1164" s="1"/>
      <c r="H1164" s="3"/>
      <c r="I1164" s="3"/>
      <c r="J1164" s="3"/>
      <c r="K1164" s="3"/>
    </row>
    <row r="1165" spans="3:11" x14ac:dyDescent="0.25">
      <c r="C1165" s="1"/>
      <c r="H1165" s="3"/>
      <c r="I1165" s="3"/>
      <c r="J1165" s="3"/>
      <c r="K1165" s="3"/>
    </row>
    <row r="1166" spans="3:11" x14ac:dyDescent="0.25">
      <c r="C1166" s="1"/>
      <c r="H1166" s="3"/>
      <c r="I1166" s="3"/>
      <c r="J1166" s="3"/>
      <c r="K1166" s="3"/>
    </row>
    <row r="1167" spans="3:11" x14ac:dyDescent="0.25">
      <c r="C1167" s="1"/>
      <c r="H1167" s="3"/>
      <c r="I1167" s="3"/>
      <c r="J1167" s="3"/>
      <c r="K1167" s="3"/>
    </row>
    <row r="1168" spans="3:11" x14ac:dyDescent="0.25">
      <c r="C1168" s="1"/>
      <c r="H1168" s="3"/>
      <c r="I1168" s="3"/>
      <c r="J1168" s="3"/>
      <c r="K1168" s="3"/>
    </row>
    <row r="1169" spans="3:11" x14ac:dyDescent="0.25">
      <c r="C1169" s="1"/>
      <c r="H1169" s="3"/>
      <c r="I1169" s="3"/>
      <c r="J1169" s="3"/>
      <c r="K1169" s="3"/>
    </row>
    <row r="1170" spans="3:11" x14ac:dyDescent="0.25">
      <c r="C1170" s="1"/>
      <c r="H1170" s="3"/>
      <c r="I1170" s="3"/>
      <c r="J1170" s="3"/>
      <c r="K1170" s="3"/>
    </row>
    <row r="1171" spans="3:11" x14ac:dyDescent="0.25">
      <c r="C1171" s="1"/>
      <c r="H1171" s="3"/>
      <c r="I1171" s="3"/>
      <c r="J1171" s="3"/>
      <c r="K1171" s="3"/>
    </row>
    <row r="1172" spans="3:11" x14ac:dyDescent="0.25">
      <c r="C1172" s="1"/>
      <c r="H1172" s="3"/>
      <c r="I1172" s="3"/>
      <c r="J1172" s="3"/>
      <c r="K1172" s="3"/>
    </row>
    <row r="1173" spans="3:11" x14ac:dyDescent="0.25">
      <c r="C1173" s="1"/>
      <c r="H1173" s="3"/>
      <c r="I1173" s="3"/>
      <c r="J1173" s="3"/>
      <c r="K1173" s="3"/>
    </row>
    <row r="1174" spans="3:11" x14ac:dyDescent="0.25">
      <c r="C1174" s="1"/>
      <c r="H1174" s="3"/>
      <c r="I1174" s="3"/>
      <c r="J1174" s="3"/>
      <c r="K1174" s="3"/>
    </row>
    <row r="1175" spans="3:11" x14ac:dyDescent="0.25">
      <c r="C1175" s="1"/>
      <c r="H1175" s="3"/>
      <c r="I1175" s="3"/>
      <c r="J1175" s="3"/>
      <c r="K1175" s="3"/>
    </row>
    <row r="1176" spans="3:11" x14ac:dyDescent="0.25">
      <c r="C1176" s="1"/>
      <c r="H1176" s="3"/>
      <c r="I1176" s="3"/>
      <c r="J1176" s="3"/>
      <c r="K1176" s="3"/>
    </row>
    <row r="1177" spans="3:11" x14ac:dyDescent="0.25">
      <c r="C1177" s="1"/>
      <c r="H1177" s="3"/>
      <c r="I1177" s="3"/>
      <c r="J1177" s="3"/>
      <c r="K1177" s="3"/>
    </row>
    <row r="1178" spans="3:11" x14ac:dyDescent="0.25">
      <c r="C1178" s="1"/>
      <c r="H1178" s="3"/>
      <c r="I1178" s="3"/>
      <c r="J1178" s="3"/>
      <c r="K1178" s="3"/>
    </row>
    <row r="1179" spans="3:11" x14ac:dyDescent="0.25">
      <c r="C1179" s="1"/>
      <c r="H1179" s="3"/>
      <c r="I1179" s="3"/>
      <c r="J1179" s="3"/>
      <c r="K1179" s="3"/>
    </row>
    <row r="1180" spans="3:11" x14ac:dyDescent="0.25">
      <c r="C1180" s="1"/>
      <c r="H1180" s="3"/>
      <c r="I1180" s="3"/>
      <c r="J1180" s="3"/>
      <c r="K1180" s="3"/>
    </row>
    <row r="1181" spans="3:11" x14ac:dyDescent="0.25">
      <c r="C1181" s="1"/>
      <c r="H1181" s="3"/>
      <c r="I1181" s="3"/>
      <c r="J1181" s="3"/>
      <c r="K1181" s="3"/>
    </row>
    <row r="1182" spans="3:11" x14ac:dyDescent="0.25">
      <c r="C1182" s="1"/>
      <c r="H1182" s="3"/>
      <c r="I1182" s="3"/>
      <c r="J1182" s="3"/>
      <c r="K1182" s="3"/>
    </row>
    <row r="1183" spans="3:11" x14ac:dyDescent="0.25">
      <c r="C1183" s="1"/>
      <c r="H1183" s="3"/>
      <c r="I1183" s="3"/>
      <c r="J1183" s="3"/>
      <c r="K1183" s="3"/>
    </row>
    <row r="1184" spans="3:11" x14ac:dyDescent="0.25">
      <c r="C1184" s="1"/>
      <c r="H1184" s="3"/>
      <c r="I1184" s="3"/>
      <c r="J1184" s="3"/>
      <c r="K1184" s="3"/>
    </row>
    <row r="1185" spans="3:11" x14ac:dyDescent="0.25">
      <c r="C1185" s="1"/>
      <c r="H1185" s="3"/>
      <c r="I1185" s="3"/>
      <c r="J1185" s="3"/>
      <c r="K1185" s="3"/>
    </row>
    <row r="1186" spans="3:11" x14ac:dyDescent="0.25">
      <c r="C1186" s="1"/>
      <c r="H1186" s="3"/>
      <c r="I1186" s="3"/>
      <c r="J1186" s="3"/>
      <c r="K1186" s="3"/>
    </row>
    <row r="1187" spans="3:11" x14ac:dyDescent="0.25">
      <c r="C1187" s="1"/>
      <c r="H1187" s="3"/>
      <c r="I1187" s="3"/>
      <c r="J1187" s="3"/>
      <c r="K1187" s="3"/>
    </row>
    <row r="1188" spans="3:11" x14ac:dyDescent="0.25">
      <c r="C1188" s="1"/>
      <c r="H1188" s="3"/>
      <c r="I1188" s="3"/>
      <c r="J1188" s="3"/>
      <c r="K1188" s="3"/>
    </row>
    <row r="1189" spans="3:11" x14ac:dyDescent="0.25">
      <c r="C1189" s="1"/>
      <c r="H1189" s="3"/>
      <c r="I1189" s="3"/>
      <c r="J1189" s="3"/>
      <c r="K1189" s="3"/>
    </row>
    <row r="1190" spans="3:11" x14ac:dyDescent="0.25">
      <c r="C1190" s="1"/>
      <c r="H1190" s="3"/>
      <c r="I1190" s="3"/>
      <c r="J1190" s="3"/>
      <c r="K1190" s="3"/>
    </row>
    <row r="1191" spans="3:11" x14ac:dyDescent="0.25">
      <c r="C1191" s="1"/>
      <c r="H1191" s="3"/>
      <c r="I1191" s="3"/>
      <c r="J1191" s="3"/>
      <c r="K1191" s="3"/>
    </row>
    <row r="1192" spans="3:11" x14ac:dyDescent="0.25">
      <c r="C1192" s="1"/>
      <c r="H1192" s="3"/>
      <c r="I1192" s="3"/>
      <c r="J1192" s="3"/>
      <c r="K1192" s="3"/>
    </row>
    <row r="1193" spans="3:11" x14ac:dyDescent="0.25">
      <c r="C1193" s="1"/>
      <c r="H1193" s="3"/>
      <c r="I1193" s="3"/>
      <c r="J1193" s="3"/>
      <c r="K1193" s="3"/>
    </row>
    <row r="1194" spans="3:11" x14ac:dyDescent="0.25">
      <c r="C1194" s="1"/>
      <c r="H1194" s="3"/>
      <c r="I1194" s="3"/>
      <c r="J1194" s="3"/>
      <c r="K1194" s="3"/>
    </row>
    <row r="1195" spans="3:11" x14ac:dyDescent="0.25">
      <c r="C1195" s="1"/>
      <c r="H1195" s="3"/>
      <c r="I1195" s="3"/>
      <c r="J1195" s="3"/>
      <c r="K1195" s="3"/>
    </row>
    <row r="1196" spans="3:11" x14ac:dyDescent="0.25">
      <c r="C1196" s="1"/>
      <c r="H1196" s="3"/>
      <c r="I1196" s="3"/>
      <c r="J1196" s="3"/>
      <c r="K1196" s="3"/>
    </row>
    <row r="1197" spans="3:11" x14ac:dyDescent="0.25">
      <c r="C1197" s="1"/>
      <c r="H1197" s="3"/>
      <c r="I1197" s="3"/>
      <c r="J1197" s="3"/>
      <c r="K1197" s="3"/>
    </row>
    <row r="1198" spans="3:11" x14ac:dyDescent="0.25">
      <c r="C1198" s="1"/>
      <c r="H1198" s="3"/>
      <c r="I1198" s="3"/>
      <c r="J1198" s="3"/>
      <c r="K1198" s="3"/>
    </row>
    <row r="1199" spans="3:11" x14ac:dyDescent="0.25">
      <c r="C1199" s="1"/>
      <c r="H1199" s="3"/>
      <c r="I1199" s="3"/>
      <c r="J1199" s="3"/>
      <c r="K1199" s="3"/>
    </row>
    <row r="1200" spans="3:11" x14ac:dyDescent="0.25">
      <c r="C1200" s="1"/>
      <c r="H1200" s="3"/>
      <c r="I1200" s="3"/>
      <c r="J1200" s="3"/>
      <c r="K1200" s="3"/>
    </row>
    <row r="1201" spans="3:11" x14ac:dyDescent="0.25">
      <c r="C1201" s="1"/>
      <c r="H1201" s="3"/>
      <c r="I1201" s="3"/>
      <c r="J1201" s="3"/>
      <c r="K1201" s="3"/>
    </row>
    <row r="1202" spans="3:11" x14ac:dyDescent="0.25">
      <c r="C1202" s="1"/>
      <c r="H1202" s="3"/>
      <c r="I1202" s="3"/>
      <c r="J1202" s="3"/>
      <c r="K1202" s="3"/>
    </row>
    <row r="1203" spans="3:11" x14ac:dyDescent="0.25">
      <c r="C1203" s="1"/>
      <c r="H1203" s="3"/>
      <c r="I1203" s="3"/>
      <c r="J1203" s="3"/>
      <c r="K1203" s="3"/>
    </row>
    <row r="1204" spans="3:11" x14ac:dyDescent="0.25">
      <c r="C1204" s="1"/>
      <c r="H1204" s="3"/>
      <c r="I1204" s="3"/>
      <c r="J1204" s="3"/>
      <c r="K1204" s="3"/>
    </row>
    <row r="1205" spans="3:11" x14ac:dyDescent="0.25">
      <c r="C1205" s="1"/>
      <c r="H1205" s="3"/>
      <c r="I1205" s="3"/>
      <c r="J1205" s="3"/>
      <c r="K1205" s="3"/>
    </row>
    <row r="1206" spans="3:11" x14ac:dyDescent="0.25">
      <c r="C1206" s="1"/>
      <c r="H1206" s="3"/>
      <c r="I1206" s="3"/>
      <c r="J1206" s="3"/>
      <c r="K1206" s="3"/>
    </row>
    <row r="1207" spans="3:11" x14ac:dyDescent="0.25">
      <c r="C1207" s="1"/>
      <c r="H1207" s="3"/>
      <c r="I1207" s="3"/>
      <c r="J1207" s="3"/>
      <c r="K1207" s="3"/>
    </row>
    <row r="1208" spans="3:11" x14ac:dyDescent="0.25">
      <c r="C1208" s="1"/>
      <c r="H1208" s="3"/>
      <c r="I1208" s="3"/>
      <c r="J1208" s="3"/>
      <c r="K1208" s="3"/>
    </row>
    <row r="1209" spans="3:11" x14ac:dyDescent="0.25">
      <c r="C1209" s="1"/>
      <c r="H1209" s="3"/>
      <c r="I1209" s="3"/>
      <c r="J1209" s="3"/>
      <c r="K1209" s="3"/>
    </row>
    <row r="1210" spans="3:11" x14ac:dyDescent="0.25">
      <c r="C1210" s="1"/>
      <c r="H1210" s="3"/>
      <c r="I1210" s="3"/>
      <c r="J1210" s="3"/>
      <c r="K1210" s="3"/>
    </row>
    <row r="1211" spans="3:11" x14ac:dyDescent="0.25">
      <c r="C1211" s="1"/>
      <c r="H1211" s="3"/>
      <c r="I1211" s="3"/>
      <c r="J1211" s="3"/>
      <c r="K1211" s="3"/>
    </row>
    <row r="1212" spans="3:11" x14ac:dyDescent="0.25">
      <c r="C1212" s="1"/>
      <c r="H1212" s="3"/>
      <c r="I1212" s="3"/>
      <c r="J1212" s="3"/>
      <c r="K1212" s="3"/>
    </row>
    <row r="1213" spans="3:11" x14ac:dyDescent="0.25">
      <c r="C1213" s="1"/>
      <c r="H1213" s="3"/>
      <c r="I1213" s="3"/>
      <c r="J1213" s="3"/>
      <c r="K1213" s="3"/>
    </row>
    <row r="1214" spans="3:11" x14ac:dyDescent="0.25">
      <c r="C1214" s="1"/>
      <c r="H1214" s="3"/>
      <c r="I1214" s="3"/>
      <c r="J1214" s="3"/>
      <c r="K1214" s="3"/>
    </row>
    <row r="1215" spans="3:11" x14ac:dyDescent="0.25">
      <c r="C1215" s="1"/>
      <c r="H1215" s="3"/>
      <c r="I1215" s="3"/>
      <c r="J1215" s="3"/>
      <c r="K1215" s="3"/>
    </row>
    <row r="1216" spans="3:11" x14ac:dyDescent="0.25">
      <c r="C1216" s="1"/>
      <c r="H1216" s="3"/>
      <c r="I1216" s="3"/>
      <c r="J1216" s="3"/>
      <c r="K1216" s="3"/>
    </row>
    <row r="1217" spans="3:11" x14ac:dyDescent="0.25">
      <c r="C1217" s="1"/>
      <c r="H1217" s="3"/>
      <c r="I1217" s="3"/>
      <c r="J1217" s="3"/>
      <c r="K1217" s="3"/>
    </row>
    <row r="1218" spans="3:11" x14ac:dyDescent="0.25">
      <c r="C1218" s="1"/>
      <c r="H1218" s="3"/>
      <c r="I1218" s="3"/>
      <c r="J1218" s="3"/>
      <c r="K1218" s="3"/>
    </row>
    <row r="1219" spans="3:11" x14ac:dyDescent="0.25">
      <c r="C1219" s="1"/>
      <c r="H1219" s="3"/>
      <c r="I1219" s="3"/>
      <c r="J1219" s="3"/>
      <c r="K1219" s="3"/>
    </row>
    <row r="1220" spans="3:11" x14ac:dyDescent="0.25">
      <c r="C1220" s="1"/>
      <c r="H1220" s="3"/>
      <c r="I1220" s="3"/>
      <c r="J1220" s="3"/>
      <c r="K1220" s="3"/>
    </row>
    <row r="1221" spans="3:11" x14ac:dyDescent="0.25">
      <c r="C1221" s="1"/>
      <c r="H1221" s="3"/>
      <c r="I1221" s="3"/>
      <c r="J1221" s="3"/>
      <c r="K1221" s="3"/>
    </row>
    <row r="1222" spans="3:11" x14ac:dyDescent="0.25">
      <c r="C1222" s="1"/>
      <c r="H1222" s="3"/>
      <c r="I1222" s="3"/>
      <c r="J1222" s="3"/>
      <c r="K1222" s="3"/>
    </row>
    <row r="1223" spans="3:11" x14ac:dyDescent="0.25">
      <c r="C1223" s="1"/>
      <c r="H1223" s="3"/>
      <c r="I1223" s="3"/>
      <c r="J1223" s="3"/>
      <c r="K1223" s="3"/>
    </row>
    <row r="1224" spans="3:11" x14ac:dyDescent="0.25">
      <c r="C1224" s="1"/>
      <c r="H1224" s="3"/>
      <c r="I1224" s="3"/>
      <c r="J1224" s="3"/>
      <c r="K1224" s="3"/>
    </row>
    <row r="1225" spans="3:11" x14ac:dyDescent="0.25">
      <c r="C1225" s="1"/>
      <c r="H1225" s="3"/>
      <c r="I1225" s="3"/>
      <c r="J1225" s="3"/>
      <c r="K1225" s="3"/>
    </row>
    <row r="1226" spans="3:11" x14ac:dyDescent="0.25">
      <c r="C1226" s="1"/>
      <c r="H1226" s="3"/>
      <c r="I1226" s="3"/>
      <c r="J1226" s="3"/>
      <c r="K1226" s="3"/>
    </row>
    <row r="1227" spans="3:11" x14ac:dyDescent="0.25">
      <c r="C1227" s="1"/>
      <c r="H1227" s="3"/>
      <c r="I1227" s="3"/>
      <c r="J1227" s="3"/>
      <c r="K1227" s="3"/>
    </row>
    <row r="1228" spans="3:11" x14ac:dyDescent="0.25">
      <c r="C1228" s="1"/>
      <c r="H1228" s="3"/>
      <c r="I1228" s="3"/>
      <c r="J1228" s="3"/>
      <c r="K1228" s="3"/>
    </row>
    <row r="1229" spans="3:11" x14ac:dyDescent="0.25">
      <c r="C1229" s="1"/>
      <c r="H1229" s="3"/>
      <c r="I1229" s="3"/>
      <c r="J1229" s="3"/>
      <c r="K1229" s="3"/>
    </row>
    <row r="1230" spans="3:11" x14ac:dyDescent="0.25">
      <c r="C1230" s="1"/>
      <c r="H1230" s="3"/>
      <c r="I1230" s="3"/>
      <c r="J1230" s="3"/>
      <c r="K1230" s="3"/>
    </row>
    <row r="1231" spans="3:11" x14ac:dyDescent="0.25">
      <c r="C1231" s="1"/>
      <c r="H1231" s="3"/>
      <c r="I1231" s="3"/>
      <c r="J1231" s="3"/>
      <c r="K1231" s="3"/>
    </row>
    <row r="1232" spans="3:11" x14ac:dyDescent="0.25">
      <c r="C1232" s="1"/>
      <c r="H1232" s="3"/>
      <c r="I1232" s="3"/>
      <c r="J1232" s="3"/>
      <c r="K1232" s="3"/>
    </row>
    <row r="1233" spans="3:11" x14ac:dyDescent="0.25">
      <c r="C1233" s="1"/>
      <c r="H1233" s="3"/>
      <c r="I1233" s="3"/>
      <c r="J1233" s="3"/>
      <c r="K1233" s="3"/>
    </row>
    <row r="1234" spans="3:11" x14ac:dyDescent="0.25">
      <c r="C1234" s="1"/>
      <c r="H1234" s="3"/>
      <c r="I1234" s="3"/>
      <c r="J1234" s="3"/>
      <c r="K1234" s="3"/>
    </row>
    <row r="1235" spans="3:11" x14ac:dyDescent="0.25">
      <c r="C1235" s="1"/>
      <c r="H1235" s="3"/>
      <c r="I1235" s="3"/>
      <c r="J1235" s="3"/>
      <c r="K1235" s="3"/>
    </row>
    <row r="1236" spans="3:11" x14ac:dyDescent="0.25">
      <c r="C1236" s="1"/>
      <c r="H1236" s="3"/>
      <c r="I1236" s="3"/>
      <c r="J1236" s="3"/>
      <c r="K1236" s="3"/>
    </row>
    <row r="1237" spans="3:11" x14ac:dyDescent="0.25">
      <c r="C1237" s="1"/>
      <c r="H1237" s="3"/>
      <c r="I1237" s="3"/>
      <c r="J1237" s="3"/>
      <c r="K1237" s="3"/>
    </row>
    <row r="1238" spans="3:11" x14ac:dyDescent="0.25">
      <c r="C1238" s="1"/>
      <c r="H1238" s="3"/>
      <c r="I1238" s="3"/>
      <c r="J1238" s="3"/>
      <c r="K1238" s="3"/>
    </row>
    <row r="1239" spans="3:11" x14ac:dyDescent="0.25">
      <c r="C1239" s="1"/>
      <c r="H1239" s="3"/>
      <c r="I1239" s="3"/>
      <c r="J1239" s="3"/>
      <c r="K1239" s="3"/>
    </row>
    <row r="1240" spans="3:11" x14ac:dyDescent="0.25">
      <c r="C1240" s="1"/>
      <c r="H1240" s="3"/>
      <c r="I1240" s="3"/>
      <c r="J1240" s="3"/>
      <c r="K1240" s="3"/>
    </row>
    <row r="1241" spans="3:11" x14ac:dyDescent="0.25">
      <c r="C1241" s="1"/>
      <c r="H1241" s="3"/>
      <c r="I1241" s="3"/>
      <c r="J1241" s="3"/>
      <c r="K1241" s="3"/>
    </row>
    <row r="1242" spans="3:11" x14ac:dyDescent="0.25">
      <c r="C1242" s="1"/>
      <c r="H1242" s="3"/>
      <c r="I1242" s="3"/>
      <c r="J1242" s="3"/>
      <c r="K1242" s="3"/>
    </row>
    <row r="1243" spans="3:11" x14ac:dyDescent="0.25">
      <c r="C1243" s="1"/>
      <c r="H1243" s="3"/>
      <c r="I1243" s="3"/>
      <c r="J1243" s="3"/>
      <c r="K1243" s="3"/>
    </row>
    <row r="1244" spans="3:11" x14ac:dyDescent="0.25">
      <c r="C1244" s="1"/>
      <c r="H1244" s="3"/>
      <c r="I1244" s="3"/>
      <c r="J1244" s="3"/>
      <c r="K1244" s="3"/>
    </row>
    <row r="1245" spans="3:11" x14ac:dyDescent="0.25">
      <c r="C1245" s="1"/>
      <c r="H1245" s="3"/>
      <c r="I1245" s="3"/>
      <c r="J1245" s="3"/>
      <c r="K1245" s="3"/>
    </row>
    <row r="1246" spans="3:11" x14ac:dyDescent="0.25">
      <c r="C1246" s="1"/>
      <c r="H1246" s="3"/>
      <c r="I1246" s="3"/>
      <c r="J1246" s="3"/>
      <c r="K1246" s="3"/>
    </row>
    <row r="1247" spans="3:11" x14ac:dyDescent="0.25">
      <c r="C1247" s="1"/>
      <c r="H1247" s="3"/>
      <c r="I1247" s="3"/>
      <c r="J1247" s="3"/>
      <c r="K1247" s="3"/>
    </row>
    <row r="1248" spans="3:11" x14ac:dyDescent="0.25">
      <c r="C1248" s="1"/>
      <c r="H1248" s="3"/>
      <c r="I1248" s="3"/>
      <c r="J1248" s="3"/>
      <c r="K1248" s="3"/>
    </row>
    <row r="1249" spans="3:11" x14ac:dyDescent="0.25">
      <c r="C1249" s="1"/>
      <c r="H1249" s="3"/>
      <c r="I1249" s="3"/>
      <c r="J1249" s="3"/>
      <c r="K1249" s="3"/>
    </row>
    <row r="1250" spans="3:11" x14ac:dyDescent="0.25">
      <c r="C1250" s="1"/>
      <c r="H1250" s="3"/>
      <c r="I1250" s="3"/>
      <c r="J1250" s="3"/>
      <c r="K1250" s="3"/>
    </row>
    <row r="1251" spans="3:11" x14ac:dyDescent="0.25">
      <c r="C1251" s="1"/>
      <c r="H1251" s="3"/>
      <c r="I1251" s="3"/>
      <c r="J1251" s="3"/>
      <c r="K1251" s="3"/>
    </row>
    <row r="1252" spans="3:11" x14ac:dyDescent="0.25">
      <c r="C1252" s="1"/>
      <c r="H1252" s="3"/>
      <c r="I1252" s="3"/>
      <c r="J1252" s="3"/>
      <c r="K1252" s="3"/>
    </row>
    <row r="1253" spans="3:11" x14ac:dyDescent="0.25">
      <c r="C1253" s="1"/>
      <c r="H1253" s="3"/>
      <c r="I1253" s="3"/>
      <c r="J1253" s="3"/>
      <c r="K1253" s="3"/>
    </row>
    <row r="1254" spans="3:11" x14ac:dyDescent="0.25">
      <c r="C1254" s="1"/>
      <c r="H1254" s="3"/>
      <c r="I1254" s="3"/>
      <c r="J1254" s="3"/>
      <c r="K1254" s="3"/>
    </row>
    <row r="1255" spans="3:11" x14ac:dyDescent="0.25">
      <c r="C1255" s="1"/>
      <c r="H1255" s="3"/>
      <c r="I1255" s="3"/>
      <c r="J1255" s="3"/>
      <c r="K1255" s="3"/>
    </row>
    <row r="1256" spans="3:11" x14ac:dyDescent="0.25">
      <c r="C1256" s="1"/>
      <c r="H1256" s="3"/>
      <c r="I1256" s="3"/>
      <c r="J1256" s="3"/>
      <c r="K1256" s="3"/>
    </row>
    <row r="1257" spans="3:11" x14ac:dyDescent="0.25">
      <c r="C1257" s="1"/>
      <c r="H1257" s="3"/>
      <c r="I1257" s="3"/>
      <c r="J1257" s="3"/>
      <c r="K1257" s="3"/>
    </row>
    <row r="1258" spans="3:11" x14ac:dyDescent="0.25">
      <c r="C1258" s="1"/>
      <c r="H1258" s="3"/>
      <c r="I1258" s="3"/>
      <c r="J1258" s="3"/>
      <c r="K1258" s="3"/>
    </row>
    <row r="1259" spans="3:11" x14ac:dyDescent="0.25">
      <c r="C1259" s="1"/>
      <c r="H1259" s="3"/>
      <c r="I1259" s="3"/>
      <c r="J1259" s="3"/>
      <c r="K1259" s="3"/>
    </row>
    <row r="1260" spans="3:11" x14ac:dyDescent="0.25">
      <c r="C1260" s="1"/>
      <c r="H1260" s="3"/>
      <c r="I1260" s="3"/>
      <c r="J1260" s="3"/>
      <c r="K1260" s="3"/>
    </row>
    <row r="1261" spans="3:11" x14ac:dyDescent="0.25">
      <c r="C1261" s="1"/>
      <c r="H1261" s="3"/>
      <c r="I1261" s="3"/>
      <c r="J1261" s="3"/>
      <c r="K1261" s="3"/>
    </row>
    <row r="1262" spans="3:11" x14ac:dyDescent="0.25">
      <c r="C1262" s="1"/>
      <c r="H1262" s="3"/>
      <c r="I1262" s="3"/>
      <c r="J1262" s="3"/>
      <c r="K1262" s="3"/>
    </row>
    <row r="1263" spans="3:11" x14ac:dyDescent="0.25">
      <c r="C1263" s="1"/>
      <c r="H1263" s="3"/>
      <c r="I1263" s="3"/>
      <c r="J1263" s="3"/>
      <c r="K1263" s="3"/>
    </row>
    <row r="1264" spans="3:11" x14ac:dyDescent="0.25">
      <c r="C1264" s="1"/>
      <c r="H1264" s="3"/>
      <c r="I1264" s="3"/>
      <c r="J1264" s="3"/>
      <c r="K1264" s="3"/>
    </row>
    <row r="1265" spans="3:11" x14ac:dyDescent="0.25">
      <c r="C1265" s="1"/>
      <c r="H1265" s="3"/>
      <c r="I1265" s="3"/>
      <c r="J1265" s="3"/>
      <c r="K1265" s="3"/>
    </row>
    <row r="1266" spans="3:11" x14ac:dyDescent="0.25">
      <c r="C1266" s="1"/>
      <c r="H1266" s="3"/>
      <c r="I1266" s="3"/>
      <c r="J1266" s="3"/>
      <c r="K1266" s="3"/>
    </row>
    <row r="1267" spans="3:11" x14ac:dyDescent="0.25">
      <c r="C1267" s="1"/>
      <c r="H1267" s="3"/>
      <c r="I1267" s="3"/>
      <c r="J1267" s="3"/>
      <c r="K1267" s="3"/>
    </row>
    <row r="1268" spans="3:11" x14ac:dyDescent="0.25">
      <c r="C1268" s="1"/>
      <c r="H1268" s="3"/>
      <c r="I1268" s="3"/>
      <c r="J1268" s="3"/>
      <c r="K1268" s="3"/>
    </row>
    <row r="1269" spans="3:11" x14ac:dyDescent="0.25">
      <c r="C1269" s="1"/>
      <c r="H1269" s="3"/>
      <c r="I1269" s="3"/>
      <c r="J1269" s="3"/>
      <c r="K1269" s="3"/>
    </row>
    <row r="1270" spans="3:11" x14ac:dyDescent="0.25">
      <c r="C1270" s="1"/>
      <c r="H1270" s="3"/>
      <c r="I1270" s="3"/>
      <c r="J1270" s="3"/>
      <c r="K1270" s="3"/>
    </row>
    <row r="1271" spans="3:11" x14ac:dyDescent="0.25">
      <c r="C1271" s="1"/>
      <c r="H1271" s="3"/>
      <c r="I1271" s="3"/>
      <c r="J1271" s="3"/>
      <c r="K1271" s="3"/>
    </row>
    <row r="1272" spans="3:11" x14ac:dyDescent="0.25">
      <c r="C1272" s="1"/>
      <c r="H1272" s="3"/>
      <c r="I1272" s="3"/>
      <c r="J1272" s="3"/>
      <c r="K1272" s="3"/>
    </row>
    <row r="1273" spans="3:11" x14ac:dyDescent="0.25">
      <c r="C1273" s="1"/>
      <c r="H1273" s="3"/>
      <c r="I1273" s="3"/>
      <c r="J1273" s="3"/>
      <c r="K1273" s="3"/>
    </row>
    <row r="1274" spans="3:11" x14ac:dyDescent="0.25">
      <c r="C1274" s="1"/>
      <c r="H1274" s="3"/>
      <c r="I1274" s="3"/>
      <c r="J1274" s="3"/>
      <c r="K1274" s="3"/>
    </row>
    <row r="1275" spans="3:11" x14ac:dyDescent="0.25">
      <c r="C1275" s="1"/>
      <c r="H1275" s="3"/>
      <c r="I1275" s="3"/>
      <c r="J1275" s="3"/>
      <c r="K1275" s="3"/>
    </row>
    <row r="1276" spans="3:11" x14ac:dyDescent="0.25">
      <c r="C1276" s="1"/>
      <c r="H1276" s="3"/>
      <c r="I1276" s="3"/>
      <c r="J1276" s="3"/>
      <c r="K1276" s="3"/>
    </row>
    <row r="1277" spans="3:11" x14ac:dyDescent="0.25">
      <c r="C1277" s="1"/>
      <c r="H1277" s="3"/>
      <c r="I1277" s="3"/>
      <c r="J1277" s="3"/>
      <c r="K1277" s="3"/>
    </row>
    <row r="1278" spans="3:11" x14ac:dyDescent="0.25">
      <c r="C1278" s="1"/>
      <c r="H1278" s="3"/>
      <c r="I1278" s="3"/>
      <c r="J1278" s="3"/>
      <c r="K1278" s="3"/>
    </row>
    <row r="1279" spans="3:11" x14ac:dyDescent="0.25">
      <c r="C1279" s="1"/>
      <c r="H1279" s="3"/>
      <c r="I1279" s="3"/>
      <c r="J1279" s="3"/>
      <c r="K1279" s="3"/>
    </row>
    <row r="1280" spans="3:11" x14ac:dyDescent="0.25">
      <c r="C1280" s="1"/>
      <c r="H1280" s="3"/>
      <c r="I1280" s="3"/>
      <c r="J1280" s="3"/>
      <c r="K1280" s="3"/>
    </row>
    <row r="1281" spans="3:11" x14ac:dyDescent="0.25">
      <c r="C1281" s="1"/>
      <c r="H1281" s="3"/>
      <c r="I1281" s="3"/>
      <c r="J1281" s="3"/>
      <c r="K1281" s="3"/>
    </row>
    <row r="1282" spans="3:11" x14ac:dyDescent="0.25">
      <c r="C1282" s="1"/>
      <c r="H1282" s="3"/>
      <c r="I1282" s="3"/>
      <c r="J1282" s="3"/>
      <c r="K1282" s="3"/>
    </row>
    <row r="1283" spans="3:11" x14ac:dyDescent="0.25">
      <c r="C1283" s="1"/>
      <c r="H1283" s="3"/>
      <c r="I1283" s="3"/>
      <c r="J1283" s="3"/>
      <c r="K1283" s="3"/>
    </row>
    <row r="1284" spans="3:11" x14ac:dyDescent="0.25">
      <c r="C1284" s="1"/>
      <c r="H1284" s="3"/>
      <c r="I1284" s="3"/>
      <c r="J1284" s="3"/>
      <c r="K1284" s="3"/>
    </row>
    <row r="1285" spans="3:11" x14ac:dyDescent="0.25">
      <c r="C1285" s="1"/>
      <c r="H1285" s="3"/>
      <c r="I1285" s="3"/>
      <c r="J1285" s="3"/>
      <c r="K1285" s="3"/>
    </row>
    <row r="1286" spans="3:11" x14ac:dyDescent="0.25">
      <c r="C1286" s="1"/>
      <c r="H1286" s="3"/>
      <c r="I1286" s="3"/>
      <c r="J1286" s="3"/>
      <c r="K1286" s="3"/>
    </row>
    <row r="1287" spans="3:11" x14ac:dyDescent="0.25">
      <c r="C1287" s="1"/>
      <c r="H1287" s="3"/>
      <c r="I1287" s="3"/>
      <c r="J1287" s="3"/>
      <c r="K1287" s="3"/>
    </row>
    <row r="1288" spans="3:11" x14ac:dyDescent="0.25">
      <c r="C1288" s="1"/>
      <c r="H1288" s="3"/>
      <c r="I1288" s="3"/>
      <c r="J1288" s="3"/>
      <c r="K1288" s="3"/>
    </row>
    <row r="1289" spans="3:11" x14ac:dyDescent="0.25">
      <c r="C1289" s="1"/>
      <c r="H1289" s="3"/>
      <c r="I1289" s="3"/>
      <c r="J1289" s="3"/>
      <c r="K1289" s="3"/>
    </row>
    <row r="1290" spans="3:11" x14ac:dyDescent="0.25">
      <c r="C1290" s="1"/>
      <c r="H1290" s="3"/>
      <c r="I1290" s="3"/>
      <c r="J1290" s="3"/>
      <c r="K1290" s="3"/>
    </row>
    <row r="1291" spans="3:11" x14ac:dyDescent="0.25">
      <c r="C1291" s="1"/>
      <c r="H1291" s="3"/>
      <c r="I1291" s="3"/>
      <c r="J1291" s="3"/>
      <c r="K1291" s="3"/>
    </row>
    <row r="1292" spans="3:11" x14ac:dyDescent="0.25">
      <c r="C1292" s="1"/>
      <c r="H1292" s="3"/>
      <c r="I1292" s="3"/>
      <c r="J1292" s="3"/>
      <c r="K1292" s="3"/>
    </row>
    <row r="1293" spans="3:11" x14ac:dyDescent="0.25">
      <c r="C1293" s="1"/>
      <c r="H1293" s="3"/>
      <c r="I1293" s="3"/>
      <c r="J1293" s="3"/>
      <c r="K1293" s="3"/>
    </row>
    <row r="1294" spans="3:11" x14ac:dyDescent="0.25">
      <c r="C1294" s="1"/>
      <c r="H1294" s="3"/>
      <c r="I1294" s="3"/>
      <c r="J1294" s="3"/>
      <c r="K1294" s="3"/>
    </row>
    <row r="1295" spans="3:11" x14ac:dyDescent="0.25">
      <c r="C1295" s="1"/>
      <c r="H1295" s="3"/>
      <c r="I1295" s="3"/>
      <c r="J1295" s="3"/>
      <c r="K1295" s="3"/>
    </row>
    <row r="1296" spans="3:11" x14ac:dyDescent="0.25">
      <c r="C1296" s="1"/>
      <c r="H1296" s="3"/>
      <c r="I1296" s="3"/>
      <c r="J1296" s="3"/>
      <c r="K1296" s="3"/>
    </row>
    <row r="1297" spans="3:11" x14ac:dyDescent="0.25">
      <c r="C1297" s="1"/>
      <c r="H1297" s="3"/>
      <c r="I1297" s="3"/>
      <c r="J1297" s="3"/>
      <c r="K1297" s="3"/>
    </row>
    <row r="1298" spans="3:11" x14ac:dyDescent="0.25">
      <c r="C1298" s="1"/>
      <c r="H1298" s="3"/>
      <c r="I1298" s="3"/>
      <c r="J1298" s="3"/>
      <c r="K1298" s="3"/>
    </row>
    <row r="1299" spans="3:11" x14ac:dyDescent="0.25">
      <c r="C1299" s="1"/>
      <c r="H1299" s="3"/>
      <c r="I1299" s="3"/>
      <c r="J1299" s="3"/>
      <c r="K1299" s="3"/>
    </row>
    <row r="1300" spans="3:11" x14ac:dyDescent="0.25">
      <c r="C1300" s="1"/>
      <c r="H1300" s="3"/>
      <c r="I1300" s="3"/>
      <c r="J1300" s="3"/>
      <c r="K1300" s="3"/>
    </row>
    <row r="1301" spans="3:11" x14ac:dyDescent="0.25">
      <c r="C1301" s="1"/>
      <c r="H1301" s="3"/>
      <c r="I1301" s="3"/>
      <c r="J1301" s="3"/>
      <c r="K1301" s="3"/>
    </row>
    <row r="1302" spans="3:11" x14ac:dyDescent="0.25">
      <c r="C1302" s="1"/>
      <c r="H1302" s="3"/>
      <c r="I1302" s="3"/>
      <c r="J1302" s="3"/>
      <c r="K1302" s="3"/>
    </row>
    <row r="1303" spans="3:11" x14ac:dyDescent="0.25">
      <c r="C1303" s="1"/>
      <c r="H1303" s="3"/>
      <c r="I1303" s="3"/>
      <c r="J1303" s="3"/>
      <c r="K1303" s="3"/>
    </row>
    <row r="1304" spans="3:11" x14ac:dyDescent="0.25">
      <c r="C1304" s="1"/>
      <c r="H1304" s="3"/>
      <c r="I1304" s="3"/>
      <c r="J1304" s="3"/>
      <c r="K1304" s="3"/>
    </row>
    <row r="1305" spans="3:11" x14ac:dyDescent="0.25">
      <c r="C1305" s="1"/>
      <c r="H1305" s="3"/>
      <c r="I1305" s="3"/>
      <c r="J1305" s="3"/>
      <c r="K1305" s="3"/>
    </row>
    <row r="1306" spans="3:11" x14ac:dyDescent="0.25">
      <c r="C1306" s="1"/>
      <c r="H1306" s="3"/>
      <c r="I1306" s="3"/>
      <c r="J1306" s="3"/>
      <c r="K1306" s="3"/>
    </row>
    <row r="1307" spans="3:11" x14ac:dyDescent="0.25">
      <c r="C1307" s="1"/>
      <c r="H1307" s="3"/>
      <c r="I1307" s="3"/>
      <c r="J1307" s="3"/>
      <c r="K1307" s="3"/>
    </row>
    <row r="1308" spans="3:11" x14ac:dyDescent="0.25">
      <c r="C1308" s="1"/>
      <c r="H1308" s="3"/>
      <c r="I1308" s="3"/>
      <c r="J1308" s="3"/>
      <c r="K1308" s="3"/>
    </row>
    <row r="1309" spans="3:11" x14ac:dyDescent="0.25">
      <c r="C1309" s="1"/>
      <c r="H1309" s="3"/>
      <c r="I1309" s="3"/>
      <c r="J1309" s="3"/>
      <c r="K1309" s="3"/>
    </row>
    <row r="1310" spans="3:11" x14ac:dyDescent="0.25">
      <c r="C1310" s="1"/>
      <c r="H1310" s="3"/>
      <c r="I1310" s="3"/>
      <c r="J1310" s="3"/>
      <c r="K1310" s="3"/>
    </row>
    <row r="1311" spans="3:11" x14ac:dyDescent="0.25">
      <c r="C1311" s="1"/>
      <c r="H1311" s="3"/>
      <c r="I1311" s="3"/>
      <c r="J1311" s="3"/>
      <c r="K1311" s="3"/>
    </row>
    <row r="1312" spans="3:11" x14ac:dyDescent="0.25">
      <c r="C1312" s="1"/>
      <c r="H1312" s="3"/>
      <c r="I1312" s="3"/>
      <c r="J1312" s="3"/>
      <c r="K1312" s="3"/>
    </row>
    <row r="1313" spans="3:11" x14ac:dyDescent="0.25">
      <c r="C1313" s="1"/>
      <c r="H1313" s="3"/>
      <c r="I1313" s="3"/>
      <c r="J1313" s="3"/>
      <c r="K1313" s="3"/>
    </row>
    <row r="1314" spans="3:11" x14ac:dyDescent="0.25">
      <c r="C1314" s="1"/>
      <c r="H1314" s="3"/>
      <c r="I1314" s="3"/>
      <c r="J1314" s="3"/>
      <c r="K1314" s="3"/>
    </row>
    <row r="1315" spans="3:11" x14ac:dyDescent="0.25">
      <c r="C1315" s="1"/>
      <c r="H1315" s="3"/>
      <c r="I1315" s="3"/>
      <c r="J1315" s="3"/>
      <c r="K1315" s="3"/>
    </row>
    <row r="1316" spans="3:11" x14ac:dyDescent="0.25">
      <c r="C1316" s="1"/>
      <c r="H1316" s="3"/>
      <c r="I1316" s="3"/>
      <c r="J1316" s="3"/>
      <c r="K1316" s="3"/>
    </row>
    <row r="1317" spans="3:11" x14ac:dyDescent="0.25">
      <c r="C1317" s="1"/>
      <c r="H1317" s="3"/>
      <c r="I1317" s="3"/>
      <c r="J1317" s="3"/>
      <c r="K1317" s="3"/>
    </row>
    <row r="1318" spans="3:11" x14ac:dyDescent="0.25">
      <c r="C1318" s="1"/>
      <c r="H1318" s="3"/>
      <c r="I1318" s="3"/>
      <c r="J1318" s="3"/>
      <c r="K1318" s="3"/>
    </row>
    <row r="1319" spans="3:11" x14ac:dyDescent="0.25">
      <c r="C1319" s="1"/>
      <c r="H1319" s="3"/>
      <c r="I1319" s="3"/>
      <c r="J1319" s="3"/>
      <c r="K1319" s="3"/>
    </row>
    <row r="1320" spans="3:11" x14ac:dyDescent="0.25">
      <c r="C1320" s="1"/>
      <c r="H1320" s="3"/>
      <c r="I1320" s="3"/>
      <c r="J1320" s="3"/>
      <c r="K1320" s="3"/>
    </row>
    <row r="1321" spans="3:11" x14ac:dyDescent="0.25">
      <c r="C1321" s="1"/>
      <c r="H1321" s="3"/>
      <c r="I1321" s="3"/>
      <c r="J1321" s="3"/>
      <c r="K1321" s="3"/>
    </row>
    <row r="1322" spans="3:11" x14ac:dyDescent="0.25">
      <c r="C1322" s="1"/>
      <c r="H1322" s="3"/>
      <c r="I1322" s="3"/>
      <c r="J1322" s="3"/>
      <c r="K1322" s="3"/>
    </row>
    <row r="1323" spans="3:11" x14ac:dyDescent="0.25">
      <c r="C1323" s="1"/>
      <c r="H1323" s="3"/>
      <c r="I1323" s="3"/>
      <c r="J1323" s="3"/>
      <c r="K1323" s="3"/>
    </row>
    <row r="1324" spans="3:11" x14ac:dyDescent="0.25">
      <c r="C1324" s="1"/>
      <c r="H1324" s="3"/>
      <c r="I1324" s="3"/>
      <c r="J1324" s="3"/>
      <c r="K1324" s="3"/>
    </row>
    <row r="1325" spans="3:11" x14ac:dyDescent="0.25">
      <c r="C1325" s="1"/>
      <c r="H1325" s="3"/>
      <c r="I1325" s="3"/>
      <c r="J1325" s="3"/>
      <c r="K1325" s="3"/>
    </row>
    <row r="1326" spans="3:11" x14ac:dyDescent="0.25">
      <c r="C1326" s="1"/>
      <c r="H1326" s="3"/>
      <c r="I1326" s="3"/>
      <c r="J1326" s="3"/>
      <c r="K1326" s="3"/>
    </row>
    <row r="1327" spans="3:11" x14ac:dyDescent="0.25">
      <c r="C1327" s="1"/>
      <c r="H1327" s="3"/>
      <c r="I1327" s="3"/>
      <c r="J1327" s="3"/>
      <c r="K1327" s="3"/>
    </row>
    <row r="1328" spans="3:11" x14ac:dyDescent="0.25">
      <c r="C1328" s="1"/>
      <c r="H1328" s="3"/>
      <c r="I1328" s="3"/>
      <c r="J1328" s="3"/>
      <c r="K1328" s="3"/>
    </row>
    <row r="1329" spans="3:11" x14ac:dyDescent="0.25">
      <c r="C1329" s="1"/>
      <c r="H1329" s="3"/>
      <c r="I1329" s="3"/>
      <c r="J1329" s="3"/>
      <c r="K1329" s="3"/>
    </row>
    <row r="1330" spans="3:11" x14ac:dyDescent="0.25">
      <c r="C1330" s="1"/>
      <c r="H1330" s="3"/>
      <c r="I1330" s="3"/>
      <c r="J1330" s="3"/>
      <c r="K1330" s="3"/>
    </row>
    <row r="1331" spans="3:11" x14ac:dyDescent="0.25">
      <c r="C1331" s="1"/>
      <c r="H1331" s="3"/>
      <c r="I1331" s="3"/>
      <c r="J1331" s="3"/>
      <c r="K1331" s="3"/>
    </row>
    <row r="1332" spans="3:11" x14ac:dyDescent="0.25">
      <c r="C1332" s="1"/>
      <c r="H1332" s="3"/>
      <c r="I1332" s="3"/>
      <c r="J1332" s="3"/>
      <c r="K1332" s="3"/>
    </row>
    <row r="1333" spans="3:11" x14ac:dyDescent="0.25">
      <c r="C1333" s="1"/>
      <c r="H1333" s="3"/>
      <c r="I1333" s="3"/>
      <c r="J1333" s="3"/>
      <c r="K1333" s="3"/>
    </row>
    <row r="1334" spans="3:11" x14ac:dyDescent="0.25">
      <c r="C1334" s="1"/>
      <c r="H1334" s="3"/>
      <c r="I1334" s="3"/>
      <c r="J1334" s="3"/>
      <c r="K1334" s="3"/>
    </row>
    <row r="1335" spans="3:11" x14ac:dyDescent="0.25">
      <c r="C1335" s="1"/>
      <c r="H1335" s="3"/>
      <c r="I1335" s="3"/>
      <c r="J1335" s="3"/>
      <c r="K1335" s="3"/>
    </row>
    <row r="1336" spans="3:11" x14ac:dyDescent="0.25">
      <c r="C1336" s="1"/>
      <c r="H1336" s="3"/>
      <c r="I1336" s="3"/>
      <c r="J1336" s="3"/>
      <c r="K1336" s="3"/>
    </row>
    <row r="1337" spans="3:11" x14ac:dyDescent="0.25">
      <c r="C1337" s="1"/>
      <c r="H1337" s="3"/>
      <c r="I1337" s="3"/>
      <c r="J1337" s="3"/>
      <c r="K1337" s="3"/>
    </row>
    <row r="1338" spans="3:11" x14ac:dyDescent="0.25">
      <c r="C1338" s="1"/>
      <c r="H1338" s="3"/>
      <c r="I1338" s="3"/>
      <c r="J1338" s="3"/>
      <c r="K1338" s="3"/>
    </row>
    <row r="1339" spans="3:11" x14ac:dyDescent="0.25">
      <c r="C1339" s="1"/>
      <c r="H1339" s="3"/>
      <c r="I1339" s="3"/>
      <c r="J1339" s="3"/>
      <c r="K1339" s="3"/>
    </row>
    <row r="1340" spans="3:11" x14ac:dyDescent="0.25">
      <c r="C1340" s="1"/>
      <c r="H1340" s="3"/>
      <c r="I1340" s="3"/>
      <c r="J1340" s="3"/>
      <c r="K1340" s="3"/>
    </row>
    <row r="1341" spans="3:11" x14ac:dyDescent="0.25">
      <c r="C1341" s="1"/>
      <c r="H1341" s="3"/>
      <c r="I1341" s="3"/>
      <c r="J1341" s="3"/>
      <c r="K1341" s="3"/>
    </row>
    <row r="1342" spans="3:11" x14ac:dyDescent="0.25">
      <c r="C1342" s="1"/>
      <c r="H1342" s="3"/>
      <c r="I1342" s="3"/>
      <c r="J1342" s="3"/>
      <c r="K1342" s="3"/>
    </row>
    <row r="1343" spans="3:11" x14ac:dyDescent="0.25">
      <c r="C1343" s="1"/>
      <c r="H1343" s="3"/>
      <c r="I1343" s="3"/>
      <c r="J1343" s="3"/>
      <c r="K1343" s="3"/>
    </row>
    <row r="1344" spans="3:11" x14ac:dyDescent="0.25">
      <c r="C1344" s="1"/>
      <c r="H1344" s="3"/>
      <c r="I1344" s="3"/>
      <c r="J1344" s="3"/>
      <c r="K1344" s="3"/>
    </row>
    <row r="1345" spans="3:11" x14ac:dyDescent="0.25">
      <c r="C1345" s="1"/>
      <c r="H1345" s="3"/>
      <c r="I1345" s="3"/>
      <c r="J1345" s="3"/>
      <c r="K1345" s="3"/>
    </row>
    <row r="1346" spans="3:11" x14ac:dyDescent="0.25">
      <c r="C1346" s="1"/>
      <c r="H1346" s="3"/>
      <c r="I1346" s="3"/>
      <c r="J1346" s="3"/>
      <c r="K1346" s="3"/>
    </row>
    <row r="1347" spans="3:11" x14ac:dyDescent="0.25">
      <c r="C1347" s="1"/>
      <c r="H1347" s="3"/>
      <c r="I1347" s="3"/>
      <c r="J1347" s="3"/>
      <c r="K1347" s="3"/>
    </row>
    <row r="1348" spans="3:11" x14ac:dyDescent="0.25">
      <c r="C1348" s="1"/>
      <c r="H1348" s="3"/>
      <c r="I1348" s="3"/>
      <c r="J1348" s="3"/>
      <c r="K1348" s="3"/>
    </row>
    <row r="1349" spans="3:11" x14ac:dyDescent="0.25">
      <c r="C1349" s="1"/>
      <c r="H1349" s="3"/>
      <c r="I1349" s="3"/>
      <c r="J1349" s="3"/>
      <c r="K1349" s="3"/>
    </row>
    <row r="1350" spans="3:11" x14ac:dyDescent="0.25">
      <c r="C1350" s="1"/>
      <c r="H1350" s="3"/>
      <c r="I1350" s="3"/>
      <c r="J1350" s="3"/>
      <c r="K1350" s="3"/>
    </row>
    <row r="1351" spans="3:11" x14ac:dyDescent="0.25">
      <c r="C1351" s="1"/>
      <c r="H1351" s="3"/>
      <c r="I1351" s="3"/>
      <c r="J1351" s="3"/>
      <c r="K1351" s="3"/>
    </row>
    <row r="1352" spans="3:11" x14ac:dyDescent="0.25">
      <c r="C1352" s="1"/>
      <c r="H1352" s="3"/>
      <c r="I1352" s="3"/>
      <c r="J1352" s="3"/>
      <c r="K1352" s="3"/>
    </row>
    <row r="1353" spans="3:11" x14ac:dyDescent="0.25">
      <c r="C1353" s="1"/>
      <c r="H1353" s="3"/>
      <c r="I1353" s="3"/>
      <c r="J1353" s="3"/>
      <c r="K1353" s="3"/>
    </row>
    <row r="1354" spans="3:11" x14ac:dyDescent="0.25">
      <c r="C1354" s="1"/>
      <c r="H1354" s="3"/>
      <c r="I1354" s="3"/>
      <c r="J1354" s="3"/>
      <c r="K1354" s="3"/>
    </row>
    <row r="1355" spans="3:11" x14ac:dyDescent="0.25">
      <c r="C1355" s="1"/>
      <c r="H1355" s="3"/>
      <c r="I1355" s="3"/>
      <c r="J1355" s="3"/>
      <c r="K1355" s="3"/>
    </row>
    <row r="1356" spans="3:11" x14ac:dyDescent="0.25">
      <c r="C1356" s="1"/>
      <c r="H1356" s="3"/>
      <c r="I1356" s="3"/>
      <c r="J1356" s="3"/>
      <c r="K1356" s="3"/>
    </row>
    <row r="1357" spans="3:11" x14ac:dyDescent="0.25">
      <c r="C1357" s="1"/>
      <c r="H1357" s="3"/>
      <c r="I1357" s="3"/>
      <c r="J1357" s="3"/>
      <c r="K1357" s="3"/>
    </row>
    <row r="1358" spans="3:11" x14ac:dyDescent="0.25">
      <c r="C1358" s="1"/>
      <c r="H1358" s="3"/>
      <c r="I1358" s="3"/>
      <c r="J1358" s="3"/>
      <c r="K1358" s="3"/>
    </row>
    <row r="1359" spans="3:11" x14ac:dyDescent="0.25">
      <c r="C1359" s="1"/>
      <c r="H1359" s="3"/>
      <c r="I1359" s="3"/>
      <c r="J1359" s="3"/>
      <c r="K1359" s="3"/>
    </row>
  </sheetData>
  <sortState xmlns:xlrd2="http://schemas.microsoft.com/office/spreadsheetml/2017/richdata2" ref="D1:E543">
    <sortCondition ref="E1:E54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7"/>
  <sheetViews>
    <sheetView workbookViewId="0">
      <selection activeCell="F17" sqref="F17"/>
    </sheetView>
  </sheetViews>
  <sheetFormatPr defaultRowHeight="15" x14ac:dyDescent="0.25"/>
  <cols>
    <col min="1" max="1" width="20.7109375" customWidth="1"/>
  </cols>
  <sheetData>
    <row r="1" spans="1:13" x14ac:dyDescent="0.25">
      <c r="A1" s="5" t="s">
        <v>0</v>
      </c>
      <c r="G1">
        <v>3</v>
      </c>
      <c r="H1">
        <f ca="1">RAND()</f>
        <v>0.11598817221624569</v>
      </c>
      <c r="K1">
        <f ca="1">RAND()</f>
        <v>0.97137143334071496</v>
      </c>
      <c r="L1">
        <f ca="1">INT(K1*48)+1</f>
        <v>47</v>
      </c>
      <c r="M1">
        <f ca="1">IF(MOD(L1,3)=0,L1,12)</f>
        <v>12</v>
      </c>
    </row>
    <row r="2" spans="1:13" x14ac:dyDescent="0.25">
      <c r="A2" s="5">
        <v>1</v>
      </c>
      <c r="B2">
        <f ca="1">RAND()</f>
        <v>0.10914243160735448</v>
      </c>
      <c r="C2">
        <f ca="1">INT(B2*48)+1</f>
        <v>6</v>
      </c>
      <c r="D2">
        <f ca="1">IF(MOD(C2,3)=0,C2,12)</f>
        <v>6</v>
      </c>
      <c r="G2">
        <v>6</v>
      </c>
      <c r="H2">
        <f t="shared" ref="H2:H16" ca="1" si="0">RAND()</f>
        <v>0.23519833714248406</v>
      </c>
      <c r="K2">
        <f t="shared" ref="K2:K48" ca="1" si="1">RAND()</f>
        <v>0.73343923323738347</v>
      </c>
      <c r="L2">
        <f t="shared" ref="L2:L48" ca="1" si="2">INT(K2*48)+1</f>
        <v>36</v>
      </c>
      <c r="M2">
        <f t="shared" ref="M2:M48" ca="1" si="3">IF(MOD(L2,3)=0,L2,12)</f>
        <v>36</v>
      </c>
    </row>
    <row r="3" spans="1:13" x14ac:dyDescent="0.25">
      <c r="A3" s="5">
        <v>2</v>
      </c>
      <c r="B3">
        <f ca="1">RAND()</f>
        <v>0.86262518018716139</v>
      </c>
      <c r="C3">
        <f t="shared" ref="C3:C66" ca="1" si="4">INT(B3*48)+1</f>
        <v>42</v>
      </c>
      <c r="D3">
        <f t="shared" ref="D3:D66" ca="1" si="5">IF(MOD(C3,3)=0,C3,12)</f>
        <v>42</v>
      </c>
      <c r="G3">
        <v>9</v>
      </c>
      <c r="H3">
        <f t="shared" ca="1" si="0"/>
        <v>0.12813557782454754</v>
      </c>
      <c r="K3">
        <f t="shared" ca="1" si="1"/>
        <v>0.73424430430951637</v>
      </c>
      <c r="L3">
        <f t="shared" ca="1" si="2"/>
        <v>36</v>
      </c>
      <c r="M3">
        <f t="shared" ca="1" si="3"/>
        <v>36</v>
      </c>
    </row>
    <row r="4" spans="1:13" x14ac:dyDescent="0.25">
      <c r="A4" s="5">
        <v>3</v>
      </c>
      <c r="B4">
        <f t="shared" ref="B4:B66" ca="1" si="6">RAND()</f>
        <v>0.52847912083356974</v>
      </c>
      <c r="C4">
        <f t="shared" ca="1" si="4"/>
        <v>26</v>
      </c>
      <c r="D4">
        <f t="shared" ca="1" si="5"/>
        <v>12</v>
      </c>
      <c r="G4">
        <v>12</v>
      </c>
      <c r="H4">
        <f t="shared" ca="1" si="0"/>
        <v>0.83787892723456858</v>
      </c>
      <c r="K4">
        <f t="shared" ca="1" si="1"/>
        <v>0.45782442994142947</v>
      </c>
      <c r="L4">
        <f t="shared" ca="1" si="2"/>
        <v>22</v>
      </c>
      <c r="M4">
        <f t="shared" ca="1" si="3"/>
        <v>12</v>
      </c>
    </row>
    <row r="5" spans="1:13" x14ac:dyDescent="0.25">
      <c r="A5" s="5">
        <v>4</v>
      </c>
      <c r="B5">
        <f t="shared" ca="1" si="6"/>
        <v>0.17404322910224901</v>
      </c>
      <c r="C5">
        <f t="shared" ca="1" si="4"/>
        <v>9</v>
      </c>
      <c r="D5">
        <f t="shared" ca="1" si="5"/>
        <v>9</v>
      </c>
      <c r="G5">
        <v>15</v>
      </c>
      <c r="H5">
        <f t="shared" ca="1" si="0"/>
        <v>0.41445429690316193</v>
      </c>
      <c r="K5">
        <f t="shared" ca="1" si="1"/>
        <v>0.8449840809669229</v>
      </c>
      <c r="L5">
        <f t="shared" ca="1" si="2"/>
        <v>41</v>
      </c>
      <c r="M5">
        <f t="shared" ca="1" si="3"/>
        <v>12</v>
      </c>
    </row>
    <row r="6" spans="1:13" x14ac:dyDescent="0.25">
      <c r="A6" s="5">
        <v>5</v>
      </c>
      <c r="B6">
        <f t="shared" ca="1" si="6"/>
        <v>0.99372573041460244</v>
      </c>
      <c r="C6">
        <f t="shared" ca="1" si="4"/>
        <v>48</v>
      </c>
      <c r="D6">
        <f t="shared" ca="1" si="5"/>
        <v>48</v>
      </c>
      <c r="G6">
        <v>18</v>
      </c>
      <c r="H6">
        <f t="shared" ca="1" si="0"/>
        <v>0.35742547499255051</v>
      </c>
      <c r="K6">
        <f t="shared" ca="1" si="1"/>
        <v>0.19186266553519793</v>
      </c>
      <c r="L6">
        <f t="shared" ca="1" si="2"/>
        <v>10</v>
      </c>
      <c r="M6">
        <f t="shared" ca="1" si="3"/>
        <v>12</v>
      </c>
    </row>
    <row r="7" spans="1:13" x14ac:dyDescent="0.25">
      <c r="A7" s="5">
        <v>6</v>
      </c>
      <c r="B7">
        <f t="shared" ca="1" si="6"/>
        <v>0.68598309043363637</v>
      </c>
      <c r="C7">
        <f t="shared" ca="1" si="4"/>
        <v>33</v>
      </c>
      <c r="D7">
        <f t="shared" ca="1" si="5"/>
        <v>33</v>
      </c>
      <c r="G7">
        <v>21</v>
      </c>
      <c r="H7">
        <f t="shared" ca="1" si="0"/>
        <v>0.27510747161852045</v>
      </c>
      <c r="K7">
        <f t="shared" ca="1" si="1"/>
        <v>0.39722084702279092</v>
      </c>
      <c r="L7">
        <f t="shared" ca="1" si="2"/>
        <v>20</v>
      </c>
      <c r="M7">
        <f t="shared" ca="1" si="3"/>
        <v>12</v>
      </c>
    </row>
    <row r="8" spans="1:13" x14ac:dyDescent="0.25">
      <c r="A8" s="5">
        <v>7</v>
      </c>
      <c r="B8">
        <f t="shared" ca="1" si="6"/>
        <v>0.24671784997088775</v>
      </c>
      <c r="C8">
        <f t="shared" ca="1" si="4"/>
        <v>12</v>
      </c>
      <c r="D8">
        <f t="shared" ca="1" si="5"/>
        <v>12</v>
      </c>
      <c r="G8">
        <v>24</v>
      </c>
      <c r="H8">
        <f t="shared" ca="1" si="0"/>
        <v>0.16383752837268484</v>
      </c>
      <c r="K8">
        <f t="shared" ca="1" si="1"/>
        <v>0.77932014654196868</v>
      </c>
      <c r="L8">
        <f t="shared" ca="1" si="2"/>
        <v>38</v>
      </c>
      <c r="M8">
        <f t="shared" ca="1" si="3"/>
        <v>12</v>
      </c>
    </row>
    <row r="9" spans="1:13" x14ac:dyDescent="0.25">
      <c r="A9" s="5">
        <v>8</v>
      </c>
      <c r="B9">
        <f t="shared" ca="1" si="6"/>
        <v>0.24273171787923786</v>
      </c>
      <c r="C9">
        <f t="shared" ca="1" si="4"/>
        <v>12</v>
      </c>
      <c r="D9">
        <f t="shared" ca="1" si="5"/>
        <v>12</v>
      </c>
      <c r="G9">
        <v>27</v>
      </c>
      <c r="H9">
        <f t="shared" ca="1" si="0"/>
        <v>0.29137776177746166</v>
      </c>
      <c r="K9">
        <f t="shared" ca="1" si="1"/>
        <v>0.6699385325778191</v>
      </c>
      <c r="L9">
        <f t="shared" ca="1" si="2"/>
        <v>33</v>
      </c>
      <c r="M9">
        <f t="shared" ca="1" si="3"/>
        <v>33</v>
      </c>
    </row>
    <row r="10" spans="1:13" x14ac:dyDescent="0.25">
      <c r="A10" s="5">
        <v>9</v>
      </c>
      <c r="B10">
        <f t="shared" ca="1" si="6"/>
        <v>8.9787832664444012E-2</v>
      </c>
      <c r="C10">
        <f t="shared" ca="1" si="4"/>
        <v>5</v>
      </c>
      <c r="D10">
        <f t="shared" ca="1" si="5"/>
        <v>12</v>
      </c>
      <c r="G10">
        <v>30</v>
      </c>
      <c r="H10">
        <f t="shared" ca="1" si="0"/>
        <v>0.33844057632408531</v>
      </c>
      <c r="K10">
        <f t="shared" ca="1" si="1"/>
        <v>0.10724591607222744</v>
      </c>
      <c r="L10">
        <f t="shared" ca="1" si="2"/>
        <v>6</v>
      </c>
      <c r="M10">
        <f t="shared" ca="1" si="3"/>
        <v>6</v>
      </c>
    </row>
    <row r="11" spans="1:13" x14ac:dyDescent="0.25">
      <c r="A11" s="5">
        <v>10</v>
      </c>
      <c r="B11">
        <f t="shared" ca="1" si="6"/>
        <v>0.65472238937099247</v>
      </c>
      <c r="C11">
        <f t="shared" ca="1" si="4"/>
        <v>32</v>
      </c>
      <c r="D11">
        <f t="shared" ca="1" si="5"/>
        <v>12</v>
      </c>
      <c r="G11">
        <v>33</v>
      </c>
      <c r="H11">
        <f t="shared" ca="1" si="0"/>
        <v>0.57204502389098966</v>
      </c>
      <c r="K11">
        <f t="shared" ca="1" si="1"/>
        <v>0.64162687777965566</v>
      </c>
      <c r="L11">
        <f t="shared" ca="1" si="2"/>
        <v>31</v>
      </c>
      <c r="M11">
        <f t="shared" ca="1" si="3"/>
        <v>12</v>
      </c>
    </row>
    <row r="12" spans="1:13" x14ac:dyDescent="0.25">
      <c r="A12" s="5">
        <v>11</v>
      </c>
      <c r="B12">
        <f t="shared" ca="1" si="6"/>
        <v>0.20728862543532678</v>
      </c>
      <c r="C12">
        <f t="shared" ca="1" si="4"/>
        <v>10</v>
      </c>
      <c r="D12">
        <f t="shared" ca="1" si="5"/>
        <v>12</v>
      </c>
      <c r="G12">
        <v>36</v>
      </c>
      <c r="H12">
        <f t="shared" ca="1" si="0"/>
        <v>0.27495699551764985</v>
      </c>
      <c r="K12">
        <f t="shared" ca="1" si="1"/>
        <v>0.68510332593489531</v>
      </c>
      <c r="L12">
        <f t="shared" ca="1" si="2"/>
        <v>33</v>
      </c>
      <c r="M12">
        <f t="shared" ca="1" si="3"/>
        <v>33</v>
      </c>
    </row>
    <row r="13" spans="1:13" x14ac:dyDescent="0.25">
      <c r="A13" s="5">
        <v>12</v>
      </c>
      <c r="B13">
        <f t="shared" ca="1" si="6"/>
        <v>0.56236763561035341</v>
      </c>
      <c r="C13">
        <f t="shared" ca="1" si="4"/>
        <v>27</v>
      </c>
      <c r="D13">
        <f t="shared" ca="1" si="5"/>
        <v>27</v>
      </c>
      <c r="G13">
        <v>39</v>
      </c>
      <c r="H13">
        <f t="shared" ca="1" si="0"/>
        <v>0.70004862790619093</v>
      </c>
      <c r="K13">
        <f t="shared" ca="1" si="1"/>
        <v>8.0921144753611007E-2</v>
      </c>
      <c r="L13">
        <f t="shared" ca="1" si="2"/>
        <v>4</v>
      </c>
      <c r="M13">
        <f t="shared" ca="1" si="3"/>
        <v>12</v>
      </c>
    </row>
    <row r="14" spans="1:13" x14ac:dyDescent="0.25">
      <c r="A14" s="5">
        <v>13</v>
      </c>
      <c r="B14">
        <f t="shared" ca="1" si="6"/>
        <v>0.81563682835014961</v>
      </c>
      <c r="C14">
        <f t="shared" ca="1" si="4"/>
        <v>40</v>
      </c>
      <c r="D14">
        <f t="shared" ca="1" si="5"/>
        <v>12</v>
      </c>
      <c r="G14">
        <v>42</v>
      </c>
      <c r="H14">
        <f t="shared" ca="1" si="0"/>
        <v>0.30752372635599223</v>
      </c>
      <c r="K14">
        <f t="shared" ca="1" si="1"/>
        <v>0.17608691879327842</v>
      </c>
      <c r="L14">
        <f t="shared" ca="1" si="2"/>
        <v>9</v>
      </c>
      <c r="M14">
        <f t="shared" ca="1" si="3"/>
        <v>9</v>
      </c>
    </row>
    <row r="15" spans="1:13" x14ac:dyDescent="0.25">
      <c r="A15" s="5">
        <v>14</v>
      </c>
      <c r="B15">
        <f t="shared" ca="1" si="6"/>
        <v>0.53302973826233901</v>
      </c>
      <c r="C15">
        <f t="shared" ca="1" si="4"/>
        <v>26</v>
      </c>
      <c r="D15">
        <f t="shared" ca="1" si="5"/>
        <v>12</v>
      </c>
      <c r="G15">
        <v>45</v>
      </c>
      <c r="H15">
        <f t="shared" ca="1" si="0"/>
        <v>2.1977463547262377E-2</v>
      </c>
      <c r="K15">
        <f t="shared" ca="1" si="1"/>
        <v>0.63724597002988059</v>
      </c>
      <c r="L15">
        <f t="shared" ca="1" si="2"/>
        <v>31</v>
      </c>
      <c r="M15">
        <f t="shared" ca="1" si="3"/>
        <v>12</v>
      </c>
    </row>
    <row r="16" spans="1:13" x14ac:dyDescent="0.25">
      <c r="A16" s="5">
        <v>15</v>
      </c>
      <c r="B16">
        <f t="shared" ca="1" si="6"/>
        <v>0.71429927100493174</v>
      </c>
      <c r="C16">
        <f t="shared" ca="1" si="4"/>
        <v>35</v>
      </c>
      <c r="D16">
        <f t="shared" ca="1" si="5"/>
        <v>12</v>
      </c>
      <c r="G16">
        <v>48</v>
      </c>
      <c r="H16">
        <f t="shared" ca="1" si="0"/>
        <v>0.82281957556729524</v>
      </c>
      <c r="K16">
        <f t="shared" ca="1" si="1"/>
        <v>0.1083900010432739</v>
      </c>
      <c r="L16">
        <f t="shared" ca="1" si="2"/>
        <v>6</v>
      </c>
      <c r="M16">
        <f t="shared" ca="1" si="3"/>
        <v>6</v>
      </c>
    </row>
    <row r="17" spans="1:13" x14ac:dyDescent="0.25">
      <c r="A17" s="5">
        <v>16</v>
      </c>
      <c r="B17">
        <f t="shared" ca="1" si="6"/>
        <v>0.49689395897573041</v>
      </c>
      <c r="C17">
        <f t="shared" ca="1" si="4"/>
        <v>24</v>
      </c>
      <c r="D17">
        <f t="shared" ca="1" si="5"/>
        <v>24</v>
      </c>
      <c r="K17">
        <f t="shared" ca="1" si="1"/>
        <v>0.68474452685875764</v>
      </c>
      <c r="L17">
        <f t="shared" ca="1" si="2"/>
        <v>33</v>
      </c>
      <c r="M17">
        <f t="shared" ca="1" si="3"/>
        <v>33</v>
      </c>
    </row>
    <row r="18" spans="1:13" x14ac:dyDescent="0.25">
      <c r="A18" s="5">
        <v>17</v>
      </c>
      <c r="B18">
        <f t="shared" ca="1" si="6"/>
        <v>0.71161151865193006</v>
      </c>
      <c r="C18">
        <f t="shared" ca="1" si="4"/>
        <v>35</v>
      </c>
      <c r="D18">
        <f t="shared" ca="1" si="5"/>
        <v>12</v>
      </c>
      <c r="K18">
        <f t="shared" ca="1" si="1"/>
        <v>0.64751624370171112</v>
      </c>
      <c r="L18">
        <f t="shared" ca="1" si="2"/>
        <v>32</v>
      </c>
      <c r="M18">
        <f t="shared" ca="1" si="3"/>
        <v>12</v>
      </c>
    </row>
    <row r="19" spans="1:13" x14ac:dyDescent="0.25">
      <c r="A19" s="5">
        <v>18</v>
      </c>
      <c r="B19">
        <f t="shared" ca="1" si="6"/>
        <v>0.82325494773911323</v>
      </c>
      <c r="C19">
        <f t="shared" ca="1" si="4"/>
        <v>40</v>
      </c>
      <c r="D19">
        <f t="shared" ca="1" si="5"/>
        <v>12</v>
      </c>
      <c r="K19">
        <f t="shared" ca="1" si="1"/>
        <v>0.83141393668476482</v>
      </c>
      <c r="L19">
        <f t="shared" ca="1" si="2"/>
        <v>40</v>
      </c>
      <c r="M19">
        <f t="shared" ca="1" si="3"/>
        <v>12</v>
      </c>
    </row>
    <row r="20" spans="1:13" x14ac:dyDescent="0.25">
      <c r="A20" s="5">
        <v>19</v>
      </c>
      <c r="B20">
        <f t="shared" ca="1" si="6"/>
        <v>0.26509643781218817</v>
      </c>
      <c r="C20">
        <f t="shared" ca="1" si="4"/>
        <v>13</v>
      </c>
      <c r="D20">
        <f t="shared" ca="1" si="5"/>
        <v>12</v>
      </c>
      <c r="K20">
        <f t="shared" ca="1" si="1"/>
        <v>0.10347577267679831</v>
      </c>
      <c r="L20">
        <f t="shared" ca="1" si="2"/>
        <v>5</v>
      </c>
      <c r="M20">
        <f t="shared" ca="1" si="3"/>
        <v>12</v>
      </c>
    </row>
    <row r="21" spans="1:13" x14ac:dyDescent="0.25">
      <c r="A21" s="5">
        <v>20</v>
      </c>
      <c r="B21">
        <f t="shared" ca="1" si="6"/>
        <v>0.58971845295142589</v>
      </c>
      <c r="C21">
        <f t="shared" ca="1" si="4"/>
        <v>29</v>
      </c>
      <c r="D21">
        <f t="shared" ca="1" si="5"/>
        <v>12</v>
      </c>
      <c r="K21">
        <f t="shared" ca="1" si="1"/>
        <v>0.44843430884291069</v>
      </c>
      <c r="L21">
        <f t="shared" ca="1" si="2"/>
        <v>22</v>
      </c>
      <c r="M21">
        <f t="shared" ca="1" si="3"/>
        <v>12</v>
      </c>
    </row>
    <row r="22" spans="1:13" x14ac:dyDescent="0.25">
      <c r="A22" s="5">
        <v>21</v>
      </c>
      <c r="B22">
        <f t="shared" ca="1" si="6"/>
        <v>0.90227510890709139</v>
      </c>
      <c r="C22">
        <f t="shared" ca="1" si="4"/>
        <v>44</v>
      </c>
      <c r="D22">
        <f t="shared" ca="1" si="5"/>
        <v>12</v>
      </c>
      <c r="K22">
        <f t="shared" ca="1" si="1"/>
        <v>0.83473035873390711</v>
      </c>
      <c r="L22">
        <f t="shared" ca="1" si="2"/>
        <v>41</v>
      </c>
      <c r="M22">
        <f t="shared" ca="1" si="3"/>
        <v>12</v>
      </c>
    </row>
    <row r="23" spans="1:13" x14ac:dyDescent="0.25">
      <c r="A23" s="5">
        <v>22</v>
      </c>
      <c r="B23">
        <f t="shared" ca="1" si="6"/>
        <v>0.6640505543325167</v>
      </c>
      <c r="C23">
        <f t="shared" ca="1" si="4"/>
        <v>32</v>
      </c>
      <c r="D23">
        <f t="shared" ca="1" si="5"/>
        <v>12</v>
      </c>
      <c r="K23">
        <f t="shared" ca="1" si="1"/>
        <v>0.62341942743508449</v>
      </c>
      <c r="L23">
        <f t="shared" ca="1" si="2"/>
        <v>30</v>
      </c>
      <c r="M23">
        <f t="shared" ca="1" si="3"/>
        <v>30</v>
      </c>
    </row>
    <row r="24" spans="1:13" x14ac:dyDescent="0.25">
      <c r="A24" s="5">
        <v>23</v>
      </c>
      <c r="B24">
        <f t="shared" ca="1" si="6"/>
        <v>0.62298582731097107</v>
      </c>
      <c r="C24">
        <f t="shared" ca="1" si="4"/>
        <v>30</v>
      </c>
      <c r="D24">
        <f t="shared" ca="1" si="5"/>
        <v>30</v>
      </c>
      <c r="K24">
        <f t="shared" ca="1" si="1"/>
        <v>0.78622290993010291</v>
      </c>
      <c r="L24">
        <f t="shared" ca="1" si="2"/>
        <v>38</v>
      </c>
      <c r="M24">
        <f t="shared" ca="1" si="3"/>
        <v>12</v>
      </c>
    </row>
    <row r="25" spans="1:13" x14ac:dyDescent="0.25">
      <c r="A25" s="5">
        <v>24</v>
      </c>
      <c r="B25">
        <f t="shared" ca="1" si="6"/>
        <v>0.58717567204513788</v>
      </c>
      <c r="C25">
        <f t="shared" ca="1" si="4"/>
        <v>29</v>
      </c>
      <c r="D25">
        <f t="shared" ca="1" si="5"/>
        <v>12</v>
      </c>
      <c r="K25">
        <f t="shared" ca="1" si="1"/>
        <v>0.15451732236346749</v>
      </c>
      <c r="L25">
        <f t="shared" ca="1" si="2"/>
        <v>8</v>
      </c>
      <c r="M25">
        <f t="shared" ca="1" si="3"/>
        <v>12</v>
      </c>
    </row>
    <row r="26" spans="1:13" x14ac:dyDescent="0.25">
      <c r="A26" s="5">
        <v>25</v>
      </c>
      <c r="B26">
        <f t="shared" ca="1" si="6"/>
        <v>0.19095453205826862</v>
      </c>
      <c r="C26">
        <f t="shared" ca="1" si="4"/>
        <v>10</v>
      </c>
      <c r="D26">
        <f t="shared" ca="1" si="5"/>
        <v>12</v>
      </c>
      <c r="K26">
        <f t="shared" ca="1" si="1"/>
        <v>2.3411941597547004E-2</v>
      </c>
      <c r="L26">
        <f t="shared" ca="1" si="2"/>
        <v>2</v>
      </c>
      <c r="M26">
        <f t="shared" ca="1" si="3"/>
        <v>12</v>
      </c>
    </row>
    <row r="27" spans="1:13" x14ac:dyDescent="0.25">
      <c r="A27" s="5">
        <v>26</v>
      </c>
      <c r="B27">
        <f t="shared" ca="1" si="6"/>
        <v>0.44870055105088036</v>
      </c>
      <c r="C27">
        <f t="shared" ca="1" si="4"/>
        <v>22</v>
      </c>
      <c r="D27">
        <f t="shared" ca="1" si="5"/>
        <v>12</v>
      </c>
      <c r="K27">
        <f t="shared" ca="1" si="1"/>
        <v>0.73344484442679936</v>
      </c>
      <c r="L27">
        <f t="shared" ca="1" si="2"/>
        <v>36</v>
      </c>
      <c r="M27">
        <f t="shared" ca="1" si="3"/>
        <v>36</v>
      </c>
    </row>
    <row r="28" spans="1:13" x14ac:dyDescent="0.25">
      <c r="A28" s="5">
        <v>27</v>
      </c>
      <c r="B28">
        <f t="shared" ca="1" si="6"/>
        <v>0.43305930965397932</v>
      </c>
      <c r="C28">
        <f t="shared" ca="1" si="4"/>
        <v>21</v>
      </c>
      <c r="D28">
        <f t="shared" ca="1" si="5"/>
        <v>21</v>
      </c>
      <c r="K28">
        <f t="shared" ca="1" si="1"/>
        <v>0.424478320283319</v>
      </c>
      <c r="L28">
        <f t="shared" ca="1" si="2"/>
        <v>21</v>
      </c>
      <c r="M28">
        <f t="shared" ca="1" si="3"/>
        <v>21</v>
      </c>
    </row>
    <row r="29" spans="1:13" x14ac:dyDescent="0.25">
      <c r="A29" s="5">
        <v>28</v>
      </c>
      <c r="B29">
        <f t="shared" ca="1" si="6"/>
        <v>0.52495786990421456</v>
      </c>
      <c r="C29">
        <f t="shared" ca="1" si="4"/>
        <v>26</v>
      </c>
      <c r="D29">
        <f t="shared" ca="1" si="5"/>
        <v>12</v>
      </c>
      <c r="K29">
        <f t="shared" ca="1" si="1"/>
        <v>0.81420812696393496</v>
      </c>
      <c r="L29">
        <f t="shared" ca="1" si="2"/>
        <v>40</v>
      </c>
      <c r="M29">
        <f t="shared" ca="1" si="3"/>
        <v>12</v>
      </c>
    </row>
    <row r="30" spans="1:13" x14ac:dyDescent="0.25">
      <c r="A30" s="5">
        <v>29</v>
      </c>
      <c r="B30">
        <f t="shared" ca="1" si="6"/>
        <v>0.93024810527985502</v>
      </c>
      <c r="C30">
        <f t="shared" ca="1" si="4"/>
        <v>45</v>
      </c>
      <c r="D30">
        <f t="shared" ca="1" si="5"/>
        <v>45</v>
      </c>
      <c r="K30">
        <f t="shared" ca="1" si="1"/>
        <v>0.19632208248022964</v>
      </c>
      <c r="L30">
        <f t="shared" ca="1" si="2"/>
        <v>10</v>
      </c>
      <c r="M30">
        <f t="shared" ca="1" si="3"/>
        <v>12</v>
      </c>
    </row>
    <row r="31" spans="1:13" x14ac:dyDescent="0.25">
      <c r="A31" s="5">
        <v>30</v>
      </c>
      <c r="B31">
        <f t="shared" ca="1" si="6"/>
        <v>0.26272797452084862</v>
      </c>
      <c r="C31">
        <f t="shared" ca="1" si="4"/>
        <v>13</v>
      </c>
      <c r="D31">
        <f t="shared" ca="1" si="5"/>
        <v>12</v>
      </c>
      <c r="K31">
        <f t="shared" ca="1" si="1"/>
        <v>0.13958868096064525</v>
      </c>
      <c r="L31">
        <f t="shared" ca="1" si="2"/>
        <v>7</v>
      </c>
      <c r="M31">
        <f t="shared" ca="1" si="3"/>
        <v>12</v>
      </c>
    </row>
    <row r="32" spans="1:13" x14ac:dyDescent="0.25">
      <c r="A32" s="5">
        <v>31</v>
      </c>
      <c r="B32">
        <f t="shared" ca="1" si="6"/>
        <v>0.15958399341994622</v>
      </c>
      <c r="C32">
        <f t="shared" ca="1" si="4"/>
        <v>8</v>
      </c>
      <c r="D32">
        <f t="shared" ca="1" si="5"/>
        <v>12</v>
      </c>
      <c r="K32">
        <f t="shared" ca="1" si="1"/>
        <v>0.28986214594452497</v>
      </c>
      <c r="L32">
        <f t="shared" ca="1" si="2"/>
        <v>14</v>
      </c>
      <c r="M32">
        <f t="shared" ca="1" si="3"/>
        <v>12</v>
      </c>
    </row>
    <row r="33" spans="1:13" x14ac:dyDescent="0.25">
      <c r="A33" s="5">
        <v>32</v>
      </c>
      <c r="B33">
        <f t="shared" ca="1" si="6"/>
        <v>1.2604723882574498E-2</v>
      </c>
      <c r="C33">
        <f t="shared" ca="1" si="4"/>
        <v>1</v>
      </c>
      <c r="D33">
        <f t="shared" ca="1" si="5"/>
        <v>12</v>
      </c>
      <c r="K33">
        <f t="shared" ca="1" si="1"/>
        <v>0.15051107719340961</v>
      </c>
      <c r="L33">
        <f t="shared" ca="1" si="2"/>
        <v>8</v>
      </c>
      <c r="M33">
        <f t="shared" ca="1" si="3"/>
        <v>12</v>
      </c>
    </row>
    <row r="34" spans="1:13" x14ac:dyDescent="0.25">
      <c r="A34" s="5">
        <v>33</v>
      </c>
      <c r="B34">
        <f t="shared" ca="1" si="6"/>
        <v>0.18506055588721404</v>
      </c>
      <c r="C34">
        <f t="shared" ca="1" si="4"/>
        <v>9</v>
      </c>
      <c r="D34">
        <f t="shared" ca="1" si="5"/>
        <v>9</v>
      </c>
      <c r="K34">
        <f t="shared" ca="1" si="1"/>
        <v>0.27880635457048963</v>
      </c>
      <c r="L34">
        <f t="shared" ca="1" si="2"/>
        <v>14</v>
      </c>
      <c r="M34">
        <f t="shared" ca="1" si="3"/>
        <v>12</v>
      </c>
    </row>
    <row r="35" spans="1:13" x14ac:dyDescent="0.25">
      <c r="A35" s="5">
        <v>34</v>
      </c>
      <c r="B35">
        <f t="shared" ca="1" si="6"/>
        <v>0.73927030005449823</v>
      </c>
      <c r="C35">
        <f t="shared" ca="1" si="4"/>
        <v>36</v>
      </c>
      <c r="D35">
        <f t="shared" ca="1" si="5"/>
        <v>36</v>
      </c>
      <c r="K35">
        <f t="shared" ca="1" si="1"/>
        <v>0.78491438271673419</v>
      </c>
      <c r="L35">
        <f t="shared" ca="1" si="2"/>
        <v>38</v>
      </c>
      <c r="M35">
        <f t="shared" ca="1" si="3"/>
        <v>12</v>
      </c>
    </row>
    <row r="36" spans="1:13" x14ac:dyDescent="0.25">
      <c r="A36" s="5">
        <v>35</v>
      </c>
      <c r="B36">
        <f t="shared" ca="1" si="6"/>
        <v>0.57502786833343089</v>
      </c>
      <c r="C36">
        <f t="shared" ca="1" si="4"/>
        <v>28</v>
      </c>
      <c r="D36">
        <f t="shared" ca="1" si="5"/>
        <v>12</v>
      </c>
      <c r="K36">
        <f t="shared" ca="1" si="1"/>
        <v>0.76100307238619247</v>
      </c>
      <c r="L36">
        <f t="shared" ca="1" si="2"/>
        <v>37</v>
      </c>
      <c r="M36">
        <f t="shared" ca="1" si="3"/>
        <v>12</v>
      </c>
    </row>
    <row r="37" spans="1:13" x14ac:dyDescent="0.25">
      <c r="A37" s="5">
        <v>36</v>
      </c>
      <c r="B37">
        <f t="shared" ca="1" si="6"/>
        <v>0.13690256540033863</v>
      </c>
      <c r="C37">
        <f t="shared" ca="1" si="4"/>
        <v>7</v>
      </c>
      <c r="D37">
        <f t="shared" ca="1" si="5"/>
        <v>12</v>
      </c>
      <c r="K37">
        <f t="shared" ca="1" si="1"/>
        <v>0.67891980064751756</v>
      </c>
      <c r="L37">
        <f t="shared" ca="1" si="2"/>
        <v>33</v>
      </c>
      <c r="M37">
        <f t="shared" ca="1" si="3"/>
        <v>33</v>
      </c>
    </row>
    <row r="38" spans="1:13" x14ac:dyDescent="0.25">
      <c r="A38" s="5">
        <v>37</v>
      </c>
      <c r="B38">
        <f t="shared" ca="1" si="6"/>
        <v>0.21364269807820857</v>
      </c>
      <c r="C38">
        <f t="shared" ca="1" si="4"/>
        <v>11</v>
      </c>
      <c r="D38">
        <f t="shared" ca="1" si="5"/>
        <v>12</v>
      </c>
      <c r="K38">
        <f t="shared" ca="1" si="1"/>
        <v>0.75853933151718056</v>
      </c>
      <c r="L38">
        <f t="shared" ca="1" si="2"/>
        <v>37</v>
      </c>
      <c r="M38">
        <f t="shared" ca="1" si="3"/>
        <v>12</v>
      </c>
    </row>
    <row r="39" spans="1:13" x14ac:dyDescent="0.25">
      <c r="A39" s="5">
        <v>38</v>
      </c>
      <c r="B39">
        <f t="shared" ca="1" si="6"/>
        <v>0.79844971279548682</v>
      </c>
      <c r="C39">
        <f t="shared" ca="1" si="4"/>
        <v>39</v>
      </c>
      <c r="D39">
        <f t="shared" ca="1" si="5"/>
        <v>39</v>
      </c>
      <c r="K39">
        <f t="shared" ca="1" si="1"/>
        <v>0.7747424178697091</v>
      </c>
      <c r="L39">
        <f t="shared" ca="1" si="2"/>
        <v>38</v>
      </c>
      <c r="M39">
        <f t="shared" ca="1" si="3"/>
        <v>12</v>
      </c>
    </row>
    <row r="40" spans="1:13" x14ac:dyDescent="0.25">
      <c r="A40" s="5">
        <v>39</v>
      </c>
      <c r="B40">
        <f t="shared" ca="1" si="6"/>
        <v>0.44803866633711131</v>
      </c>
      <c r="C40">
        <f t="shared" ca="1" si="4"/>
        <v>22</v>
      </c>
      <c r="D40">
        <f t="shared" ca="1" si="5"/>
        <v>12</v>
      </c>
      <c r="K40">
        <f t="shared" ca="1" si="1"/>
        <v>0.22001555088432656</v>
      </c>
      <c r="L40">
        <f t="shared" ca="1" si="2"/>
        <v>11</v>
      </c>
      <c r="M40">
        <f t="shared" ca="1" si="3"/>
        <v>12</v>
      </c>
    </row>
    <row r="41" spans="1:13" x14ac:dyDescent="0.25">
      <c r="A41" s="5">
        <v>40</v>
      </c>
      <c r="B41">
        <f t="shared" ca="1" si="6"/>
        <v>0.51487377912856758</v>
      </c>
      <c r="C41">
        <f t="shared" ca="1" si="4"/>
        <v>25</v>
      </c>
      <c r="D41">
        <f t="shared" ca="1" si="5"/>
        <v>12</v>
      </c>
      <c r="K41">
        <f t="shared" ca="1" si="1"/>
        <v>6.3639856707814468E-2</v>
      </c>
      <c r="L41">
        <f t="shared" ca="1" si="2"/>
        <v>4</v>
      </c>
      <c r="M41">
        <f t="shared" ca="1" si="3"/>
        <v>12</v>
      </c>
    </row>
    <row r="42" spans="1:13" x14ac:dyDescent="0.25">
      <c r="A42" s="5">
        <v>41</v>
      </c>
      <c r="B42">
        <f t="shared" ca="1" si="6"/>
        <v>0.7057271199487446</v>
      </c>
      <c r="C42">
        <f t="shared" ca="1" si="4"/>
        <v>34</v>
      </c>
      <c r="D42">
        <f t="shared" ca="1" si="5"/>
        <v>12</v>
      </c>
      <c r="K42">
        <f t="shared" ca="1" si="1"/>
        <v>1.6054410524838136E-2</v>
      </c>
      <c r="L42">
        <f t="shared" ca="1" si="2"/>
        <v>1</v>
      </c>
      <c r="M42">
        <f t="shared" ca="1" si="3"/>
        <v>12</v>
      </c>
    </row>
    <row r="43" spans="1:13" x14ac:dyDescent="0.25">
      <c r="A43" s="5">
        <v>42</v>
      </c>
      <c r="B43">
        <f t="shared" ca="1" si="6"/>
        <v>0.55851125062675933</v>
      </c>
      <c r="C43">
        <f t="shared" ca="1" si="4"/>
        <v>27</v>
      </c>
      <c r="D43">
        <f t="shared" ca="1" si="5"/>
        <v>27</v>
      </c>
      <c r="K43">
        <f t="shared" ca="1" si="1"/>
        <v>2.0186238217151709E-2</v>
      </c>
      <c r="L43">
        <f t="shared" ca="1" si="2"/>
        <v>1</v>
      </c>
      <c r="M43">
        <f t="shared" ca="1" si="3"/>
        <v>12</v>
      </c>
    </row>
    <row r="44" spans="1:13" x14ac:dyDescent="0.25">
      <c r="A44" s="5">
        <v>43</v>
      </c>
      <c r="B44">
        <f t="shared" ca="1" si="6"/>
        <v>0.58512393873779578</v>
      </c>
      <c r="C44">
        <f t="shared" ca="1" si="4"/>
        <v>29</v>
      </c>
      <c r="D44">
        <f t="shared" ca="1" si="5"/>
        <v>12</v>
      </c>
      <c r="K44">
        <f t="shared" ca="1" si="1"/>
        <v>0.31012127201833473</v>
      </c>
      <c r="L44">
        <f t="shared" ca="1" si="2"/>
        <v>15</v>
      </c>
      <c r="M44">
        <f t="shared" ca="1" si="3"/>
        <v>15</v>
      </c>
    </row>
    <row r="45" spans="1:13" x14ac:dyDescent="0.25">
      <c r="A45" s="5">
        <v>44</v>
      </c>
      <c r="B45">
        <f t="shared" ca="1" si="6"/>
        <v>0.53780044634298296</v>
      </c>
      <c r="C45">
        <f t="shared" ca="1" si="4"/>
        <v>26</v>
      </c>
      <c r="D45">
        <f t="shared" ca="1" si="5"/>
        <v>12</v>
      </c>
      <c r="K45">
        <f t="shared" ca="1" si="1"/>
        <v>0.5578714043297297</v>
      </c>
      <c r="L45">
        <f t="shared" ca="1" si="2"/>
        <v>27</v>
      </c>
      <c r="M45">
        <f t="shared" ca="1" si="3"/>
        <v>27</v>
      </c>
    </row>
    <row r="46" spans="1:13" x14ac:dyDescent="0.25">
      <c r="A46" s="5">
        <v>45</v>
      </c>
      <c r="B46">
        <f t="shared" ca="1" si="6"/>
        <v>6.7545397300428855E-2</v>
      </c>
      <c r="C46">
        <f t="shared" ca="1" si="4"/>
        <v>4</v>
      </c>
      <c r="D46">
        <f t="shared" ca="1" si="5"/>
        <v>12</v>
      </c>
      <c r="K46">
        <f t="shared" ca="1" si="1"/>
        <v>9.6476737166072191E-2</v>
      </c>
      <c r="L46">
        <f t="shared" ca="1" si="2"/>
        <v>5</v>
      </c>
      <c r="M46">
        <f t="shared" ca="1" si="3"/>
        <v>12</v>
      </c>
    </row>
    <row r="47" spans="1:13" x14ac:dyDescent="0.25">
      <c r="A47" s="5">
        <v>46</v>
      </c>
      <c r="B47">
        <f t="shared" ca="1" si="6"/>
        <v>0.23623341051824343</v>
      </c>
      <c r="C47">
        <f t="shared" ca="1" si="4"/>
        <v>12</v>
      </c>
      <c r="D47">
        <f t="shared" ca="1" si="5"/>
        <v>12</v>
      </c>
      <c r="K47">
        <f t="shared" ca="1" si="1"/>
        <v>0.15824979349125445</v>
      </c>
      <c r="L47">
        <f t="shared" ca="1" si="2"/>
        <v>8</v>
      </c>
      <c r="M47">
        <f t="shared" ca="1" si="3"/>
        <v>12</v>
      </c>
    </row>
    <row r="48" spans="1:13" x14ac:dyDescent="0.25">
      <c r="A48" s="5">
        <v>47</v>
      </c>
      <c r="B48">
        <f t="shared" ca="1" si="6"/>
        <v>0.86252328165143144</v>
      </c>
      <c r="C48">
        <f t="shared" ca="1" si="4"/>
        <v>42</v>
      </c>
      <c r="D48">
        <f t="shared" ca="1" si="5"/>
        <v>42</v>
      </c>
      <c r="K48">
        <f t="shared" ca="1" si="1"/>
        <v>0.27156418810711092</v>
      </c>
      <c r="L48">
        <f t="shared" ca="1" si="2"/>
        <v>14</v>
      </c>
      <c r="M48">
        <f t="shared" ca="1" si="3"/>
        <v>12</v>
      </c>
    </row>
    <row r="49" spans="1:4" x14ac:dyDescent="0.25">
      <c r="A49" s="5">
        <v>48</v>
      </c>
      <c r="B49">
        <f t="shared" ca="1" si="6"/>
        <v>0.49279188658358763</v>
      </c>
      <c r="C49">
        <f t="shared" ca="1" si="4"/>
        <v>24</v>
      </c>
      <c r="D49">
        <f t="shared" ca="1" si="5"/>
        <v>24</v>
      </c>
    </row>
    <row r="50" spans="1:4" x14ac:dyDescent="0.25">
      <c r="A50" s="5">
        <v>49</v>
      </c>
      <c r="B50">
        <f t="shared" ca="1" si="6"/>
        <v>0.43790797031108342</v>
      </c>
      <c r="C50">
        <f t="shared" ca="1" si="4"/>
        <v>22</v>
      </c>
      <c r="D50">
        <f t="shared" ca="1" si="5"/>
        <v>12</v>
      </c>
    </row>
    <row r="51" spans="1:4" x14ac:dyDescent="0.25">
      <c r="A51" s="5">
        <v>50</v>
      </c>
      <c r="B51">
        <f t="shared" ca="1" si="6"/>
        <v>0.54340463943250561</v>
      </c>
      <c r="C51">
        <f t="shared" ca="1" si="4"/>
        <v>27</v>
      </c>
      <c r="D51">
        <f t="shared" ca="1" si="5"/>
        <v>27</v>
      </c>
    </row>
    <row r="52" spans="1:4" x14ac:dyDescent="0.25">
      <c r="A52" s="5">
        <v>51</v>
      </c>
      <c r="B52">
        <f t="shared" ca="1" si="6"/>
        <v>0.620774529327348</v>
      </c>
      <c r="C52">
        <f t="shared" ca="1" si="4"/>
        <v>30</v>
      </c>
      <c r="D52">
        <f t="shared" ca="1" si="5"/>
        <v>30</v>
      </c>
    </row>
    <row r="53" spans="1:4" x14ac:dyDescent="0.25">
      <c r="A53" s="5">
        <v>52</v>
      </c>
      <c r="B53">
        <f t="shared" ca="1" si="6"/>
        <v>0.39185203877630836</v>
      </c>
      <c r="C53">
        <f t="shared" ca="1" si="4"/>
        <v>19</v>
      </c>
      <c r="D53">
        <f t="shared" ca="1" si="5"/>
        <v>12</v>
      </c>
    </row>
    <row r="54" spans="1:4" x14ac:dyDescent="0.25">
      <c r="A54" s="5">
        <v>53</v>
      </c>
      <c r="B54">
        <f t="shared" ca="1" si="6"/>
        <v>9.7059794166503233E-2</v>
      </c>
      <c r="C54">
        <f t="shared" ca="1" si="4"/>
        <v>5</v>
      </c>
      <c r="D54">
        <f t="shared" ca="1" si="5"/>
        <v>12</v>
      </c>
    </row>
    <row r="55" spans="1:4" x14ac:dyDescent="0.25">
      <c r="A55" s="5">
        <v>54</v>
      </c>
      <c r="B55">
        <f t="shared" ca="1" si="6"/>
        <v>4.743316259655217E-2</v>
      </c>
      <c r="C55">
        <f t="shared" ca="1" si="4"/>
        <v>3</v>
      </c>
      <c r="D55">
        <f t="shared" ca="1" si="5"/>
        <v>3</v>
      </c>
    </row>
    <row r="56" spans="1:4" x14ac:dyDescent="0.25">
      <c r="A56" s="5">
        <v>55</v>
      </c>
      <c r="B56">
        <f t="shared" ca="1" si="6"/>
        <v>0.32101297147812624</v>
      </c>
      <c r="C56">
        <f t="shared" ca="1" si="4"/>
        <v>16</v>
      </c>
      <c r="D56">
        <f t="shared" ca="1" si="5"/>
        <v>12</v>
      </c>
    </row>
    <row r="57" spans="1:4" x14ac:dyDescent="0.25">
      <c r="A57" s="5">
        <v>56</v>
      </c>
      <c r="B57">
        <f t="shared" ca="1" si="6"/>
        <v>9.9869500120608579E-2</v>
      </c>
      <c r="C57">
        <f t="shared" ca="1" si="4"/>
        <v>5</v>
      </c>
      <c r="D57">
        <f t="shared" ca="1" si="5"/>
        <v>12</v>
      </c>
    </row>
    <row r="58" spans="1:4" x14ac:dyDescent="0.25">
      <c r="A58" s="5">
        <v>57</v>
      </c>
      <c r="B58">
        <f t="shared" ca="1" si="6"/>
        <v>0.25498260204171463</v>
      </c>
      <c r="C58">
        <f t="shared" ca="1" si="4"/>
        <v>13</v>
      </c>
      <c r="D58">
        <f t="shared" ca="1" si="5"/>
        <v>12</v>
      </c>
    </row>
    <row r="59" spans="1:4" x14ac:dyDescent="0.25">
      <c r="A59" s="5">
        <v>58</v>
      </c>
      <c r="B59">
        <f t="shared" ca="1" si="6"/>
        <v>0.30963063372583666</v>
      </c>
      <c r="C59">
        <f t="shared" ca="1" si="4"/>
        <v>15</v>
      </c>
      <c r="D59">
        <f t="shared" ca="1" si="5"/>
        <v>15</v>
      </c>
    </row>
    <row r="60" spans="1:4" x14ac:dyDescent="0.25">
      <c r="A60" s="5">
        <v>59</v>
      </c>
      <c r="B60">
        <f t="shared" ca="1" si="6"/>
        <v>0.26196177527121134</v>
      </c>
      <c r="C60">
        <f t="shared" ca="1" si="4"/>
        <v>13</v>
      </c>
      <c r="D60">
        <f t="shared" ca="1" si="5"/>
        <v>12</v>
      </c>
    </row>
    <row r="61" spans="1:4" x14ac:dyDescent="0.25">
      <c r="A61" s="5">
        <v>60</v>
      </c>
      <c r="B61">
        <f t="shared" ca="1" si="6"/>
        <v>0.84321743710069941</v>
      </c>
      <c r="C61">
        <f t="shared" ca="1" si="4"/>
        <v>41</v>
      </c>
      <c r="D61">
        <f t="shared" ca="1" si="5"/>
        <v>12</v>
      </c>
    </row>
    <row r="62" spans="1:4" x14ac:dyDescent="0.25">
      <c r="A62" s="5">
        <v>61</v>
      </c>
      <c r="B62">
        <f t="shared" ca="1" si="6"/>
        <v>0.30438085556526895</v>
      </c>
      <c r="C62">
        <f t="shared" ca="1" si="4"/>
        <v>15</v>
      </c>
      <c r="D62">
        <f t="shared" ca="1" si="5"/>
        <v>15</v>
      </c>
    </row>
    <row r="63" spans="1:4" x14ac:dyDescent="0.25">
      <c r="A63" s="5">
        <v>62</v>
      </c>
      <c r="B63">
        <f t="shared" ca="1" si="6"/>
        <v>6.8727995962118205E-2</v>
      </c>
      <c r="C63">
        <f t="shared" ca="1" si="4"/>
        <v>4</v>
      </c>
      <c r="D63">
        <f t="shared" ca="1" si="5"/>
        <v>12</v>
      </c>
    </row>
    <row r="64" spans="1:4" x14ac:dyDescent="0.25">
      <c r="A64" s="5">
        <v>63</v>
      </c>
      <c r="B64">
        <f t="shared" ca="1" si="6"/>
        <v>0.57265370772174484</v>
      </c>
      <c r="C64">
        <f t="shared" ca="1" si="4"/>
        <v>28</v>
      </c>
      <c r="D64">
        <f t="shared" ca="1" si="5"/>
        <v>12</v>
      </c>
    </row>
    <row r="65" spans="1:4" x14ac:dyDescent="0.25">
      <c r="A65" s="5">
        <v>64</v>
      </c>
      <c r="B65">
        <f t="shared" ca="1" si="6"/>
        <v>0.19249093770477299</v>
      </c>
      <c r="C65">
        <f t="shared" ca="1" si="4"/>
        <v>10</v>
      </c>
      <c r="D65">
        <f t="shared" ca="1" si="5"/>
        <v>12</v>
      </c>
    </row>
    <row r="66" spans="1:4" x14ac:dyDescent="0.25">
      <c r="A66" s="5">
        <v>65</v>
      </c>
      <c r="B66">
        <f t="shared" ca="1" si="6"/>
        <v>3.9444560649091298E-2</v>
      </c>
      <c r="C66">
        <f t="shared" ca="1" si="4"/>
        <v>2</v>
      </c>
      <c r="D66">
        <f t="shared" ca="1" si="5"/>
        <v>12</v>
      </c>
    </row>
    <row r="67" spans="1:4" x14ac:dyDescent="0.25">
      <c r="A67" s="5">
        <v>66</v>
      </c>
      <c r="B67">
        <f t="shared" ref="B67:B130" ca="1" si="7">RAND()</f>
        <v>2.8240294985478087E-2</v>
      </c>
      <c r="C67">
        <f t="shared" ref="C67:C130" ca="1" si="8">INT(B67*48)+1</f>
        <v>2</v>
      </c>
      <c r="D67">
        <f t="shared" ref="D67:D130" ca="1" si="9">IF(MOD(C67,3)=0,C67,12)</f>
        <v>12</v>
      </c>
    </row>
    <row r="68" spans="1:4" x14ac:dyDescent="0.25">
      <c r="A68" s="5">
        <v>67</v>
      </c>
      <c r="B68">
        <f t="shared" ca="1" si="7"/>
        <v>0.26086127672968806</v>
      </c>
      <c r="C68">
        <f t="shared" ca="1" si="8"/>
        <v>13</v>
      </c>
      <c r="D68">
        <f t="shared" ca="1" si="9"/>
        <v>12</v>
      </c>
    </row>
    <row r="69" spans="1:4" x14ac:dyDescent="0.25">
      <c r="A69" s="5">
        <v>68</v>
      </c>
      <c r="B69">
        <f t="shared" ca="1" si="7"/>
        <v>0.17407673757047948</v>
      </c>
      <c r="C69">
        <f t="shared" ca="1" si="8"/>
        <v>9</v>
      </c>
      <c r="D69">
        <f t="shared" ca="1" si="9"/>
        <v>9</v>
      </c>
    </row>
    <row r="70" spans="1:4" x14ac:dyDescent="0.25">
      <c r="A70" s="5">
        <v>69</v>
      </c>
      <c r="B70">
        <f t="shared" ca="1" si="7"/>
        <v>0.44128205582731606</v>
      </c>
      <c r="C70">
        <f t="shared" ca="1" si="8"/>
        <v>22</v>
      </c>
      <c r="D70">
        <f t="shared" ca="1" si="9"/>
        <v>12</v>
      </c>
    </row>
    <row r="71" spans="1:4" x14ac:dyDescent="0.25">
      <c r="A71" s="5">
        <v>70</v>
      </c>
      <c r="B71">
        <f t="shared" ca="1" si="7"/>
        <v>0.67658922452754677</v>
      </c>
      <c r="C71">
        <f t="shared" ca="1" si="8"/>
        <v>33</v>
      </c>
      <c r="D71">
        <f t="shared" ca="1" si="9"/>
        <v>33</v>
      </c>
    </row>
    <row r="72" spans="1:4" x14ac:dyDescent="0.25">
      <c r="A72" s="5">
        <v>71</v>
      </c>
      <c r="B72">
        <f t="shared" ca="1" si="7"/>
        <v>0.22594938018200184</v>
      </c>
      <c r="C72">
        <f t="shared" ca="1" si="8"/>
        <v>11</v>
      </c>
      <c r="D72">
        <f t="shared" ca="1" si="9"/>
        <v>12</v>
      </c>
    </row>
    <row r="73" spans="1:4" x14ac:dyDescent="0.25">
      <c r="A73" s="5">
        <v>72</v>
      </c>
      <c r="B73">
        <f t="shared" ca="1" si="7"/>
        <v>0.45264793950867577</v>
      </c>
      <c r="C73">
        <f t="shared" ca="1" si="8"/>
        <v>22</v>
      </c>
      <c r="D73">
        <f t="shared" ca="1" si="9"/>
        <v>12</v>
      </c>
    </row>
    <row r="74" spans="1:4" x14ac:dyDescent="0.25">
      <c r="A74" s="5">
        <v>73</v>
      </c>
      <c r="B74">
        <f t="shared" ca="1" si="7"/>
        <v>0.18286236595874594</v>
      </c>
      <c r="C74">
        <f t="shared" ca="1" si="8"/>
        <v>9</v>
      </c>
      <c r="D74">
        <f t="shared" ca="1" si="9"/>
        <v>9</v>
      </c>
    </row>
    <row r="75" spans="1:4" x14ac:dyDescent="0.25">
      <c r="A75" s="5">
        <v>74</v>
      </c>
      <c r="B75">
        <f t="shared" ca="1" si="7"/>
        <v>0.64921402244313819</v>
      </c>
      <c r="C75">
        <f t="shared" ca="1" si="8"/>
        <v>32</v>
      </c>
      <c r="D75">
        <f t="shared" ca="1" si="9"/>
        <v>12</v>
      </c>
    </row>
    <row r="76" spans="1:4" x14ac:dyDescent="0.25">
      <c r="A76" s="5">
        <v>75</v>
      </c>
      <c r="B76">
        <f t="shared" ca="1" si="7"/>
        <v>0.3555331557253183</v>
      </c>
      <c r="C76">
        <f t="shared" ca="1" si="8"/>
        <v>18</v>
      </c>
      <c r="D76">
        <f t="shared" ca="1" si="9"/>
        <v>18</v>
      </c>
    </row>
    <row r="77" spans="1:4" x14ac:dyDescent="0.25">
      <c r="A77" s="5">
        <v>76</v>
      </c>
      <c r="B77">
        <f t="shared" ca="1" si="7"/>
        <v>0.93157339781138271</v>
      </c>
      <c r="C77">
        <f t="shared" ca="1" si="8"/>
        <v>45</v>
      </c>
      <c r="D77">
        <f t="shared" ca="1" si="9"/>
        <v>45</v>
      </c>
    </row>
    <row r="78" spans="1:4" x14ac:dyDescent="0.25">
      <c r="A78" s="5">
        <v>77</v>
      </c>
      <c r="B78">
        <f t="shared" ca="1" si="7"/>
        <v>0.33766022730350098</v>
      </c>
      <c r="C78">
        <f t="shared" ca="1" si="8"/>
        <v>17</v>
      </c>
      <c r="D78">
        <f t="shared" ca="1" si="9"/>
        <v>12</v>
      </c>
    </row>
    <row r="79" spans="1:4" x14ac:dyDescent="0.25">
      <c r="A79" s="5">
        <v>78</v>
      </c>
      <c r="B79">
        <f t="shared" ca="1" si="7"/>
        <v>0.72918161337086584</v>
      </c>
      <c r="C79">
        <f t="shared" ca="1" si="8"/>
        <v>36</v>
      </c>
      <c r="D79">
        <f t="shared" ca="1" si="9"/>
        <v>36</v>
      </c>
    </row>
    <row r="80" spans="1:4" x14ac:dyDescent="0.25">
      <c r="A80" s="5">
        <v>79</v>
      </c>
      <c r="B80">
        <f t="shared" ca="1" si="7"/>
        <v>3.4636299672921367E-2</v>
      </c>
      <c r="C80">
        <f t="shared" ca="1" si="8"/>
        <v>2</v>
      </c>
      <c r="D80">
        <f t="shared" ca="1" si="9"/>
        <v>12</v>
      </c>
    </row>
    <row r="81" spans="1:4" x14ac:dyDescent="0.25">
      <c r="A81" s="5">
        <v>80</v>
      </c>
      <c r="B81">
        <f t="shared" ca="1" si="7"/>
        <v>6.2346878642632331E-2</v>
      </c>
      <c r="C81">
        <f t="shared" ca="1" si="8"/>
        <v>3</v>
      </c>
      <c r="D81">
        <f t="shared" ca="1" si="9"/>
        <v>3</v>
      </c>
    </row>
    <row r="82" spans="1:4" x14ac:dyDescent="0.25">
      <c r="A82" s="5">
        <v>81</v>
      </c>
      <c r="B82">
        <f t="shared" ca="1" si="7"/>
        <v>0.91023237999421458</v>
      </c>
      <c r="C82">
        <f t="shared" ca="1" si="8"/>
        <v>44</v>
      </c>
      <c r="D82">
        <f t="shared" ca="1" si="9"/>
        <v>12</v>
      </c>
    </row>
    <row r="83" spans="1:4" x14ac:dyDescent="0.25">
      <c r="A83" s="5">
        <v>82</v>
      </c>
      <c r="B83">
        <f t="shared" ca="1" si="7"/>
        <v>0.56955702225464544</v>
      </c>
      <c r="C83">
        <f t="shared" ca="1" si="8"/>
        <v>28</v>
      </c>
      <c r="D83">
        <f t="shared" ca="1" si="9"/>
        <v>12</v>
      </c>
    </row>
    <row r="84" spans="1:4" x14ac:dyDescent="0.25">
      <c r="A84" s="5">
        <v>83</v>
      </c>
      <c r="B84">
        <f t="shared" ca="1" si="7"/>
        <v>0.12608688373978083</v>
      </c>
      <c r="C84">
        <f t="shared" ca="1" si="8"/>
        <v>7</v>
      </c>
      <c r="D84">
        <f t="shared" ca="1" si="9"/>
        <v>12</v>
      </c>
    </row>
    <row r="85" spans="1:4" x14ac:dyDescent="0.25">
      <c r="A85" s="5">
        <v>84</v>
      </c>
      <c r="B85">
        <f t="shared" ca="1" si="7"/>
        <v>0.38155999010060415</v>
      </c>
      <c r="C85">
        <f t="shared" ca="1" si="8"/>
        <v>19</v>
      </c>
      <c r="D85">
        <f t="shared" ca="1" si="9"/>
        <v>12</v>
      </c>
    </row>
    <row r="86" spans="1:4" x14ac:dyDescent="0.25">
      <c r="A86" s="5">
        <v>85</v>
      </c>
      <c r="B86">
        <f t="shared" ca="1" si="7"/>
        <v>1.5955805839217074E-2</v>
      </c>
      <c r="C86">
        <f t="shared" ca="1" si="8"/>
        <v>1</v>
      </c>
      <c r="D86">
        <f t="shared" ca="1" si="9"/>
        <v>12</v>
      </c>
    </row>
    <row r="87" spans="1:4" x14ac:dyDescent="0.25">
      <c r="A87" s="5">
        <v>86</v>
      </c>
      <c r="B87">
        <f t="shared" ca="1" si="7"/>
        <v>0.32369934898776664</v>
      </c>
      <c r="C87">
        <f t="shared" ca="1" si="8"/>
        <v>16</v>
      </c>
      <c r="D87">
        <f t="shared" ca="1" si="9"/>
        <v>12</v>
      </c>
    </row>
    <row r="88" spans="1:4" x14ac:dyDescent="0.25">
      <c r="A88" s="5">
        <v>87</v>
      </c>
      <c r="B88">
        <f t="shared" ca="1" si="7"/>
        <v>0.92067188006734102</v>
      </c>
      <c r="C88">
        <f t="shared" ca="1" si="8"/>
        <v>45</v>
      </c>
      <c r="D88">
        <f t="shared" ca="1" si="9"/>
        <v>45</v>
      </c>
    </row>
    <row r="89" spans="1:4" x14ac:dyDescent="0.25">
      <c r="A89" s="5">
        <v>88</v>
      </c>
      <c r="B89">
        <f t="shared" ca="1" si="7"/>
        <v>0.26722314213851506</v>
      </c>
      <c r="C89">
        <f t="shared" ca="1" si="8"/>
        <v>13</v>
      </c>
      <c r="D89">
        <f t="shared" ca="1" si="9"/>
        <v>12</v>
      </c>
    </row>
    <row r="90" spans="1:4" x14ac:dyDescent="0.25">
      <c r="A90" s="5">
        <v>89</v>
      </c>
      <c r="B90">
        <f t="shared" ca="1" si="7"/>
        <v>0.40359926218433717</v>
      </c>
      <c r="C90">
        <f t="shared" ca="1" si="8"/>
        <v>20</v>
      </c>
      <c r="D90">
        <f t="shared" ca="1" si="9"/>
        <v>12</v>
      </c>
    </row>
    <row r="91" spans="1:4" x14ac:dyDescent="0.25">
      <c r="A91" s="5">
        <v>90</v>
      </c>
      <c r="B91">
        <f t="shared" ca="1" si="7"/>
        <v>0.76705498990080911</v>
      </c>
      <c r="C91">
        <f t="shared" ca="1" si="8"/>
        <v>37</v>
      </c>
      <c r="D91">
        <f t="shared" ca="1" si="9"/>
        <v>12</v>
      </c>
    </row>
    <row r="92" spans="1:4" x14ac:dyDescent="0.25">
      <c r="A92" s="5">
        <v>91</v>
      </c>
      <c r="B92">
        <f t="shared" ca="1" si="7"/>
        <v>0.81854994094414546</v>
      </c>
      <c r="C92">
        <f t="shared" ca="1" si="8"/>
        <v>40</v>
      </c>
      <c r="D92">
        <f t="shared" ca="1" si="9"/>
        <v>12</v>
      </c>
    </row>
    <row r="93" spans="1:4" x14ac:dyDescent="0.25">
      <c r="A93" s="5">
        <v>92</v>
      </c>
      <c r="B93">
        <f t="shared" ca="1" si="7"/>
        <v>0.40528079580411802</v>
      </c>
      <c r="C93">
        <f t="shared" ca="1" si="8"/>
        <v>20</v>
      </c>
      <c r="D93">
        <f t="shared" ca="1" si="9"/>
        <v>12</v>
      </c>
    </row>
    <row r="94" spans="1:4" x14ac:dyDescent="0.25">
      <c r="A94" s="5">
        <v>93</v>
      </c>
      <c r="B94">
        <f t="shared" ca="1" si="7"/>
        <v>1.8628584270101722E-2</v>
      </c>
      <c r="C94">
        <f t="shared" ca="1" si="8"/>
        <v>1</v>
      </c>
      <c r="D94">
        <f t="shared" ca="1" si="9"/>
        <v>12</v>
      </c>
    </row>
    <row r="95" spans="1:4" x14ac:dyDescent="0.25">
      <c r="A95" s="5">
        <v>94</v>
      </c>
      <c r="B95">
        <f t="shared" ca="1" si="7"/>
        <v>0.81132252839023733</v>
      </c>
      <c r="C95">
        <f t="shared" ca="1" si="8"/>
        <v>39</v>
      </c>
      <c r="D95">
        <f t="shared" ca="1" si="9"/>
        <v>39</v>
      </c>
    </row>
    <row r="96" spans="1:4" x14ac:dyDescent="0.25">
      <c r="A96" s="5">
        <v>95</v>
      </c>
      <c r="B96">
        <f t="shared" ca="1" si="7"/>
        <v>0.73953390931713969</v>
      </c>
      <c r="C96">
        <f t="shared" ca="1" si="8"/>
        <v>36</v>
      </c>
      <c r="D96">
        <f t="shared" ca="1" si="9"/>
        <v>36</v>
      </c>
    </row>
    <row r="97" spans="1:4" x14ac:dyDescent="0.25">
      <c r="A97" s="5">
        <v>96</v>
      </c>
      <c r="B97">
        <f t="shared" ca="1" si="7"/>
        <v>0.89365993189910808</v>
      </c>
      <c r="C97">
        <f t="shared" ca="1" si="8"/>
        <v>43</v>
      </c>
      <c r="D97">
        <f t="shared" ca="1" si="9"/>
        <v>12</v>
      </c>
    </row>
    <row r="98" spans="1:4" x14ac:dyDescent="0.25">
      <c r="A98" s="5">
        <v>97</v>
      </c>
      <c r="B98">
        <f t="shared" ca="1" si="7"/>
        <v>0.42160157288699429</v>
      </c>
      <c r="C98">
        <f t="shared" ca="1" si="8"/>
        <v>21</v>
      </c>
      <c r="D98">
        <f t="shared" ca="1" si="9"/>
        <v>21</v>
      </c>
    </row>
    <row r="99" spans="1:4" x14ac:dyDescent="0.25">
      <c r="A99" s="5">
        <v>98</v>
      </c>
      <c r="B99">
        <f t="shared" ca="1" si="7"/>
        <v>0.24043358786209101</v>
      </c>
      <c r="C99">
        <f t="shared" ca="1" si="8"/>
        <v>12</v>
      </c>
      <c r="D99">
        <f t="shared" ca="1" si="9"/>
        <v>12</v>
      </c>
    </row>
    <row r="100" spans="1:4" x14ac:dyDescent="0.25">
      <c r="A100" s="5">
        <v>99</v>
      </c>
      <c r="B100">
        <f t="shared" ca="1" si="7"/>
        <v>0.68218900057411758</v>
      </c>
      <c r="C100">
        <f t="shared" ca="1" si="8"/>
        <v>33</v>
      </c>
      <c r="D100">
        <f t="shared" ca="1" si="9"/>
        <v>33</v>
      </c>
    </row>
    <row r="101" spans="1:4" x14ac:dyDescent="0.25">
      <c r="A101" s="5">
        <v>100</v>
      </c>
      <c r="B101">
        <f t="shared" ca="1" si="7"/>
        <v>1.3174643461747348E-2</v>
      </c>
      <c r="C101">
        <f t="shared" ca="1" si="8"/>
        <v>1</v>
      </c>
      <c r="D101">
        <f t="shared" ca="1" si="9"/>
        <v>12</v>
      </c>
    </row>
    <row r="102" spans="1:4" x14ac:dyDescent="0.25">
      <c r="A102" s="5">
        <v>101</v>
      </c>
      <c r="B102">
        <f t="shared" ca="1" si="7"/>
        <v>0.56605977100491833</v>
      </c>
      <c r="C102">
        <f t="shared" ca="1" si="8"/>
        <v>28</v>
      </c>
      <c r="D102">
        <f t="shared" ca="1" si="9"/>
        <v>12</v>
      </c>
    </row>
    <row r="103" spans="1:4" x14ac:dyDescent="0.25">
      <c r="A103" s="5">
        <v>102</v>
      </c>
      <c r="B103">
        <f t="shared" ca="1" si="7"/>
        <v>0.76496808391003968</v>
      </c>
      <c r="C103">
        <f t="shared" ca="1" si="8"/>
        <v>37</v>
      </c>
      <c r="D103">
        <f t="shared" ca="1" si="9"/>
        <v>12</v>
      </c>
    </row>
    <row r="104" spans="1:4" x14ac:dyDescent="0.25">
      <c r="A104" s="5">
        <v>103</v>
      </c>
      <c r="B104">
        <f t="shared" ca="1" si="7"/>
        <v>0.19846019326376296</v>
      </c>
      <c r="C104">
        <f t="shared" ca="1" si="8"/>
        <v>10</v>
      </c>
      <c r="D104">
        <f t="shared" ca="1" si="9"/>
        <v>12</v>
      </c>
    </row>
    <row r="105" spans="1:4" x14ac:dyDescent="0.25">
      <c r="A105" s="5">
        <v>104</v>
      </c>
      <c r="B105">
        <f t="shared" ca="1" si="7"/>
        <v>0.83327884017544429</v>
      </c>
      <c r="C105">
        <f t="shared" ca="1" si="8"/>
        <v>40</v>
      </c>
      <c r="D105">
        <f t="shared" ca="1" si="9"/>
        <v>12</v>
      </c>
    </row>
    <row r="106" spans="1:4" x14ac:dyDescent="0.25">
      <c r="A106" s="5">
        <v>105</v>
      </c>
      <c r="B106">
        <f t="shared" ca="1" si="7"/>
        <v>0.76658111314538224</v>
      </c>
      <c r="C106">
        <f t="shared" ca="1" si="8"/>
        <v>37</v>
      </c>
      <c r="D106">
        <f t="shared" ca="1" si="9"/>
        <v>12</v>
      </c>
    </row>
    <row r="107" spans="1:4" x14ac:dyDescent="0.25">
      <c r="A107" s="5">
        <v>106</v>
      </c>
      <c r="B107">
        <f t="shared" ca="1" si="7"/>
        <v>0.54394244034344474</v>
      </c>
      <c r="C107">
        <f t="shared" ca="1" si="8"/>
        <v>27</v>
      </c>
      <c r="D107">
        <f t="shared" ca="1" si="9"/>
        <v>27</v>
      </c>
    </row>
    <row r="108" spans="1:4" x14ac:dyDescent="0.25">
      <c r="A108" s="5">
        <v>107</v>
      </c>
      <c r="B108">
        <f t="shared" ca="1" si="7"/>
        <v>0.11388341420756687</v>
      </c>
      <c r="C108">
        <f t="shared" ca="1" si="8"/>
        <v>6</v>
      </c>
      <c r="D108">
        <f t="shared" ca="1" si="9"/>
        <v>6</v>
      </c>
    </row>
    <row r="109" spans="1:4" x14ac:dyDescent="0.25">
      <c r="A109" s="5">
        <v>108</v>
      </c>
      <c r="B109">
        <f t="shared" ca="1" si="7"/>
        <v>0.61643728489978433</v>
      </c>
      <c r="C109">
        <f t="shared" ca="1" si="8"/>
        <v>30</v>
      </c>
      <c r="D109">
        <f t="shared" ca="1" si="9"/>
        <v>30</v>
      </c>
    </row>
    <row r="110" spans="1:4" x14ac:dyDescent="0.25">
      <c r="A110" s="5">
        <v>109</v>
      </c>
      <c r="B110">
        <f t="shared" ca="1" si="7"/>
        <v>0.26599151139362076</v>
      </c>
      <c r="C110">
        <f t="shared" ca="1" si="8"/>
        <v>13</v>
      </c>
      <c r="D110">
        <f t="shared" ca="1" si="9"/>
        <v>12</v>
      </c>
    </row>
    <row r="111" spans="1:4" x14ac:dyDescent="0.25">
      <c r="A111" s="5">
        <v>110</v>
      </c>
      <c r="B111">
        <f t="shared" ca="1" si="7"/>
        <v>0.77345776488175499</v>
      </c>
      <c r="C111">
        <f t="shared" ca="1" si="8"/>
        <v>38</v>
      </c>
      <c r="D111">
        <f t="shared" ca="1" si="9"/>
        <v>12</v>
      </c>
    </row>
    <row r="112" spans="1:4" x14ac:dyDescent="0.25">
      <c r="A112" s="5">
        <v>111</v>
      </c>
      <c r="B112">
        <f t="shared" ca="1" si="7"/>
        <v>0.48504148744438158</v>
      </c>
      <c r="C112">
        <f t="shared" ca="1" si="8"/>
        <v>24</v>
      </c>
      <c r="D112">
        <f t="shared" ca="1" si="9"/>
        <v>24</v>
      </c>
    </row>
    <row r="113" spans="1:4" x14ac:dyDescent="0.25">
      <c r="A113" s="5">
        <v>112</v>
      </c>
      <c r="B113">
        <f t="shared" ca="1" si="7"/>
        <v>0.69630465635211869</v>
      </c>
      <c r="C113">
        <f t="shared" ca="1" si="8"/>
        <v>34</v>
      </c>
      <c r="D113">
        <f t="shared" ca="1" si="9"/>
        <v>12</v>
      </c>
    </row>
    <row r="114" spans="1:4" x14ac:dyDescent="0.25">
      <c r="A114" s="5">
        <v>113</v>
      </c>
      <c r="B114">
        <f t="shared" ca="1" si="7"/>
        <v>0.41762543311194489</v>
      </c>
      <c r="C114">
        <f t="shared" ca="1" si="8"/>
        <v>21</v>
      </c>
      <c r="D114">
        <f t="shared" ca="1" si="9"/>
        <v>21</v>
      </c>
    </row>
    <row r="115" spans="1:4" x14ac:dyDescent="0.25">
      <c r="A115" s="5">
        <v>114</v>
      </c>
      <c r="B115">
        <f t="shared" ca="1" si="7"/>
        <v>0.7710895931445142</v>
      </c>
      <c r="C115">
        <f t="shared" ca="1" si="8"/>
        <v>38</v>
      </c>
      <c r="D115">
        <f t="shared" ca="1" si="9"/>
        <v>12</v>
      </c>
    </row>
    <row r="116" spans="1:4" x14ac:dyDescent="0.25">
      <c r="A116" s="5">
        <v>115</v>
      </c>
      <c r="B116">
        <f t="shared" ca="1" si="7"/>
        <v>0.18324161921688165</v>
      </c>
      <c r="C116">
        <f t="shared" ca="1" si="8"/>
        <v>9</v>
      </c>
      <c r="D116">
        <f t="shared" ca="1" si="9"/>
        <v>9</v>
      </c>
    </row>
    <row r="117" spans="1:4" x14ac:dyDescent="0.25">
      <c r="A117" s="5">
        <v>116</v>
      </c>
      <c r="B117">
        <f t="shared" ca="1" si="7"/>
        <v>0.15104255369144093</v>
      </c>
      <c r="C117">
        <f t="shared" ca="1" si="8"/>
        <v>8</v>
      </c>
      <c r="D117">
        <f t="shared" ca="1" si="9"/>
        <v>12</v>
      </c>
    </row>
    <row r="118" spans="1:4" x14ac:dyDescent="0.25">
      <c r="A118" s="5">
        <v>117</v>
      </c>
      <c r="B118">
        <f t="shared" ca="1" si="7"/>
        <v>0.86127418886419616</v>
      </c>
      <c r="C118">
        <f t="shared" ca="1" si="8"/>
        <v>42</v>
      </c>
      <c r="D118">
        <f t="shared" ca="1" si="9"/>
        <v>42</v>
      </c>
    </row>
    <row r="119" spans="1:4" x14ac:dyDescent="0.25">
      <c r="A119" s="5">
        <v>118</v>
      </c>
      <c r="B119">
        <f t="shared" ca="1" si="7"/>
        <v>0.42158504184419843</v>
      </c>
      <c r="C119">
        <f t="shared" ca="1" si="8"/>
        <v>21</v>
      </c>
      <c r="D119">
        <f t="shared" ca="1" si="9"/>
        <v>21</v>
      </c>
    </row>
    <row r="120" spans="1:4" x14ac:dyDescent="0.25">
      <c r="A120" s="5">
        <v>119</v>
      </c>
      <c r="B120">
        <f t="shared" ca="1" si="7"/>
        <v>0.60614737154948639</v>
      </c>
      <c r="C120">
        <f t="shared" ca="1" si="8"/>
        <v>30</v>
      </c>
      <c r="D120">
        <f t="shared" ca="1" si="9"/>
        <v>30</v>
      </c>
    </row>
    <row r="121" spans="1:4" x14ac:dyDescent="0.25">
      <c r="A121" s="5">
        <v>120</v>
      </c>
      <c r="B121">
        <f t="shared" ca="1" si="7"/>
        <v>0.92186389017316483</v>
      </c>
      <c r="C121">
        <f t="shared" ca="1" si="8"/>
        <v>45</v>
      </c>
      <c r="D121">
        <f t="shared" ca="1" si="9"/>
        <v>45</v>
      </c>
    </row>
    <row r="122" spans="1:4" x14ac:dyDescent="0.25">
      <c r="A122" s="5">
        <v>121</v>
      </c>
      <c r="B122">
        <f t="shared" ca="1" si="7"/>
        <v>6.9646022866160839E-2</v>
      </c>
      <c r="C122">
        <f t="shared" ca="1" si="8"/>
        <v>4</v>
      </c>
      <c r="D122">
        <f t="shared" ca="1" si="9"/>
        <v>12</v>
      </c>
    </row>
    <row r="123" spans="1:4" x14ac:dyDescent="0.25">
      <c r="A123" s="5">
        <v>122</v>
      </c>
      <c r="B123">
        <f t="shared" ca="1" si="7"/>
        <v>0.63915760622615658</v>
      </c>
      <c r="C123">
        <f t="shared" ca="1" si="8"/>
        <v>31</v>
      </c>
      <c r="D123">
        <f t="shared" ca="1" si="9"/>
        <v>12</v>
      </c>
    </row>
    <row r="124" spans="1:4" x14ac:dyDescent="0.25">
      <c r="A124" s="5">
        <v>123</v>
      </c>
      <c r="B124">
        <f t="shared" ca="1" si="7"/>
        <v>0.58549293340674557</v>
      </c>
      <c r="C124">
        <f t="shared" ca="1" si="8"/>
        <v>29</v>
      </c>
      <c r="D124">
        <f t="shared" ca="1" si="9"/>
        <v>12</v>
      </c>
    </row>
    <row r="125" spans="1:4" x14ac:dyDescent="0.25">
      <c r="A125" s="5">
        <v>124</v>
      </c>
      <c r="B125">
        <f t="shared" ca="1" si="7"/>
        <v>0.20098374504471983</v>
      </c>
      <c r="C125">
        <f t="shared" ca="1" si="8"/>
        <v>10</v>
      </c>
      <c r="D125">
        <f t="shared" ca="1" si="9"/>
        <v>12</v>
      </c>
    </row>
    <row r="126" spans="1:4" x14ac:dyDescent="0.25">
      <c r="A126" s="5">
        <v>125</v>
      </c>
      <c r="B126">
        <f t="shared" ca="1" si="7"/>
        <v>0.42188445595809343</v>
      </c>
      <c r="C126">
        <f t="shared" ca="1" si="8"/>
        <v>21</v>
      </c>
      <c r="D126">
        <f t="shared" ca="1" si="9"/>
        <v>21</v>
      </c>
    </row>
    <row r="127" spans="1:4" x14ac:dyDescent="0.25">
      <c r="A127" s="5">
        <v>126</v>
      </c>
      <c r="B127">
        <f t="shared" ca="1" si="7"/>
        <v>0.42341751717447318</v>
      </c>
      <c r="C127">
        <f t="shared" ca="1" si="8"/>
        <v>21</v>
      </c>
      <c r="D127">
        <f t="shared" ca="1" si="9"/>
        <v>21</v>
      </c>
    </row>
    <row r="128" spans="1:4" x14ac:dyDescent="0.25">
      <c r="A128" s="5">
        <v>127</v>
      </c>
      <c r="B128">
        <f t="shared" ca="1" si="7"/>
        <v>0.17370047357553042</v>
      </c>
      <c r="C128">
        <f t="shared" ca="1" si="8"/>
        <v>9</v>
      </c>
      <c r="D128">
        <f t="shared" ca="1" si="9"/>
        <v>9</v>
      </c>
    </row>
    <row r="129" spans="1:4" x14ac:dyDescent="0.25">
      <c r="A129" s="5">
        <v>128</v>
      </c>
      <c r="B129">
        <f t="shared" ca="1" si="7"/>
        <v>0.33332894660144574</v>
      </c>
      <c r="C129">
        <f t="shared" ca="1" si="8"/>
        <v>16</v>
      </c>
      <c r="D129">
        <f t="shared" ca="1" si="9"/>
        <v>12</v>
      </c>
    </row>
    <row r="130" spans="1:4" x14ac:dyDescent="0.25">
      <c r="A130" s="5">
        <v>129</v>
      </c>
      <c r="B130">
        <f t="shared" ca="1" si="7"/>
        <v>0.63435870142922612</v>
      </c>
      <c r="C130">
        <f t="shared" ca="1" si="8"/>
        <v>31</v>
      </c>
      <c r="D130">
        <f t="shared" ca="1" si="9"/>
        <v>12</v>
      </c>
    </row>
    <row r="131" spans="1:4" x14ac:dyDescent="0.25">
      <c r="A131" s="5">
        <v>130</v>
      </c>
      <c r="B131">
        <f t="shared" ref="B131:B194" ca="1" si="10">RAND()</f>
        <v>0.5388141764288884</v>
      </c>
      <c r="C131">
        <f t="shared" ref="C131:C194" ca="1" si="11">INT(B131*48)+1</f>
        <v>26</v>
      </c>
      <c r="D131">
        <f t="shared" ref="D131:D194" ca="1" si="12">IF(MOD(C131,3)=0,C131,12)</f>
        <v>12</v>
      </c>
    </row>
    <row r="132" spans="1:4" x14ac:dyDescent="0.25">
      <c r="A132" s="5">
        <v>131</v>
      </c>
      <c r="B132">
        <f t="shared" ca="1" si="10"/>
        <v>0.57317431435884569</v>
      </c>
      <c r="C132">
        <f t="shared" ca="1" si="11"/>
        <v>28</v>
      </c>
      <c r="D132">
        <f t="shared" ca="1" si="12"/>
        <v>12</v>
      </c>
    </row>
    <row r="133" spans="1:4" x14ac:dyDescent="0.25">
      <c r="A133" s="5">
        <v>132</v>
      </c>
      <c r="B133">
        <f t="shared" ca="1" si="10"/>
        <v>6.3176364407508623E-2</v>
      </c>
      <c r="C133">
        <f t="shared" ca="1" si="11"/>
        <v>4</v>
      </c>
      <c r="D133">
        <f t="shared" ca="1" si="12"/>
        <v>12</v>
      </c>
    </row>
    <row r="134" spans="1:4" x14ac:dyDescent="0.25">
      <c r="A134" s="5">
        <v>133</v>
      </c>
      <c r="B134">
        <f t="shared" ca="1" si="10"/>
        <v>0.23359605195776323</v>
      </c>
      <c r="C134">
        <f t="shared" ca="1" si="11"/>
        <v>12</v>
      </c>
      <c r="D134">
        <f t="shared" ca="1" si="12"/>
        <v>12</v>
      </c>
    </row>
    <row r="135" spans="1:4" x14ac:dyDescent="0.25">
      <c r="A135" s="5">
        <v>134</v>
      </c>
      <c r="B135">
        <f t="shared" ca="1" si="10"/>
        <v>0.5524621284585175</v>
      </c>
      <c r="C135">
        <f t="shared" ca="1" si="11"/>
        <v>27</v>
      </c>
      <c r="D135">
        <f t="shared" ca="1" si="12"/>
        <v>27</v>
      </c>
    </row>
    <row r="136" spans="1:4" x14ac:dyDescent="0.25">
      <c r="A136" s="5">
        <v>135</v>
      </c>
      <c r="B136">
        <f t="shared" ca="1" si="10"/>
        <v>0.67319420701477117</v>
      </c>
      <c r="C136">
        <f t="shared" ca="1" si="11"/>
        <v>33</v>
      </c>
      <c r="D136">
        <f t="shared" ca="1" si="12"/>
        <v>33</v>
      </c>
    </row>
    <row r="137" spans="1:4" x14ac:dyDescent="0.25">
      <c r="A137" s="5">
        <v>136</v>
      </c>
      <c r="B137">
        <f t="shared" ca="1" si="10"/>
        <v>0.82091970325443187</v>
      </c>
      <c r="C137">
        <f t="shared" ca="1" si="11"/>
        <v>40</v>
      </c>
      <c r="D137">
        <f t="shared" ca="1" si="12"/>
        <v>12</v>
      </c>
    </row>
    <row r="138" spans="1:4" x14ac:dyDescent="0.25">
      <c r="A138" s="5">
        <v>137</v>
      </c>
      <c r="B138">
        <f t="shared" ca="1" si="10"/>
        <v>0.39297224180018564</v>
      </c>
      <c r="C138">
        <f t="shared" ca="1" si="11"/>
        <v>19</v>
      </c>
      <c r="D138">
        <f t="shared" ca="1" si="12"/>
        <v>12</v>
      </c>
    </row>
    <row r="139" spans="1:4" x14ac:dyDescent="0.25">
      <c r="A139" s="5">
        <v>138</v>
      </c>
      <c r="B139">
        <f t="shared" ca="1" si="10"/>
        <v>0.98767858160292887</v>
      </c>
      <c r="C139">
        <f t="shared" ca="1" si="11"/>
        <v>48</v>
      </c>
      <c r="D139">
        <f t="shared" ca="1" si="12"/>
        <v>48</v>
      </c>
    </row>
    <row r="140" spans="1:4" x14ac:dyDescent="0.25">
      <c r="A140" s="5">
        <v>139</v>
      </c>
      <c r="B140">
        <f t="shared" ca="1" si="10"/>
        <v>0.89568577435398467</v>
      </c>
      <c r="C140">
        <f t="shared" ca="1" si="11"/>
        <v>43</v>
      </c>
      <c r="D140">
        <f t="shared" ca="1" si="12"/>
        <v>12</v>
      </c>
    </row>
    <row r="141" spans="1:4" x14ac:dyDescent="0.25">
      <c r="A141" s="5">
        <v>140</v>
      </c>
      <c r="B141">
        <f t="shared" ca="1" si="10"/>
        <v>0.77803790989443644</v>
      </c>
      <c r="C141">
        <f t="shared" ca="1" si="11"/>
        <v>38</v>
      </c>
      <c r="D141">
        <f t="shared" ca="1" si="12"/>
        <v>12</v>
      </c>
    </row>
    <row r="142" spans="1:4" x14ac:dyDescent="0.25">
      <c r="A142" s="5">
        <v>141</v>
      </c>
      <c r="B142">
        <f t="shared" ca="1" si="10"/>
        <v>2.2727834271200953E-2</v>
      </c>
      <c r="C142">
        <f t="shared" ca="1" si="11"/>
        <v>2</v>
      </c>
      <c r="D142">
        <f t="shared" ca="1" si="12"/>
        <v>12</v>
      </c>
    </row>
    <row r="143" spans="1:4" x14ac:dyDescent="0.25">
      <c r="A143" s="5">
        <v>142</v>
      </c>
      <c r="B143">
        <f t="shared" ca="1" si="10"/>
        <v>0.83708242978607006</v>
      </c>
      <c r="C143">
        <f t="shared" ca="1" si="11"/>
        <v>41</v>
      </c>
      <c r="D143">
        <f t="shared" ca="1" si="12"/>
        <v>12</v>
      </c>
    </row>
    <row r="144" spans="1:4" x14ac:dyDescent="0.25">
      <c r="A144" s="5">
        <v>143</v>
      </c>
      <c r="B144">
        <f t="shared" ca="1" si="10"/>
        <v>0.45839755201663512</v>
      </c>
      <c r="C144">
        <f t="shared" ca="1" si="11"/>
        <v>23</v>
      </c>
      <c r="D144">
        <f t="shared" ca="1" si="12"/>
        <v>12</v>
      </c>
    </row>
    <row r="145" spans="1:4" x14ac:dyDescent="0.25">
      <c r="A145" s="5">
        <v>144</v>
      </c>
      <c r="B145">
        <f t="shared" ca="1" si="10"/>
        <v>0.42520195110253545</v>
      </c>
      <c r="C145">
        <f t="shared" ca="1" si="11"/>
        <v>21</v>
      </c>
      <c r="D145">
        <f t="shared" ca="1" si="12"/>
        <v>21</v>
      </c>
    </row>
    <row r="146" spans="1:4" x14ac:dyDescent="0.25">
      <c r="A146" s="5">
        <v>145</v>
      </c>
      <c r="B146">
        <f t="shared" ca="1" si="10"/>
        <v>0.87770309310373407</v>
      </c>
      <c r="C146">
        <f t="shared" ca="1" si="11"/>
        <v>43</v>
      </c>
      <c r="D146">
        <f t="shared" ca="1" si="12"/>
        <v>12</v>
      </c>
    </row>
    <row r="147" spans="1:4" x14ac:dyDescent="0.25">
      <c r="A147" s="5">
        <v>146</v>
      </c>
      <c r="B147">
        <f t="shared" ca="1" si="10"/>
        <v>0.77368718394601688</v>
      </c>
      <c r="C147">
        <f t="shared" ca="1" si="11"/>
        <v>38</v>
      </c>
      <c r="D147">
        <f t="shared" ca="1" si="12"/>
        <v>12</v>
      </c>
    </row>
    <row r="148" spans="1:4" x14ac:dyDescent="0.25">
      <c r="A148" s="5">
        <v>147</v>
      </c>
      <c r="B148">
        <f t="shared" ca="1" si="10"/>
        <v>0.17001980893790258</v>
      </c>
      <c r="C148">
        <f t="shared" ca="1" si="11"/>
        <v>9</v>
      </c>
      <c r="D148">
        <f t="shared" ca="1" si="12"/>
        <v>9</v>
      </c>
    </row>
    <row r="149" spans="1:4" x14ac:dyDescent="0.25">
      <c r="A149" s="5">
        <v>148</v>
      </c>
      <c r="B149">
        <f t="shared" ca="1" si="10"/>
        <v>8.4939499405604302E-2</v>
      </c>
      <c r="C149">
        <f t="shared" ca="1" si="11"/>
        <v>5</v>
      </c>
      <c r="D149">
        <f t="shared" ca="1" si="12"/>
        <v>12</v>
      </c>
    </row>
    <row r="150" spans="1:4" x14ac:dyDescent="0.25">
      <c r="A150" s="5">
        <v>149</v>
      </c>
      <c r="B150">
        <f t="shared" ca="1" si="10"/>
        <v>0.38608871745126361</v>
      </c>
      <c r="C150">
        <f t="shared" ca="1" si="11"/>
        <v>19</v>
      </c>
      <c r="D150">
        <f t="shared" ca="1" si="12"/>
        <v>12</v>
      </c>
    </row>
    <row r="151" spans="1:4" x14ac:dyDescent="0.25">
      <c r="A151" s="5">
        <v>150</v>
      </c>
      <c r="B151">
        <f t="shared" ca="1" si="10"/>
        <v>0.44471401316163917</v>
      </c>
      <c r="C151">
        <f t="shared" ca="1" si="11"/>
        <v>22</v>
      </c>
      <c r="D151">
        <f t="shared" ca="1" si="12"/>
        <v>12</v>
      </c>
    </row>
    <row r="152" spans="1:4" x14ac:dyDescent="0.25">
      <c r="A152" s="5">
        <v>151</v>
      </c>
      <c r="B152">
        <f t="shared" ca="1" si="10"/>
        <v>0.58277961120186161</v>
      </c>
      <c r="C152">
        <f t="shared" ca="1" si="11"/>
        <v>28</v>
      </c>
      <c r="D152">
        <f t="shared" ca="1" si="12"/>
        <v>12</v>
      </c>
    </row>
    <row r="153" spans="1:4" x14ac:dyDescent="0.25">
      <c r="A153" s="5">
        <v>152</v>
      </c>
      <c r="B153">
        <f t="shared" ca="1" si="10"/>
        <v>0.80059825781359073</v>
      </c>
      <c r="C153">
        <f t="shared" ca="1" si="11"/>
        <v>39</v>
      </c>
      <c r="D153">
        <f t="shared" ca="1" si="12"/>
        <v>39</v>
      </c>
    </row>
    <row r="154" spans="1:4" x14ac:dyDescent="0.25">
      <c r="A154" s="5">
        <v>153</v>
      </c>
      <c r="B154">
        <f t="shared" ca="1" si="10"/>
        <v>0.92194427256295075</v>
      </c>
      <c r="C154">
        <f t="shared" ca="1" si="11"/>
        <v>45</v>
      </c>
      <c r="D154">
        <f t="shared" ca="1" si="12"/>
        <v>45</v>
      </c>
    </row>
    <row r="155" spans="1:4" x14ac:dyDescent="0.25">
      <c r="A155" s="5">
        <v>154</v>
      </c>
      <c r="B155">
        <f t="shared" ca="1" si="10"/>
        <v>0.53795596445732285</v>
      </c>
      <c r="C155">
        <f t="shared" ca="1" si="11"/>
        <v>26</v>
      </c>
      <c r="D155">
        <f t="shared" ca="1" si="12"/>
        <v>12</v>
      </c>
    </row>
    <row r="156" spans="1:4" x14ac:dyDescent="0.25">
      <c r="A156" s="5">
        <v>155</v>
      </c>
      <c r="B156">
        <f t="shared" ca="1" si="10"/>
        <v>0.28545609508144232</v>
      </c>
      <c r="C156">
        <f t="shared" ca="1" si="11"/>
        <v>14</v>
      </c>
      <c r="D156">
        <f t="shared" ca="1" si="12"/>
        <v>12</v>
      </c>
    </row>
    <row r="157" spans="1:4" x14ac:dyDescent="0.25">
      <c r="A157" s="5">
        <v>156</v>
      </c>
      <c r="B157">
        <f t="shared" ca="1" si="10"/>
        <v>0.93871252314810238</v>
      </c>
      <c r="C157">
        <f t="shared" ca="1" si="11"/>
        <v>46</v>
      </c>
      <c r="D157">
        <f t="shared" ca="1" si="12"/>
        <v>12</v>
      </c>
    </row>
    <row r="158" spans="1:4" x14ac:dyDescent="0.25">
      <c r="A158" s="5">
        <v>157</v>
      </c>
      <c r="B158">
        <f t="shared" ca="1" si="10"/>
        <v>0.42805929568479884</v>
      </c>
      <c r="C158">
        <f t="shared" ca="1" si="11"/>
        <v>21</v>
      </c>
      <c r="D158">
        <f t="shared" ca="1" si="12"/>
        <v>21</v>
      </c>
    </row>
    <row r="159" spans="1:4" x14ac:dyDescent="0.25">
      <c r="A159" s="5">
        <v>158</v>
      </c>
      <c r="B159">
        <f t="shared" ca="1" si="10"/>
        <v>0.69501474146197761</v>
      </c>
      <c r="C159">
        <f t="shared" ca="1" si="11"/>
        <v>34</v>
      </c>
      <c r="D159">
        <f t="shared" ca="1" si="12"/>
        <v>12</v>
      </c>
    </row>
    <row r="160" spans="1:4" x14ac:dyDescent="0.25">
      <c r="A160" s="5">
        <v>159</v>
      </c>
      <c r="B160">
        <f t="shared" ca="1" si="10"/>
        <v>9.3420767123055803E-3</v>
      </c>
      <c r="C160">
        <f t="shared" ca="1" si="11"/>
        <v>1</v>
      </c>
      <c r="D160">
        <f t="shared" ca="1" si="12"/>
        <v>12</v>
      </c>
    </row>
    <row r="161" spans="1:4" x14ac:dyDescent="0.25">
      <c r="A161" s="5">
        <v>160</v>
      </c>
      <c r="B161">
        <f t="shared" ca="1" si="10"/>
        <v>0.40942376071358022</v>
      </c>
      <c r="C161">
        <f t="shared" ca="1" si="11"/>
        <v>20</v>
      </c>
      <c r="D161">
        <f t="shared" ca="1" si="12"/>
        <v>12</v>
      </c>
    </row>
    <row r="162" spans="1:4" x14ac:dyDescent="0.25">
      <c r="A162" s="5">
        <v>161</v>
      </c>
      <c r="B162">
        <f t="shared" ca="1" si="10"/>
        <v>0.40764388762998216</v>
      </c>
      <c r="C162">
        <f t="shared" ca="1" si="11"/>
        <v>20</v>
      </c>
      <c r="D162">
        <f t="shared" ca="1" si="12"/>
        <v>12</v>
      </c>
    </row>
    <row r="163" spans="1:4" x14ac:dyDescent="0.25">
      <c r="A163" s="5">
        <v>162</v>
      </c>
      <c r="B163">
        <f t="shared" ca="1" si="10"/>
        <v>2.732594306109859E-2</v>
      </c>
      <c r="C163">
        <f t="shared" ca="1" si="11"/>
        <v>2</v>
      </c>
      <c r="D163">
        <f t="shared" ca="1" si="12"/>
        <v>12</v>
      </c>
    </row>
    <row r="164" spans="1:4" x14ac:dyDescent="0.25">
      <c r="A164" s="5">
        <v>163</v>
      </c>
      <c r="B164">
        <f t="shared" ca="1" si="10"/>
        <v>0.6200130741698886</v>
      </c>
      <c r="C164">
        <f t="shared" ca="1" si="11"/>
        <v>30</v>
      </c>
      <c r="D164">
        <f t="shared" ca="1" si="12"/>
        <v>30</v>
      </c>
    </row>
    <row r="165" spans="1:4" x14ac:dyDescent="0.25">
      <c r="A165" s="5">
        <v>164</v>
      </c>
      <c r="B165">
        <f t="shared" ca="1" si="10"/>
        <v>0.87978071227258148</v>
      </c>
      <c r="C165">
        <f t="shared" ca="1" si="11"/>
        <v>43</v>
      </c>
      <c r="D165">
        <f t="shared" ca="1" si="12"/>
        <v>12</v>
      </c>
    </row>
    <row r="166" spans="1:4" x14ac:dyDescent="0.25">
      <c r="A166" s="5">
        <v>165</v>
      </c>
      <c r="B166">
        <f t="shared" ca="1" si="10"/>
        <v>2.4731981052407814E-2</v>
      </c>
      <c r="C166">
        <f t="shared" ca="1" si="11"/>
        <v>2</v>
      </c>
      <c r="D166">
        <f t="shared" ca="1" si="12"/>
        <v>12</v>
      </c>
    </row>
    <row r="167" spans="1:4" x14ac:dyDescent="0.25">
      <c r="A167" s="5">
        <v>166</v>
      </c>
      <c r="B167">
        <f t="shared" ca="1" si="10"/>
        <v>0.85500030014887574</v>
      </c>
      <c r="C167">
        <f t="shared" ca="1" si="11"/>
        <v>42</v>
      </c>
      <c r="D167">
        <f t="shared" ca="1" si="12"/>
        <v>42</v>
      </c>
    </row>
    <row r="168" spans="1:4" x14ac:dyDescent="0.25">
      <c r="A168" s="5">
        <v>167</v>
      </c>
      <c r="B168">
        <f t="shared" ca="1" si="10"/>
        <v>0.39541350703455846</v>
      </c>
      <c r="C168">
        <f t="shared" ca="1" si="11"/>
        <v>19</v>
      </c>
      <c r="D168">
        <f t="shared" ca="1" si="12"/>
        <v>12</v>
      </c>
    </row>
    <row r="169" spans="1:4" x14ac:dyDescent="0.25">
      <c r="A169" s="5">
        <v>168</v>
      </c>
      <c r="B169">
        <f t="shared" ca="1" si="10"/>
        <v>0.73283456995234919</v>
      </c>
      <c r="C169">
        <f t="shared" ca="1" si="11"/>
        <v>36</v>
      </c>
      <c r="D169">
        <f t="shared" ca="1" si="12"/>
        <v>36</v>
      </c>
    </row>
    <row r="170" spans="1:4" x14ac:dyDescent="0.25">
      <c r="A170" s="5">
        <v>169</v>
      </c>
      <c r="B170">
        <f t="shared" ca="1" si="10"/>
        <v>0.11859869814245227</v>
      </c>
      <c r="C170">
        <f t="shared" ca="1" si="11"/>
        <v>6</v>
      </c>
      <c r="D170">
        <f t="shared" ca="1" si="12"/>
        <v>6</v>
      </c>
    </row>
    <row r="171" spans="1:4" x14ac:dyDescent="0.25">
      <c r="A171" s="5">
        <v>170</v>
      </c>
      <c r="B171">
        <f t="shared" ca="1" si="10"/>
        <v>0.59326292873777464</v>
      </c>
      <c r="C171">
        <f t="shared" ca="1" si="11"/>
        <v>29</v>
      </c>
      <c r="D171">
        <f t="shared" ca="1" si="12"/>
        <v>12</v>
      </c>
    </row>
    <row r="172" spans="1:4" x14ac:dyDescent="0.25">
      <c r="A172" s="5">
        <v>171</v>
      </c>
      <c r="B172">
        <f t="shared" ca="1" si="10"/>
        <v>0.23872080978996735</v>
      </c>
      <c r="C172">
        <f t="shared" ca="1" si="11"/>
        <v>12</v>
      </c>
      <c r="D172">
        <f t="shared" ca="1" si="12"/>
        <v>12</v>
      </c>
    </row>
    <row r="173" spans="1:4" x14ac:dyDescent="0.25">
      <c r="A173" s="5">
        <v>172</v>
      </c>
      <c r="B173">
        <f t="shared" ca="1" si="10"/>
        <v>0.63154512057494983</v>
      </c>
      <c r="C173">
        <f t="shared" ca="1" si="11"/>
        <v>31</v>
      </c>
      <c r="D173">
        <f t="shared" ca="1" si="12"/>
        <v>12</v>
      </c>
    </row>
    <row r="174" spans="1:4" x14ac:dyDescent="0.25">
      <c r="A174" s="5">
        <v>173</v>
      </c>
      <c r="B174">
        <f t="shared" ca="1" si="10"/>
        <v>0.26027921035449542</v>
      </c>
      <c r="C174">
        <f t="shared" ca="1" si="11"/>
        <v>13</v>
      </c>
      <c r="D174">
        <f t="shared" ca="1" si="12"/>
        <v>12</v>
      </c>
    </row>
    <row r="175" spans="1:4" x14ac:dyDescent="0.25">
      <c r="A175" s="5">
        <v>174</v>
      </c>
      <c r="B175">
        <f t="shared" ca="1" si="10"/>
        <v>0.57796793184527484</v>
      </c>
      <c r="C175">
        <f t="shared" ca="1" si="11"/>
        <v>28</v>
      </c>
      <c r="D175">
        <f t="shared" ca="1" si="12"/>
        <v>12</v>
      </c>
    </row>
    <row r="176" spans="1:4" x14ac:dyDescent="0.25">
      <c r="A176" s="5">
        <v>175</v>
      </c>
      <c r="B176">
        <f t="shared" ca="1" si="10"/>
        <v>0.13648899646887669</v>
      </c>
      <c r="C176">
        <f t="shared" ca="1" si="11"/>
        <v>7</v>
      </c>
      <c r="D176">
        <f t="shared" ca="1" si="12"/>
        <v>12</v>
      </c>
    </row>
    <row r="177" spans="1:4" x14ac:dyDescent="0.25">
      <c r="A177" s="5">
        <v>176</v>
      </c>
      <c r="B177">
        <f t="shared" ca="1" si="10"/>
        <v>0.75022459714330292</v>
      </c>
      <c r="C177">
        <f t="shared" ca="1" si="11"/>
        <v>37</v>
      </c>
      <c r="D177">
        <f t="shared" ca="1" si="12"/>
        <v>12</v>
      </c>
    </row>
    <row r="178" spans="1:4" x14ac:dyDescent="0.25">
      <c r="A178" s="5">
        <v>177</v>
      </c>
      <c r="B178">
        <f t="shared" ca="1" si="10"/>
        <v>0.11042225712413312</v>
      </c>
      <c r="C178">
        <f t="shared" ca="1" si="11"/>
        <v>6</v>
      </c>
      <c r="D178">
        <f t="shared" ca="1" si="12"/>
        <v>6</v>
      </c>
    </row>
    <row r="179" spans="1:4" x14ac:dyDescent="0.25">
      <c r="A179" s="5">
        <v>178</v>
      </c>
      <c r="B179">
        <f t="shared" ca="1" si="10"/>
        <v>0.8039944775373844</v>
      </c>
      <c r="C179">
        <f t="shared" ca="1" si="11"/>
        <v>39</v>
      </c>
      <c r="D179">
        <f t="shared" ca="1" si="12"/>
        <v>39</v>
      </c>
    </row>
    <row r="180" spans="1:4" x14ac:dyDescent="0.25">
      <c r="A180" s="5">
        <v>179</v>
      </c>
      <c r="B180">
        <f t="shared" ca="1" si="10"/>
        <v>0.37844324341648972</v>
      </c>
      <c r="C180">
        <f t="shared" ca="1" si="11"/>
        <v>19</v>
      </c>
      <c r="D180">
        <f t="shared" ca="1" si="12"/>
        <v>12</v>
      </c>
    </row>
    <row r="181" spans="1:4" x14ac:dyDescent="0.25">
      <c r="A181" s="5">
        <v>180</v>
      </c>
      <c r="B181">
        <f t="shared" ca="1" si="10"/>
        <v>0.69811562480661782</v>
      </c>
      <c r="C181">
        <f t="shared" ca="1" si="11"/>
        <v>34</v>
      </c>
      <c r="D181">
        <f t="shared" ca="1" si="12"/>
        <v>12</v>
      </c>
    </row>
    <row r="182" spans="1:4" x14ac:dyDescent="0.25">
      <c r="A182" s="5">
        <v>181</v>
      </c>
      <c r="B182">
        <f t="shared" ca="1" si="10"/>
        <v>0.52234563128163158</v>
      </c>
      <c r="C182">
        <f t="shared" ca="1" si="11"/>
        <v>26</v>
      </c>
      <c r="D182">
        <f t="shared" ca="1" si="12"/>
        <v>12</v>
      </c>
    </row>
    <row r="183" spans="1:4" x14ac:dyDescent="0.25">
      <c r="A183" s="5">
        <v>182</v>
      </c>
      <c r="B183">
        <f t="shared" ca="1" si="10"/>
        <v>0.64141110742177676</v>
      </c>
      <c r="C183">
        <f t="shared" ca="1" si="11"/>
        <v>31</v>
      </c>
      <c r="D183">
        <f t="shared" ca="1" si="12"/>
        <v>12</v>
      </c>
    </row>
    <row r="184" spans="1:4" x14ac:dyDescent="0.25">
      <c r="A184" s="5">
        <v>183</v>
      </c>
      <c r="B184">
        <f t="shared" ca="1" si="10"/>
        <v>0.57005137112451454</v>
      </c>
      <c r="C184">
        <f t="shared" ca="1" si="11"/>
        <v>28</v>
      </c>
      <c r="D184">
        <f t="shared" ca="1" si="12"/>
        <v>12</v>
      </c>
    </row>
    <row r="185" spans="1:4" x14ac:dyDescent="0.25">
      <c r="A185" s="5">
        <v>184</v>
      </c>
      <c r="B185">
        <f t="shared" ca="1" si="10"/>
        <v>1.8312481252316659E-2</v>
      </c>
      <c r="C185">
        <f t="shared" ca="1" si="11"/>
        <v>1</v>
      </c>
      <c r="D185">
        <f t="shared" ca="1" si="12"/>
        <v>12</v>
      </c>
    </row>
    <row r="186" spans="1:4" x14ac:dyDescent="0.25">
      <c r="A186" s="5">
        <v>185</v>
      </c>
      <c r="B186">
        <f t="shared" ca="1" si="10"/>
        <v>0.15967442997777415</v>
      </c>
      <c r="C186">
        <f t="shared" ca="1" si="11"/>
        <v>8</v>
      </c>
      <c r="D186">
        <f t="shared" ca="1" si="12"/>
        <v>12</v>
      </c>
    </row>
    <row r="187" spans="1:4" x14ac:dyDescent="0.25">
      <c r="A187" s="5">
        <v>186</v>
      </c>
      <c r="B187">
        <f t="shared" ca="1" si="10"/>
        <v>5.7989591675487784E-2</v>
      </c>
      <c r="C187">
        <f t="shared" ca="1" si="11"/>
        <v>3</v>
      </c>
      <c r="D187">
        <f t="shared" ca="1" si="12"/>
        <v>3</v>
      </c>
    </row>
    <row r="188" spans="1:4" x14ac:dyDescent="0.25">
      <c r="A188" s="5">
        <v>187</v>
      </c>
      <c r="B188">
        <f t="shared" ca="1" si="10"/>
        <v>7.4869203761909198E-3</v>
      </c>
      <c r="C188">
        <f t="shared" ca="1" si="11"/>
        <v>1</v>
      </c>
      <c r="D188">
        <f t="shared" ca="1" si="12"/>
        <v>12</v>
      </c>
    </row>
    <row r="189" spans="1:4" x14ac:dyDescent="0.25">
      <c r="A189" s="5">
        <v>188</v>
      </c>
      <c r="B189">
        <f t="shared" ca="1" si="10"/>
        <v>0.68741753854142684</v>
      </c>
      <c r="C189">
        <f t="shared" ca="1" si="11"/>
        <v>33</v>
      </c>
      <c r="D189">
        <f t="shared" ca="1" si="12"/>
        <v>33</v>
      </c>
    </row>
    <row r="190" spans="1:4" x14ac:dyDescent="0.25">
      <c r="A190" s="5">
        <v>189</v>
      </c>
      <c r="B190">
        <f t="shared" ca="1" si="10"/>
        <v>0.64801731346024471</v>
      </c>
      <c r="C190">
        <f t="shared" ca="1" si="11"/>
        <v>32</v>
      </c>
      <c r="D190">
        <f t="shared" ca="1" si="12"/>
        <v>12</v>
      </c>
    </row>
    <row r="191" spans="1:4" x14ac:dyDescent="0.25">
      <c r="A191" s="5">
        <v>190</v>
      </c>
      <c r="B191">
        <f t="shared" ca="1" si="10"/>
        <v>0.68583664481202467</v>
      </c>
      <c r="C191">
        <f t="shared" ca="1" si="11"/>
        <v>33</v>
      </c>
      <c r="D191">
        <f t="shared" ca="1" si="12"/>
        <v>33</v>
      </c>
    </row>
    <row r="192" spans="1:4" x14ac:dyDescent="0.25">
      <c r="A192" s="5">
        <v>191</v>
      </c>
      <c r="B192">
        <f t="shared" ca="1" si="10"/>
        <v>0.23787984927160066</v>
      </c>
      <c r="C192">
        <f t="shared" ca="1" si="11"/>
        <v>12</v>
      </c>
      <c r="D192">
        <f t="shared" ca="1" si="12"/>
        <v>12</v>
      </c>
    </row>
    <row r="193" spans="1:4" x14ac:dyDescent="0.25">
      <c r="A193" s="5">
        <v>192</v>
      </c>
      <c r="B193">
        <f t="shared" ca="1" si="10"/>
        <v>0.16077207692182138</v>
      </c>
      <c r="C193">
        <f t="shared" ca="1" si="11"/>
        <v>8</v>
      </c>
      <c r="D193">
        <f t="shared" ca="1" si="12"/>
        <v>12</v>
      </c>
    </row>
    <row r="194" spans="1:4" x14ac:dyDescent="0.25">
      <c r="A194" s="5">
        <v>193</v>
      </c>
      <c r="B194">
        <f t="shared" ca="1" si="10"/>
        <v>0.92403649489467243</v>
      </c>
      <c r="C194">
        <f t="shared" ca="1" si="11"/>
        <v>45</v>
      </c>
      <c r="D194">
        <f t="shared" ca="1" si="12"/>
        <v>45</v>
      </c>
    </row>
    <row r="195" spans="1:4" x14ac:dyDescent="0.25">
      <c r="A195" s="5">
        <v>194</v>
      </c>
      <c r="B195">
        <f t="shared" ref="B195:B258" ca="1" si="13">RAND()</f>
        <v>0.80377204126740853</v>
      </c>
      <c r="C195">
        <f t="shared" ref="C195:C258" ca="1" si="14">INT(B195*48)+1</f>
        <v>39</v>
      </c>
      <c r="D195">
        <f t="shared" ref="D195:D258" ca="1" si="15">IF(MOD(C195,3)=0,C195,12)</f>
        <v>39</v>
      </c>
    </row>
    <row r="196" spans="1:4" x14ac:dyDescent="0.25">
      <c r="A196" s="5">
        <v>195</v>
      </c>
      <c r="B196">
        <f t="shared" ca="1" si="13"/>
        <v>0.90442012924790927</v>
      </c>
      <c r="C196">
        <f t="shared" ca="1" si="14"/>
        <v>44</v>
      </c>
      <c r="D196">
        <f t="shared" ca="1" si="15"/>
        <v>12</v>
      </c>
    </row>
    <row r="197" spans="1:4" x14ac:dyDescent="0.25">
      <c r="A197" s="5">
        <v>196</v>
      </c>
      <c r="B197">
        <f t="shared" ca="1" si="13"/>
        <v>0.69555196711051304</v>
      </c>
      <c r="C197">
        <f t="shared" ca="1" si="14"/>
        <v>34</v>
      </c>
      <c r="D197">
        <f t="shared" ca="1" si="15"/>
        <v>12</v>
      </c>
    </row>
    <row r="198" spans="1:4" x14ac:dyDescent="0.25">
      <c r="A198" s="5">
        <v>197</v>
      </c>
      <c r="B198">
        <f t="shared" ca="1" si="13"/>
        <v>0.60252901294908223</v>
      </c>
      <c r="C198">
        <f t="shared" ca="1" si="14"/>
        <v>29</v>
      </c>
      <c r="D198">
        <f t="shared" ca="1" si="15"/>
        <v>12</v>
      </c>
    </row>
    <row r="199" spans="1:4" x14ac:dyDescent="0.25">
      <c r="A199" s="5">
        <v>198</v>
      </c>
      <c r="B199">
        <f t="shared" ca="1" si="13"/>
        <v>0.44953563863761259</v>
      </c>
      <c r="C199">
        <f t="shared" ca="1" si="14"/>
        <v>22</v>
      </c>
      <c r="D199">
        <f t="shared" ca="1" si="15"/>
        <v>12</v>
      </c>
    </row>
    <row r="200" spans="1:4" x14ac:dyDescent="0.25">
      <c r="A200" s="5">
        <v>199</v>
      </c>
      <c r="B200">
        <f t="shared" ca="1" si="13"/>
        <v>0.83892855076111306</v>
      </c>
      <c r="C200">
        <f t="shared" ca="1" si="14"/>
        <v>41</v>
      </c>
      <c r="D200">
        <f t="shared" ca="1" si="15"/>
        <v>12</v>
      </c>
    </row>
    <row r="201" spans="1:4" x14ac:dyDescent="0.25">
      <c r="A201" s="5">
        <v>200</v>
      </c>
      <c r="B201">
        <f t="shared" ca="1" si="13"/>
        <v>0.11839837903555328</v>
      </c>
      <c r="C201">
        <f t="shared" ca="1" si="14"/>
        <v>6</v>
      </c>
      <c r="D201">
        <f t="shared" ca="1" si="15"/>
        <v>6</v>
      </c>
    </row>
    <row r="202" spans="1:4" x14ac:dyDescent="0.25">
      <c r="A202" s="5">
        <v>201</v>
      </c>
      <c r="B202">
        <f t="shared" ca="1" si="13"/>
        <v>0.86641112506473916</v>
      </c>
      <c r="C202">
        <f t="shared" ca="1" si="14"/>
        <v>42</v>
      </c>
      <c r="D202">
        <f t="shared" ca="1" si="15"/>
        <v>42</v>
      </c>
    </row>
    <row r="203" spans="1:4" x14ac:dyDescent="0.25">
      <c r="A203" s="5">
        <v>202</v>
      </c>
      <c r="B203">
        <f t="shared" ca="1" si="13"/>
        <v>8.6763336369342081E-2</v>
      </c>
      <c r="C203">
        <f t="shared" ca="1" si="14"/>
        <v>5</v>
      </c>
      <c r="D203">
        <f t="shared" ca="1" si="15"/>
        <v>12</v>
      </c>
    </row>
    <row r="204" spans="1:4" x14ac:dyDescent="0.25">
      <c r="A204" s="5">
        <v>203</v>
      </c>
      <c r="B204">
        <f t="shared" ca="1" si="13"/>
        <v>0.68412773100128454</v>
      </c>
      <c r="C204">
        <f t="shared" ca="1" si="14"/>
        <v>33</v>
      </c>
      <c r="D204">
        <f t="shared" ca="1" si="15"/>
        <v>33</v>
      </c>
    </row>
    <row r="205" spans="1:4" x14ac:dyDescent="0.25">
      <c r="A205" s="5">
        <v>204</v>
      </c>
      <c r="B205">
        <f t="shared" ca="1" si="13"/>
        <v>0.28961114219154604</v>
      </c>
      <c r="C205">
        <f t="shared" ca="1" si="14"/>
        <v>14</v>
      </c>
      <c r="D205">
        <f t="shared" ca="1" si="15"/>
        <v>12</v>
      </c>
    </row>
    <row r="206" spans="1:4" x14ac:dyDescent="0.25">
      <c r="A206" s="5">
        <v>205</v>
      </c>
      <c r="B206">
        <f t="shared" ca="1" si="13"/>
        <v>4.4336194516542471E-2</v>
      </c>
      <c r="C206">
        <f t="shared" ca="1" si="14"/>
        <v>3</v>
      </c>
      <c r="D206">
        <f t="shared" ca="1" si="15"/>
        <v>3</v>
      </c>
    </row>
    <row r="207" spans="1:4" x14ac:dyDescent="0.25">
      <c r="A207" s="5">
        <v>206</v>
      </c>
      <c r="B207">
        <f t="shared" ca="1" si="13"/>
        <v>0.30538142590892325</v>
      </c>
      <c r="C207">
        <f t="shared" ca="1" si="14"/>
        <v>15</v>
      </c>
      <c r="D207">
        <f t="shared" ca="1" si="15"/>
        <v>15</v>
      </c>
    </row>
    <row r="208" spans="1:4" x14ac:dyDescent="0.25">
      <c r="A208" s="5">
        <v>207</v>
      </c>
      <c r="B208">
        <f t="shared" ca="1" si="13"/>
        <v>0.36265644344905501</v>
      </c>
      <c r="C208">
        <f t="shared" ca="1" si="14"/>
        <v>18</v>
      </c>
      <c r="D208">
        <f t="shared" ca="1" si="15"/>
        <v>18</v>
      </c>
    </row>
    <row r="209" spans="1:4" x14ac:dyDescent="0.25">
      <c r="A209" s="5">
        <v>208</v>
      </c>
      <c r="B209">
        <f t="shared" ca="1" si="13"/>
        <v>0.7642551009215558</v>
      </c>
      <c r="C209">
        <f t="shared" ca="1" si="14"/>
        <v>37</v>
      </c>
      <c r="D209">
        <f t="shared" ca="1" si="15"/>
        <v>12</v>
      </c>
    </row>
    <row r="210" spans="1:4" x14ac:dyDescent="0.25">
      <c r="A210" s="5">
        <v>209</v>
      </c>
      <c r="B210">
        <f t="shared" ca="1" si="13"/>
        <v>0.81344888739818055</v>
      </c>
      <c r="C210">
        <f t="shared" ca="1" si="14"/>
        <v>40</v>
      </c>
      <c r="D210">
        <f t="shared" ca="1" si="15"/>
        <v>12</v>
      </c>
    </row>
    <row r="211" spans="1:4" x14ac:dyDescent="0.25">
      <c r="A211" s="5">
        <v>210</v>
      </c>
      <c r="B211">
        <f t="shared" ca="1" si="13"/>
        <v>0.57799785542281235</v>
      </c>
      <c r="C211">
        <f t="shared" ca="1" si="14"/>
        <v>28</v>
      </c>
      <c r="D211">
        <f t="shared" ca="1" si="15"/>
        <v>12</v>
      </c>
    </row>
    <row r="212" spans="1:4" x14ac:dyDescent="0.25">
      <c r="A212" s="5">
        <v>211</v>
      </c>
      <c r="B212">
        <f t="shared" ca="1" si="13"/>
        <v>0.18391908448376537</v>
      </c>
      <c r="C212">
        <f t="shared" ca="1" si="14"/>
        <v>9</v>
      </c>
      <c r="D212">
        <f t="shared" ca="1" si="15"/>
        <v>9</v>
      </c>
    </row>
    <row r="213" spans="1:4" x14ac:dyDescent="0.25">
      <c r="A213" s="5">
        <v>212</v>
      </c>
      <c r="B213">
        <f t="shared" ca="1" si="13"/>
        <v>0.16879056992993069</v>
      </c>
      <c r="C213">
        <f t="shared" ca="1" si="14"/>
        <v>9</v>
      </c>
      <c r="D213">
        <f t="shared" ca="1" si="15"/>
        <v>9</v>
      </c>
    </row>
    <row r="214" spans="1:4" x14ac:dyDescent="0.25">
      <c r="A214" s="5">
        <v>213</v>
      </c>
      <c r="B214">
        <f t="shared" ca="1" si="13"/>
        <v>0.18624480043429203</v>
      </c>
      <c r="C214">
        <f t="shared" ca="1" si="14"/>
        <v>9</v>
      </c>
      <c r="D214">
        <f t="shared" ca="1" si="15"/>
        <v>9</v>
      </c>
    </row>
    <row r="215" spans="1:4" x14ac:dyDescent="0.25">
      <c r="A215" s="5">
        <v>214</v>
      </c>
      <c r="B215">
        <f t="shared" ca="1" si="13"/>
        <v>0.90815081405103359</v>
      </c>
      <c r="C215">
        <f t="shared" ca="1" si="14"/>
        <v>44</v>
      </c>
      <c r="D215">
        <f t="shared" ca="1" si="15"/>
        <v>12</v>
      </c>
    </row>
    <row r="216" spans="1:4" x14ac:dyDescent="0.25">
      <c r="A216" s="5">
        <v>215</v>
      </c>
      <c r="B216">
        <f t="shared" ca="1" si="13"/>
        <v>0.90663566352125846</v>
      </c>
      <c r="C216">
        <f t="shared" ca="1" si="14"/>
        <v>44</v>
      </c>
      <c r="D216">
        <f t="shared" ca="1" si="15"/>
        <v>12</v>
      </c>
    </row>
    <row r="217" spans="1:4" x14ac:dyDescent="0.25">
      <c r="A217" s="5">
        <v>216</v>
      </c>
      <c r="B217">
        <f t="shared" ca="1" si="13"/>
        <v>0.49429569961538711</v>
      </c>
      <c r="C217">
        <f t="shared" ca="1" si="14"/>
        <v>24</v>
      </c>
      <c r="D217">
        <f t="shared" ca="1" si="15"/>
        <v>24</v>
      </c>
    </row>
    <row r="218" spans="1:4" x14ac:dyDescent="0.25">
      <c r="A218" s="5">
        <v>217</v>
      </c>
      <c r="B218">
        <f t="shared" ca="1" si="13"/>
        <v>0.8633158243014778</v>
      </c>
      <c r="C218">
        <f t="shared" ca="1" si="14"/>
        <v>42</v>
      </c>
      <c r="D218">
        <f t="shared" ca="1" si="15"/>
        <v>42</v>
      </c>
    </row>
    <row r="219" spans="1:4" x14ac:dyDescent="0.25">
      <c r="A219" s="5">
        <v>218</v>
      </c>
      <c r="B219">
        <f t="shared" ca="1" si="13"/>
        <v>0.14364109132121228</v>
      </c>
      <c r="C219">
        <f t="shared" ca="1" si="14"/>
        <v>7</v>
      </c>
      <c r="D219">
        <f t="shared" ca="1" si="15"/>
        <v>12</v>
      </c>
    </row>
    <row r="220" spans="1:4" x14ac:dyDescent="0.25">
      <c r="A220" s="5">
        <v>219</v>
      </c>
      <c r="B220">
        <f t="shared" ca="1" si="13"/>
        <v>0.77716746376113155</v>
      </c>
      <c r="C220">
        <f t="shared" ca="1" si="14"/>
        <v>38</v>
      </c>
      <c r="D220">
        <f t="shared" ca="1" si="15"/>
        <v>12</v>
      </c>
    </row>
    <row r="221" spans="1:4" x14ac:dyDescent="0.25">
      <c r="A221" s="5">
        <v>220</v>
      </c>
      <c r="B221">
        <f t="shared" ca="1" si="13"/>
        <v>0.94969183173097538</v>
      </c>
      <c r="C221">
        <f t="shared" ca="1" si="14"/>
        <v>46</v>
      </c>
      <c r="D221">
        <f t="shared" ca="1" si="15"/>
        <v>12</v>
      </c>
    </row>
    <row r="222" spans="1:4" x14ac:dyDescent="0.25">
      <c r="A222" s="5">
        <v>221</v>
      </c>
      <c r="B222">
        <f t="shared" ca="1" si="13"/>
        <v>0.45410672128293772</v>
      </c>
      <c r="C222">
        <f t="shared" ca="1" si="14"/>
        <v>22</v>
      </c>
      <c r="D222">
        <f t="shared" ca="1" si="15"/>
        <v>12</v>
      </c>
    </row>
    <row r="223" spans="1:4" x14ac:dyDescent="0.25">
      <c r="A223" s="5">
        <v>222</v>
      </c>
      <c r="B223">
        <f t="shared" ca="1" si="13"/>
        <v>0.19803626477948699</v>
      </c>
      <c r="C223">
        <f t="shared" ca="1" si="14"/>
        <v>10</v>
      </c>
      <c r="D223">
        <f t="shared" ca="1" si="15"/>
        <v>12</v>
      </c>
    </row>
    <row r="224" spans="1:4" x14ac:dyDescent="0.25">
      <c r="A224" s="5">
        <v>223</v>
      </c>
      <c r="B224">
        <f t="shared" ca="1" si="13"/>
        <v>0.2064226066159115</v>
      </c>
      <c r="C224">
        <f t="shared" ca="1" si="14"/>
        <v>10</v>
      </c>
      <c r="D224">
        <f t="shared" ca="1" si="15"/>
        <v>12</v>
      </c>
    </row>
    <row r="225" spans="1:4" x14ac:dyDescent="0.25">
      <c r="A225" s="5">
        <v>224</v>
      </c>
      <c r="B225">
        <f t="shared" ca="1" si="13"/>
        <v>0.25587097782350177</v>
      </c>
      <c r="C225">
        <f t="shared" ca="1" si="14"/>
        <v>13</v>
      </c>
      <c r="D225">
        <f t="shared" ca="1" si="15"/>
        <v>12</v>
      </c>
    </row>
    <row r="226" spans="1:4" x14ac:dyDescent="0.25">
      <c r="A226" s="5">
        <v>225</v>
      </c>
      <c r="B226">
        <f t="shared" ca="1" si="13"/>
        <v>0.60989163874333796</v>
      </c>
      <c r="C226">
        <f t="shared" ca="1" si="14"/>
        <v>30</v>
      </c>
      <c r="D226">
        <f t="shared" ca="1" si="15"/>
        <v>30</v>
      </c>
    </row>
    <row r="227" spans="1:4" x14ac:dyDescent="0.25">
      <c r="A227" s="5">
        <v>226</v>
      </c>
      <c r="B227">
        <f t="shared" ca="1" si="13"/>
        <v>0.98394385016854202</v>
      </c>
      <c r="C227">
        <f t="shared" ca="1" si="14"/>
        <v>48</v>
      </c>
      <c r="D227">
        <f t="shared" ca="1" si="15"/>
        <v>48</v>
      </c>
    </row>
    <row r="228" spans="1:4" x14ac:dyDescent="0.25">
      <c r="A228" s="5">
        <v>227</v>
      </c>
      <c r="B228">
        <f t="shared" ca="1" si="13"/>
        <v>0.97124439346990743</v>
      </c>
      <c r="C228">
        <f t="shared" ca="1" si="14"/>
        <v>47</v>
      </c>
      <c r="D228">
        <f t="shared" ca="1" si="15"/>
        <v>12</v>
      </c>
    </row>
    <row r="229" spans="1:4" x14ac:dyDescent="0.25">
      <c r="A229" s="5">
        <v>228</v>
      </c>
      <c r="B229">
        <f t="shared" ca="1" si="13"/>
        <v>0.41089798688632473</v>
      </c>
      <c r="C229">
        <f t="shared" ca="1" si="14"/>
        <v>20</v>
      </c>
      <c r="D229">
        <f t="shared" ca="1" si="15"/>
        <v>12</v>
      </c>
    </row>
    <row r="230" spans="1:4" x14ac:dyDescent="0.25">
      <c r="A230" s="5">
        <v>229</v>
      </c>
      <c r="B230">
        <f t="shared" ca="1" si="13"/>
        <v>1.1192239011303284E-2</v>
      </c>
      <c r="C230">
        <f t="shared" ca="1" si="14"/>
        <v>1</v>
      </c>
      <c r="D230">
        <f t="shared" ca="1" si="15"/>
        <v>12</v>
      </c>
    </row>
    <row r="231" spans="1:4" x14ac:dyDescent="0.25">
      <c r="A231" s="5">
        <v>230</v>
      </c>
      <c r="B231">
        <f t="shared" ca="1" si="13"/>
        <v>0.29434898354323269</v>
      </c>
      <c r="C231">
        <f t="shared" ca="1" si="14"/>
        <v>15</v>
      </c>
      <c r="D231">
        <f t="shared" ca="1" si="15"/>
        <v>15</v>
      </c>
    </row>
    <row r="232" spans="1:4" x14ac:dyDescent="0.25">
      <c r="A232" s="5">
        <v>231</v>
      </c>
      <c r="B232">
        <f t="shared" ca="1" si="13"/>
        <v>0.21303017256357037</v>
      </c>
      <c r="C232">
        <f t="shared" ca="1" si="14"/>
        <v>11</v>
      </c>
      <c r="D232">
        <f t="shared" ca="1" si="15"/>
        <v>12</v>
      </c>
    </row>
    <row r="233" spans="1:4" x14ac:dyDescent="0.25">
      <c r="A233" s="5">
        <v>232</v>
      </c>
      <c r="B233">
        <f t="shared" ca="1" si="13"/>
        <v>0.50234576987333734</v>
      </c>
      <c r="C233">
        <f t="shared" ca="1" si="14"/>
        <v>25</v>
      </c>
      <c r="D233">
        <f t="shared" ca="1" si="15"/>
        <v>12</v>
      </c>
    </row>
    <row r="234" spans="1:4" x14ac:dyDescent="0.25">
      <c r="A234" s="5">
        <v>233</v>
      </c>
      <c r="B234">
        <f t="shared" ca="1" si="13"/>
        <v>0.2301932035572527</v>
      </c>
      <c r="C234">
        <f t="shared" ca="1" si="14"/>
        <v>12</v>
      </c>
      <c r="D234">
        <f t="shared" ca="1" si="15"/>
        <v>12</v>
      </c>
    </row>
    <row r="235" spans="1:4" x14ac:dyDescent="0.25">
      <c r="A235" s="5">
        <v>234</v>
      </c>
      <c r="B235">
        <f t="shared" ca="1" si="13"/>
        <v>0.57755431664048451</v>
      </c>
      <c r="C235">
        <f t="shared" ca="1" si="14"/>
        <v>28</v>
      </c>
      <c r="D235">
        <f t="shared" ca="1" si="15"/>
        <v>12</v>
      </c>
    </row>
    <row r="236" spans="1:4" x14ac:dyDescent="0.25">
      <c r="A236" s="5">
        <v>235</v>
      </c>
      <c r="B236">
        <f t="shared" ca="1" si="13"/>
        <v>2.1817142484017227E-2</v>
      </c>
      <c r="C236">
        <f t="shared" ca="1" si="14"/>
        <v>2</v>
      </c>
      <c r="D236">
        <f t="shared" ca="1" si="15"/>
        <v>12</v>
      </c>
    </row>
    <row r="237" spans="1:4" x14ac:dyDescent="0.25">
      <c r="A237" s="5">
        <v>236</v>
      </c>
      <c r="B237">
        <f t="shared" ca="1" si="13"/>
        <v>0.33844156586630048</v>
      </c>
      <c r="C237">
        <f t="shared" ca="1" si="14"/>
        <v>17</v>
      </c>
      <c r="D237">
        <f t="shared" ca="1" si="15"/>
        <v>12</v>
      </c>
    </row>
    <row r="238" spans="1:4" x14ac:dyDescent="0.25">
      <c r="A238" s="5">
        <v>237</v>
      </c>
      <c r="B238">
        <f t="shared" ca="1" si="13"/>
        <v>0.89981642756109836</v>
      </c>
      <c r="C238">
        <f t="shared" ca="1" si="14"/>
        <v>44</v>
      </c>
      <c r="D238">
        <f t="shared" ca="1" si="15"/>
        <v>12</v>
      </c>
    </row>
    <row r="239" spans="1:4" x14ac:dyDescent="0.25">
      <c r="A239" s="5">
        <v>238</v>
      </c>
      <c r="B239">
        <f t="shared" ca="1" si="13"/>
        <v>0.42338484520497921</v>
      </c>
      <c r="C239">
        <f t="shared" ca="1" si="14"/>
        <v>21</v>
      </c>
      <c r="D239">
        <f t="shared" ca="1" si="15"/>
        <v>21</v>
      </c>
    </row>
    <row r="240" spans="1:4" x14ac:dyDescent="0.25">
      <c r="A240" s="5">
        <v>239</v>
      </c>
      <c r="B240">
        <f t="shared" ca="1" si="13"/>
        <v>0.90929839745129659</v>
      </c>
      <c r="C240">
        <f t="shared" ca="1" si="14"/>
        <v>44</v>
      </c>
      <c r="D240">
        <f t="shared" ca="1" si="15"/>
        <v>12</v>
      </c>
    </row>
    <row r="241" spans="1:4" x14ac:dyDescent="0.25">
      <c r="A241" s="5">
        <v>240</v>
      </c>
      <c r="B241">
        <f t="shared" ca="1" si="13"/>
        <v>0.75302765646131142</v>
      </c>
      <c r="C241">
        <f t="shared" ca="1" si="14"/>
        <v>37</v>
      </c>
      <c r="D241">
        <f t="shared" ca="1" si="15"/>
        <v>12</v>
      </c>
    </row>
    <row r="242" spans="1:4" x14ac:dyDescent="0.25">
      <c r="A242" s="5">
        <v>241</v>
      </c>
      <c r="B242">
        <f t="shared" ca="1" si="13"/>
        <v>0.67583143542822577</v>
      </c>
      <c r="C242">
        <f t="shared" ca="1" si="14"/>
        <v>33</v>
      </c>
      <c r="D242">
        <f t="shared" ca="1" si="15"/>
        <v>33</v>
      </c>
    </row>
    <row r="243" spans="1:4" x14ac:dyDescent="0.25">
      <c r="A243" s="5">
        <v>242</v>
      </c>
      <c r="B243">
        <f t="shared" ca="1" si="13"/>
        <v>0.49195640632537674</v>
      </c>
      <c r="C243">
        <f t="shared" ca="1" si="14"/>
        <v>24</v>
      </c>
      <c r="D243">
        <f t="shared" ca="1" si="15"/>
        <v>24</v>
      </c>
    </row>
    <row r="244" spans="1:4" x14ac:dyDescent="0.25">
      <c r="A244" s="5">
        <v>243</v>
      </c>
      <c r="B244">
        <f t="shared" ca="1" si="13"/>
        <v>0.99926236878838837</v>
      </c>
      <c r="C244">
        <f t="shared" ca="1" si="14"/>
        <v>48</v>
      </c>
      <c r="D244">
        <f t="shared" ca="1" si="15"/>
        <v>48</v>
      </c>
    </row>
    <row r="245" spans="1:4" x14ac:dyDescent="0.25">
      <c r="A245" s="5">
        <v>244</v>
      </c>
      <c r="B245">
        <f t="shared" ca="1" si="13"/>
        <v>0.94521087158839723</v>
      </c>
      <c r="C245">
        <f t="shared" ca="1" si="14"/>
        <v>46</v>
      </c>
      <c r="D245">
        <f t="shared" ca="1" si="15"/>
        <v>12</v>
      </c>
    </row>
    <row r="246" spans="1:4" x14ac:dyDescent="0.25">
      <c r="A246" s="5">
        <v>245</v>
      </c>
      <c r="B246">
        <f t="shared" ca="1" si="13"/>
        <v>0.43923449920144408</v>
      </c>
      <c r="C246">
        <f t="shared" ca="1" si="14"/>
        <v>22</v>
      </c>
      <c r="D246">
        <f t="shared" ca="1" si="15"/>
        <v>12</v>
      </c>
    </row>
    <row r="247" spans="1:4" x14ac:dyDescent="0.25">
      <c r="A247" s="5">
        <v>246</v>
      </c>
      <c r="B247">
        <f t="shared" ca="1" si="13"/>
        <v>2.4498800275341681E-2</v>
      </c>
      <c r="C247">
        <f t="shared" ca="1" si="14"/>
        <v>2</v>
      </c>
      <c r="D247">
        <f t="shared" ca="1" si="15"/>
        <v>12</v>
      </c>
    </row>
    <row r="248" spans="1:4" x14ac:dyDescent="0.25">
      <c r="A248" s="5">
        <v>247</v>
      </c>
      <c r="B248">
        <f t="shared" ca="1" si="13"/>
        <v>0.51338786170203476</v>
      </c>
      <c r="C248">
        <f t="shared" ca="1" si="14"/>
        <v>25</v>
      </c>
      <c r="D248">
        <f t="shared" ca="1" si="15"/>
        <v>12</v>
      </c>
    </row>
    <row r="249" spans="1:4" x14ac:dyDescent="0.25">
      <c r="A249" s="5">
        <v>248</v>
      </c>
      <c r="B249">
        <f t="shared" ca="1" si="13"/>
        <v>0.15759991099232362</v>
      </c>
      <c r="C249">
        <f t="shared" ca="1" si="14"/>
        <v>8</v>
      </c>
      <c r="D249">
        <f t="shared" ca="1" si="15"/>
        <v>12</v>
      </c>
    </row>
    <row r="250" spans="1:4" x14ac:dyDescent="0.25">
      <c r="A250" s="5">
        <v>249</v>
      </c>
      <c r="B250">
        <f t="shared" ca="1" si="13"/>
        <v>0.13830963550829001</v>
      </c>
      <c r="C250">
        <f t="shared" ca="1" si="14"/>
        <v>7</v>
      </c>
      <c r="D250">
        <f t="shared" ca="1" si="15"/>
        <v>12</v>
      </c>
    </row>
    <row r="251" spans="1:4" x14ac:dyDescent="0.25">
      <c r="A251" s="5">
        <v>250</v>
      </c>
      <c r="B251">
        <f t="shared" ca="1" si="13"/>
        <v>0.73153528282735869</v>
      </c>
      <c r="C251">
        <f t="shared" ca="1" si="14"/>
        <v>36</v>
      </c>
      <c r="D251">
        <f t="shared" ca="1" si="15"/>
        <v>36</v>
      </c>
    </row>
    <row r="252" spans="1:4" x14ac:dyDescent="0.25">
      <c r="A252" s="5">
        <v>251</v>
      </c>
      <c r="B252">
        <f t="shared" ca="1" si="13"/>
        <v>0.30321086791540763</v>
      </c>
      <c r="C252">
        <f t="shared" ca="1" si="14"/>
        <v>15</v>
      </c>
      <c r="D252">
        <f t="shared" ca="1" si="15"/>
        <v>15</v>
      </c>
    </row>
    <row r="253" spans="1:4" x14ac:dyDescent="0.25">
      <c r="A253" s="5">
        <v>252</v>
      </c>
      <c r="B253">
        <f t="shared" ca="1" si="13"/>
        <v>0.87773629030939049</v>
      </c>
      <c r="C253">
        <f t="shared" ca="1" si="14"/>
        <v>43</v>
      </c>
      <c r="D253">
        <f t="shared" ca="1" si="15"/>
        <v>12</v>
      </c>
    </row>
    <row r="254" spans="1:4" x14ac:dyDescent="0.25">
      <c r="A254" s="5">
        <v>253</v>
      </c>
      <c r="B254">
        <f t="shared" ca="1" si="13"/>
        <v>0.90010797260676068</v>
      </c>
      <c r="C254">
        <f t="shared" ca="1" si="14"/>
        <v>44</v>
      </c>
      <c r="D254">
        <f t="shared" ca="1" si="15"/>
        <v>12</v>
      </c>
    </row>
    <row r="255" spans="1:4" x14ac:dyDescent="0.25">
      <c r="A255" s="5">
        <v>254</v>
      </c>
      <c r="B255">
        <f t="shared" ca="1" si="13"/>
        <v>0.46422432221258259</v>
      </c>
      <c r="C255">
        <f t="shared" ca="1" si="14"/>
        <v>23</v>
      </c>
      <c r="D255">
        <f t="shared" ca="1" si="15"/>
        <v>12</v>
      </c>
    </row>
    <row r="256" spans="1:4" x14ac:dyDescent="0.25">
      <c r="A256" s="5">
        <v>255</v>
      </c>
      <c r="B256">
        <f t="shared" ca="1" si="13"/>
        <v>0.27950165378744007</v>
      </c>
      <c r="C256">
        <f t="shared" ca="1" si="14"/>
        <v>14</v>
      </c>
      <c r="D256">
        <f t="shared" ca="1" si="15"/>
        <v>12</v>
      </c>
    </row>
    <row r="257" spans="1:4" x14ac:dyDescent="0.25">
      <c r="A257" s="5">
        <v>256</v>
      </c>
      <c r="B257">
        <f t="shared" ca="1" si="13"/>
        <v>0.803625088289178</v>
      </c>
      <c r="C257">
        <f t="shared" ca="1" si="14"/>
        <v>39</v>
      </c>
      <c r="D257">
        <f t="shared" ca="1" si="15"/>
        <v>39</v>
      </c>
    </row>
    <row r="258" spans="1:4" x14ac:dyDescent="0.25">
      <c r="A258" s="5">
        <v>257</v>
      </c>
      <c r="B258">
        <f t="shared" ca="1" si="13"/>
        <v>0.83157363108724447</v>
      </c>
      <c r="C258">
        <f t="shared" ca="1" si="14"/>
        <v>40</v>
      </c>
      <c r="D258">
        <f t="shared" ca="1" si="15"/>
        <v>12</v>
      </c>
    </row>
    <row r="259" spans="1:4" x14ac:dyDescent="0.25">
      <c r="A259" s="5">
        <v>258</v>
      </c>
      <c r="B259">
        <f t="shared" ref="B259:B322" ca="1" si="16">RAND()</f>
        <v>8.2795507797448264E-2</v>
      </c>
      <c r="C259">
        <f t="shared" ref="C259:C322" ca="1" si="17">INT(B259*48)+1</f>
        <v>4</v>
      </c>
      <c r="D259">
        <f t="shared" ref="D259:D322" ca="1" si="18">IF(MOD(C259,3)=0,C259,12)</f>
        <v>12</v>
      </c>
    </row>
    <row r="260" spans="1:4" x14ac:dyDescent="0.25">
      <c r="A260" s="5">
        <v>259</v>
      </c>
      <c r="B260">
        <f t="shared" ca="1" si="16"/>
        <v>0.91708801794101358</v>
      </c>
      <c r="C260">
        <f t="shared" ca="1" si="17"/>
        <v>45</v>
      </c>
      <c r="D260">
        <f t="shared" ca="1" si="18"/>
        <v>45</v>
      </c>
    </row>
    <row r="261" spans="1:4" x14ac:dyDescent="0.25">
      <c r="A261" s="5">
        <v>260</v>
      </c>
      <c r="B261">
        <f t="shared" ca="1" si="16"/>
        <v>0.53199392470435214</v>
      </c>
      <c r="C261">
        <f t="shared" ca="1" si="17"/>
        <v>26</v>
      </c>
      <c r="D261">
        <f t="shared" ca="1" si="18"/>
        <v>12</v>
      </c>
    </row>
    <row r="262" spans="1:4" x14ac:dyDescent="0.25">
      <c r="A262" s="5">
        <v>261</v>
      </c>
      <c r="B262">
        <f t="shared" ca="1" si="16"/>
        <v>3.9775616550952186E-4</v>
      </c>
      <c r="C262">
        <f t="shared" ca="1" si="17"/>
        <v>1</v>
      </c>
      <c r="D262">
        <f t="shared" ca="1" si="18"/>
        <v>12</v>
      </c>
    </row>
    <row r="263" spans="1:4" x14ac:dyDescent="0.25">
      <c r="A263" s="5">
        <v>262</v>
      </c>
      <c r="B263">
        <f t="shared" ca="1" si="16"/>
        <v>0.69365034818844318</v>
      </c>
      <c r="C263">
        <f t="shared" ca="1" si="17"/>
        <v>34</v>
      </c>
      <c r="D263">
        <f t="shared" ca="1" si="18"/>
        <v>12</v>
      </c>
    </row>
    <row r="264" spans="1:4" x14ac:dyDescent="0.25">
      <c r="A264" s="5">
        <v>263</v>
      </c>
      <c r="B264">
        <f t="shared" ca="1" si="16"/>
        <v>0.6613436128792104</v>
      </c>
      <c r="C264">
        <f t="shared" ca="1" si="17"/>
        <v>32</v>
      </c>
      <c r="D264">
        <f t="shared" ca="1" si="18"/>
        <v>12</v>
      </c>
    </row>
    <row r="265" spans="1:4" x14ac:dyDescent="0.25">
      <c r="A265" s="5">
        <v>264</v>
      </c>
      <c r="B265">
        <f t="shared" ca="1" si="16"/>
        <v>0.23908659772112573</v>
      </c>
      <c r="C265">
        <f t="shared" ca="1" si="17"/>
        <v>12</v>
      </c>
      <c r="D265">
        <f t="shared" ca="1" si="18"/>
        <v>12</v>
      </c>
    </row>
    <row r="266" spans="1:4" x14ac:dyDescent="0.25">
      <c r="A266" s="5">
        <v>265</v>
      </c>
      <c r="B266">
        <f t="shared" ca="1" si="16"/>
        <v>0.40716889386775779</v>
      </c>
      <c r="C266">
        <f t="shared" ca="1" si="17"/>
        <v>20</v>
      </c>
      <c r="D266">
        <f t="shared" ca="1" si="18"/>
        <v>12</v>
      </c>
    </row>
    <row r="267" spans="1:4" x14ac:dyDescent="0.25">
      <c r="A267" s="5">
        <v>266</v>
      </c>
      <c r="B267">
        <f t="shared" ca="1" si="16"/>
        <v>0.45295126846227618</v>
      </c>
      <c r="C267">
        <f t="shared" ca="1" si="17"/>
        <v>22</v>
      </c>
      <c r="D267">
        <f t="shared" ca="1" si="18"/>
        <v>12</v>
      </c>
    </row>
    <row r="268" spans="1:4" x14ac:dyDescent="0.25">
      <c r="A268" s="5">
        <v>267</v>
      </c>
      <c r="B268">
        <f t="shared" ca="1" si="16"/>
        <v>0.14959257156910644</v>
      </c>
      <c r="C268">
        <f t="shared" ca="1" si="17"/>
        <v>8</v>
      </c>
      <c r="D268">
        <f t="shared" ca="1" si="18"/>
        <v>12</v>
      </c>
    </row>
    <row r="269" spans="1:4" x14ac:dyDescent="0.25">
      <c r="A269" s="5">
        <v>268</v>
      </c>
      <c r="B269">
        <f t="shared" ca="1" si="16"/>
        <v>0.9269033381692342</v>
      </c>
      <c r="C269">
        <f t="shared" ca="1" si="17"/>
        <v>45</v>
      </c>
      <c r="D269">
        <f t="shared" ca="1" si="18"/>
        <v>45</v>
      </c>
    </row>
    <row r="270" spans="1:4" x14ac:dyDescent="0.25">
      <c r="A270" s="5">
        <v>269</v>
      </c>
      <c r="B270">
        <f t="shared" ca="1" si="16"/>
        <v>0.14084007427251966</v>
      </c>
      <c r="C270">
        <f t="shared" ca="1" si="17"/>
        <v>7</v>
      </c>
      <c r="D270">
        <f t="shared" ca="1" si="18"/>
        <v>12</v>
      </c>
    </row>
    <row r="271" spans="1:4" x14ac:dyDescent="0.25">
      <c r="A271" s="5">
        <v>270</v>
      </c>
      <c r="B271">
        <f t="shared" ca="1" si="16"/>
        <v>0.90853308178348868</v>
      </c>
      <c r="C271">
        <f t="shared" ca="1" si="17"/>
        <v>44</v>
      </c>
      <c r="D271">
        <f t="shared" ca="1" si="18"/>
        <v>12</v>
      </c>
    </row>
    <row r="272" spans="1:4" x14ac:dyDescent="0.25">
      <c r="A272" s="5">
        <v>271</v>
      </c>
      <c r="B272">
        <f t="shared" ca="1" si="16"/>
        <v>0.84033567130310882</v>
      </c>
      <c r="C272">
        <f t="shared" ca="1" si="17"/>
        <v>41</v>
      </c>
      <c r="D272">
        <f t="shared" ca="1" si="18"/>
        <v>12</v>
      </c>
    </row>
    <row r="273" spans="1:4" x14ac:dyDescent="0.25">
      <c r="A273" s="5">
        <v>272</v>
      </c>
      <c r="B273">
        <f t="shared" ca="1" si="16"/>
        <v>0.22861015752496749</v>
      </c>
      <c r="C273">
        <f t="shared" ca="1" si="17"/>
        <v>11</v>
      </c>
      <c r="D273">
        <f t="shared" ca="1" si="18"/>
        <v>12</v>
      </c>
    </row>
    <row r="274" spans="1:4" x14ac:dyDescent="0.25">
      <c r="A274" s="5">
        <v>273</v>
      </c>
      <c r="B274">
        <f t="shared" ca="1" si="16"/>
        <v>0.58764137675686168</v>
      </c>
      <c r="C274">
        <f t="shared" ca="1" si="17"/>
        <v>29</v>
      </c>
      <c r="D274">
        <f t="shared" ca="1" si="18"/>
        <v>12</v>
      </c>
    </row>
    <row r="275" spans="1:4" x14ac:dyDescent="0.25">
      <c r="A275" s="5">
        <v>274</v>
      </c>
      <c r="B275">
        <f t="shared" ca="1" si="16"/>
        <v>0.14331970022916163</v>
      </c>
      <c r="C275">
        <f t="shared" ca="1" si="17"/>
        <v>7</v>
      </c>
      <c r="D275">
        <f t="shared" ca="1" si="18"/>
        <v>12</v>
      </c>
    </row>
    <row r="276" spans="1:4" x14ac:dyDescent="0.25">
      <c r="A276" s="5">
        <v>275</v>
      </c>
      <c r="B276">
        <f t="shared" ca="1" si="16"/>
        <v>0.9454306993764352</v>
      </c>
      <c r="C276">
        <f t="shared" ca="1" si="17"/>
        <v>46</v>
      </c>
      <c r="D276">
        <f t="shared" ca="1" si="18"/>
        <v>12</v>
      </c>
    </row>
    <row r="277" spans="1:4" x14ac:dyDescent="0.25">
      <c r="A277" s="5">
        <v>276</v>
      </c>
      <c r="B277">
        <f t="shared" ca="1" si="16"/>
        <v>0.9375155514161464</v>
      </c>
      <c r="C277">
        <f t="shared" ca="1" si="17"/>
        <v>46</v>
      </c>
      <c r="D277">
        <f t="shared" ca="1" si="18"/>
        <v>12</v>
      </c>
    </row>
    <row r="278" spans="1:4" x14ac:dyDescent="0.25">
      <c r="A278" s="5">
        <v>277</v>
      </c>
      <c r="B278">
        <f t="shared" ca="1" si="16"/>
        <v>0.4112505077449008</v>
      </c>
      <c r="C278">
        <f t="shared" ca="1" si="17"/>
        <v>20</v>
      </c>
      <c r="D278">
        <f t="shared" ca="1" si="18"/>
        <v>12</v>
      </c>
    </row>
    <row r="279" spans="1:4" x14ac:dyDescent="0.25">
      <c r="A279" s="5">
        <v>278</v>
      </c>
      <c r="B279">
        <f t="shared" ca="1" si="16"/>
        <v>0.22388559601766067</v>
      </c>
      <c r="C279">
        <f t="shared" ca="1" si="17"/>
        <v>11</v>
      </c>
      <c r="D279">
        <f t="shared" ca="1" si="18"/>
        <v>12</v>
      </c>
    </row>
    <row r="280" spans="1:4" x14ac:dyDescent="0.25">
      <c r="A280" s="5">
        <v>279</v>
      </c>
      <c r="B280">
        <f t="shared" ca="1" si="16"/>
        <v>0.80242902826208751</v>
      </c>
      <c r="C280">
        <f t="shared" ca="1" si="17"/>
        <v>39</v>
      </c>
      <c r="D280">
        <f t="shared" ca="1" si="18"/>
        <v>39</v>
      </c>
    </row>
    <row r="281" spans="1:4" x14ac:dyDescent="0.25">
      <c r="A281" s="5">
        <v>280</v>
      </c>
      <c r="B281">
        <f t="shared" ca="1" si="16"/>
        <v>0.59890610300449199</v>
      </c>
      <c r="C281">
        <f t="shared" ca="1" si="17"/>
        <v>29</v>
      </c>
      <c r="D281">
        <f t="shared" ca="1" si="18"/>
        <v>12</v>
      </c>
    </row>
    <row r="282" spans="1:4" x14ac:dyDescent="0.25">
      <c r="A282" s="5">
        <v>281</v>
      </c>
      <c r="B282">
        <f t="shared" ca="1" si="16"/>
        <v>0.18376046628547704</v>
      </c>
      <c r="C282">
        <f t="shared" ca="1" si="17"/>
        <v>9</v>
      </c>
      <c r="D282">
        <f t="shared" ca="1" si="18"/>
        <v>9</v>
      </c>
    </row>
    <row r="283" spans="1:4" x14ac:dyDescent="0.25">
      <c r="A283" s="5">
        <v>282</v>
      </c>
      <c r="B283">
        <f t="shared" ca="1" si="16"/>
        <v>0.53755974690983177</v>
      </c>
      <c r="C283">
        <f t="shared" ca="1" si="17"/>
        <v>26</v>
      </c>
      <c r="D283">
        <f t="shared" ca="1" si="18"/>
        <v>12</v>
      </c>
    </row>
    <row r="284" spans="1:4" x14ac:dyDescent="0.25">
      <c r="A284" s="5">
        <v>283</v>
      </c>
      <c r="B284">
        <f t="shared" ca="1" si="16"/>
        <v>0.83839949996201801</v>
      </c>
      <c r="C284">
        <f t="shared" ca="1" si="17"/>
        <v>41</v>
      </c>
      <c r="D284">
        <f t="shared" ca="1" si="18"/>
        <v>12</v>
      </c>
    </row>
    <row r="285" spans="1:4" x14ac:dyDescent="0.25">
      <c r="A285" s="5">
        <v>284</v>
      </c>
      <c r="B285">
        <f t="shared" ca="1" si="16"/>
        <v>0.51975968955804386</v>
      </c>
      <c r="C285">
        <f t="shared" ca="1" si="17"/>
        <v>25</v>
      </c>
      <c r="D285">
        <f t="shared" ca="1" si="18"/>
        <v>12</v>
      </c>
    </row>
    <row r="286" spans="1:4" x14ac:dyDescent="0.25">
      <c r="A286" s="5">
        <v>285</v>
      </c>
      <c r="B286">
        <f t="shared" ca="1" si="16"/>
        <v>0.20921402355417074</v>
      </c>
      <c r="C286">
        <f t="shared" ca="1" si="17"/>
        <v>11</v>
      </c>
      <c r="D286">
        <f t="shared" ca="1" si="18"/>
        <v>12</v>
      </c>
    </row>
    <row r="287" spans="1:4" x14ac:dyDescent="0.25">
      <c r="A287" s="5">
        <v>286</v>
      </c>
      <c r="B287">
        <f t="shared" ca="1" si="16"/>
        <v>0.25329315566684296</v>
      </c>
      <c r="C287">
        <f t="shared" ca="1" si="17"/>
        <v>13</v>
      </c>
      <c r="D287">
        <f t="shared" ca="1" si="18"/>
        <v>12</v>
      </c>
    </row>
    <row r="288" spans="1:4" x14ac:dyDescent="0.25">
      <c r="A288" s="5">
        <v>287</v>
      </c>
      <c r="B288">
        <f t="shared" ca="1" si="16"/>
        <v>0.98895308378577851</v>
      </c>
      <c r="C288">
        <f t="shared" ca="1" si="17"/>
        <v>48</v>
      </c>
      <c r="D288">
        <f t="shared" ca="1" si="18"/>
        <v>48</v>
      </c>
    </row>
    <row r="289" spans="1:4" x14ac:dyDescent="0.25">
      <c r="A289" s="5">
        <v>288</v>
      </c>
      <c r="B289">
        <f t="shared" ca="1" si="16"/>
        <v>0.31790676683166585</v>
      </c>
      <c r="C289">
        <f t="shared" ca="1" si="17"/>
        <v>16</v>
      </c>
      <c r="D289">
        <f t="shared" ca="1" si="18"/>
        <v>12</v>
      </c>
    </row>
    <row r="290" spans="1:4" x14ac:dyDescent="0.25">
      <c r="A290" s="5">
        <v>289</v>
      </c>
      <c r="B290">
        <f t="shared" ca="1" si="16"/>
        <v>0.26658148144631943</v>
      </c>
      <c r="C290">
        <f t="shared" ca="1" si="17"/>
        <v>13</v>
      </c>
      <c r="D290">
        <f t="shared" ca="1" si="18"/>
        <v>12</v>
      </c>
    </row>
    <row r="291" spans="1:4" x14ac:dyDescent="0.25">
      <c r="A291" s="5">
        <v>290</v>
      </c>
      <c r="B291">
        <f t="shared" ca="1" si="16"/>
        <v>0.33815714685554787</v>
      </c>
      <c r="C291">
        <f t="shared" ca="1" si="17"/>
        <v>17</v>
      </c>
      <c r="D291">
        <f t="shared" ca="1" si="18"/>
        <v>12</v>
      </c>
    </row>
    <row r="292" spans="1:4" x14ac:dyDescent="0.25">
      <c r="A292" s="5">
        <v>291</v>
      </c>
      <c r="B292">
        <f t="shared" ca="1" si="16"/>
        <v>0.12569932672377815</v>
      </c>
      <c r="C292">
        <f t="shared" ca="1" si="17"/>
        <v>7</v>
      </c>
      <c r="D292">
        <f t="shared" ca="1" si="18"/>
        <v>12</v>
      </c>
    </row>
    <row r="293" spans="1:4" x14ac:dyDescent="0.25">
      <c r="A293" s="5">
        <v>292</v>
      </c>
      <c r="B293">
        <f t="shared" ca="1" si="16"/>
        <v>0.38617310573059693</v>
      </c>
      <c r="C293">
        <f t="shared" ca="1" si="17"/>
        <v>19</v>
      </c>
      <c r="D293">
        <f t="shared" ca="1" si="18"/>
        <v>12</v>
      </c>
    </row>
    <row r="294" spans="1:4" x14ac:dyDescent="0.25">
      <c r="A294" s="5">
        <v>293</v>
      </c>
      <c r="B294">
        <f t="shared" ca="1" si="16"/>
        <v>0.44743503015523356</v>
      </c>
      <c r="C294">
        <f t="shared" ca="1" si="17"/>
        <v>22</v>
      </c>
      <c r="D294">
        <f t="shared" ca="1" si="18"/>
        <v>12</v>
      </c>
    </row>
    <row r="295" spans="1:4" x14ac:dyDescent="0.25">
      <c r="A295" s="5">
        <v>294</v>
      </c>
      <c r="B295">
        <f t="shared" ca="1" si="16"/>
        <v>0.6211634063787761</v>
      </c>
      <c r="C295">
        <f t="shared" ca="1" si="17"/>
        <v>30</v>
      </c>
      <c r="D295">
        <f t="shared" ca="1" si="18"/>
        <v>30</v>
      </c>
    </row>
    <row r="296" spans="1:4" x14ac:dyDescent="0.25">
      <c r="A296" s="5">
        <v>295</v>
      </c>
      <c r="B296">
        <f t="shared" ca="1" si="16"/>
        <v>0.41946329369527235</v>
      </c>
      <c r="C296">
        <f t="shared" ca="1" si="17"/>
        <v>21</v>
      </c>
      <c r="D296">
        <f t="shared" ca="1" si="18"/>
        <v>21</v>
      </c>
    </row>
    <row r="297" spans="1:4" x14ac:dyDescent="0.25">
      <c r="A297" s="5">
        <v>296</v>
      </c>
      <c r="B297">
        <f t="shared" ca="1" si="16"/>
        <v>0.13478637211072197</v>
      </c>
      <c r="C297">
        <f t="shared" ca="1" si="17"/>
        <v>7</v>
      </c>
      <c r="D297">
        <f t="shared" ca="1" si="18"/>
        <v>12</v>
      </c>
    </row>
    <row r="298" spans="1:4" x14ac:dyDescent="0.25">
      <c r="A298" s="5">
        <v>297</v>
      </c>
      <c r="B298">
        <f t="shared" ca="1" si="16"/>
        <v>0.76392592482326704</v>
      </c>
      <c r="C298">
        <f t="shared" ca="1" si="17"/>
        <v>37</v>
      </c>
      <c r="D298">
        <f t="shared" ca="1" si="18"/>
        <v>12</v>
      </c>
    </row>
    <row r="299" spans="1:4" x14ac:dyDescent="0.25">
      <c r="A299" s="5">
        <v>298</v>
      </c>
      <c r="B299">
        <f t="shared" ca="1" si="16"/>
        <v>7.015607438139182E-2</v>
      </c>
      <c r="C299">
        <f t="shared" ca="1" si="17"/>
        <v>4</v>
      </c>
      <c r="D299">
        <f t="shared" ca="1" si="18"/>
        <v>12</v>
      </c>
    </row>
    <row r="300" spans="1:4" x14ac:dyDescent="0.25">
      <c r="A300" s="5">
        <v>299</v>
      </c>
      <c r="B300">
        <f t="shared" ca="1" si="16"/>
        <v>0.54303475876327501</v>
      </c>
      <c r="C300">
        <f t="shared" ca="1" si="17"/>
        <v>27</v>
      </c>
      <c r="D300">
        <f t="shared" ca="1" si="18"/>
        <v>27</v>
      </c>
    </row>
    <row r="301" spans="1:4" x14ac:dyDescent="0.25">
      <c r="A301" s="5">
        <v>300</v>
      </c>
      <c r="B301">
        <f t="shared" ca="1" si="16"/>
        <v>7.8906066138701769E-2</v>
      </c>
      <c r="C301">
        <f t="shared" ca="1" si="17"/>
        <v>4</v>
      </c>
      <c r="D301">
        <f t="shared" ca="1" si="18"/>
        <v>12</v>
      </c>
    </row>
    <row r="302" spans="1:4" x14ac:dyDescent="0.25">
      <c r="A302" s="5">
        <v>301</v>
      </c>
      <c r="B302">
        <f t="shared" ca="1" si="16"/>
        <v>0.20672605451628256</v>
      </c>
      <c r="C302">
        <f t="shared" ca="1" si="17"/>
        <v>10</v>
      </c>
      <c r="D302">
        <f t="shared" ca="1" si="18"/>
        <v>12</v>
      </c>
    </row>
    <row r="303" spans="1:4" x14ac:dyDescent="0.25">
      <c r="A303" s="5">
        <v>302</v>
      </c>
      <c r="B303">
        <f t="shared" ca="1" si="16"/>
        <v>0.9041716387711376</v>
      </c>
      <c r="C303">
        <f t="shared" ca="1" si="17"/>
        <v>44</v>
      </c>
      <c r="D303">
        <f t="shared" ca="1" si="18"/>
        <v>12</v>
      </c>
    </row>
    <row r="304" spans="1:4" x14ac:dyDescent="0.25">
      <c r="A304" s="5">
        <v>303</v>
      </c>
      <c r="B304">
        <f t="shared" ca="1" si="16"/>
        <v>0.74543432828315292</v>
      </c>
      <c r="C304">
        <f t="shared" ca="1" si="17"/>
        <v>36</v>
      </c>
      <c r="D304">
        <f t="shared" ca="1" si="18"/>
        <v>36</v>
      </c>
    </row>
    <row r="305" spans="1:4" x14ac:dyDescent="0.25">
      <c r="A305" s="5">
        <v>304</v>
      </c>
      <c r="B305">
        <f t="shared" ca="1" si="16"/>
        <v>0.88773924653694591</v>
      </c>
      <c r="C305">
        <f t="shared" ca="1" si="17"/>
        <v>43</v>
      </c>
      <c r="D305">
        <f t="shared" ca="1" si="18"/>
        <v>12</v>
      </c>
    </row>
    <row r="306" spans="1:4" x14ac:dyDescent="0.25">
      <c r="A306" s="5">
        <v>305</v>
      </c>
      <c r="B306">
        <f t="shared" ca="1" si="16"/>
        <v>0.11149012614324239</v>
      </c>
      <c r="C306">
        <f t="shared" ca="1" si="17"/>
        <v>6</v>
      </c>
      <c r="D306">
        <f t="shared" ca="1" si="18"/>
        <v>6</v>
      </c>
    </row>
    <row r="307" spans="1:4" x14ac:dyDescent="0.25">
      <c r="A307" s="5">
        <v>306</v>
      </c>
      <c r="B307">
        <f t="shared" ca="1" si="16"/>
        <v>6.9261325377335536E-2</v>
      </c>
      <c r="C307">
        <f t="shared" ca="1" si="17"/>
        <v>4</v>
      </c>
      <c r="D307">
        <f t="shared" ca="1" si="18"/>
        <v>12</v>
      </c>
    </row>
    <row r="308" spans="1:4" x14ac:dyDescent="0.25">
      <c r="A308" s="5">
        <v>307</v>
      </c>
      <c r="B308">
        <f t="shared" ca="1" si="16"/>
        <v>0.22901600485841267</v>
      </c>
      <c r="C308">
        <f t="shared" ca="1" si="17"/>
        <v>11</v>
      </c>
      <c r="D308">
        <f t="shared" ca="1" si="18"/>
        <v>12</v>
      </c>
    </row>
    <row r="309" spans="1:4" x14ac:dyDescent="0.25">
      <c r="A309" s="5">
        <v>308</v>
      </c>
      <c r="B309">
        <f t="shared" ca="1" si="16"/>
        <v>0.88731490771296484</v>
      </c>
      <c r="C309">
        <f t="shared" ca="1" si="17"/>
        <v>43</v>
      </c>
      <c r="D309">
        <f t="shared" ca="1" si="18"/>
        <v>12</v>
      </c>
    </row>
    <row r="310" spans="1:4" x14ac:dyDescent="0.25">
      <c r="A310" s="5">
        <v>309</v>
      </c>
      <c r="B310">
        <f t="shared" ca="1" si="16"/>
        <v>0.75548146964164931</v>
      </c>
      <c r="C310">
        <f t="shared" ca="1" si="17"/>
        <v>37</v>
      </c>
      <c r="D310">
        <f t="shared" ca="1" si="18"/>
        <v>12</v>
      </c>
    </row>
    <row r="311" spans="1:4" x14ac:dyDescent="0.25">
      <c r="A311" s="5">
        <v>310</v>
      </c>
      <c r="B311">
        <f t="shared" ca="1" si="16"/>
        <v>0.93880660096478541</v>
      </c>
      <c r="C311">
        <f t="shared" ca="1" si="17"/>
        <v>46</v>
      </c>
      <c r="D311">
        <f t="shared" ca="1" si="18"/>
        <v>12</v>
      </c>
    </row>
    <row r="312" spans="1:4" x14ac:dyDescent="0.25">
      <c r="A312" s="5">
        <v>311</v>
      </c>
      <c r="B312">
        <f t="shared" ca="1" si="16"/>
        <v>0.46007141098293802</v>
      </c>
      <c r="C312">
        <f t="shared" ca="1" si="17"/>
        <v>23</v>
      </c>
      <c r="D312">
        <f t="shared" ca="1" si="18"/>
        <v>12</v>
      </c>
    </row>
    <row r="313" spans="1:4" x14ac:dyDescent="0.25">
      <c r="A313" s="5">
        <v>312</v>
      </c>
      <c r="B313">
        <f t="shared" ca="1" si="16"/>
        <v>1.8870451686669121E-2</v>
      </c>
      <c r="C313">
        <f t="shared" ca="1" si="17"/>
        <v>1</v>
      </c>
      <c r="D313">
        <f t="shared" ca="1" si="18"/>
        <v>12</v>
      </c>
    </row>
    <row r="314" spans="1:4" x14ac:dyDescent="0.25">
      <c r="A314" s="5">
        <v>313</v>
      </c>
      <c r="B314">
        <f t="shared" ca="1" si="16"/>
        <v>5.1114312542042128E-3</v>
      </c>
      <c r="C314">
        <f t="shared" ca="1" si="17"/>
        <v>1</v>
      </c>
      <c r="D314">
        <f t="shared" ca="1" si="18"/>
        <v>12</v>
      </c>
    </row>
    <row r="315" spans="1:4" x14ac:dyDescent="0.25">
      <c r="A315" s="5">
        <v>314</v>
      </c>
      <c r="B315">
        <f t="shared" ca="1" si="16"/>
        <v>0.41586961308655301</v>
      </c>
      <c r="C315">
        <f t="shared" ca="1" si="17"/>
        <v>20</v>
      </c>
      <c r="D315">
        <f t="shared" ca="1" si="18"/>
        <v>12</v>
      </c>
    </row>
    <row r="316" spans="1:4" x14ac:dyDescent="0.25">
      <c r="A316" s="5">
        <v>315</v>
      </c>
      <c r="B316">
        <f t="shared" ca="1" si="16"/>
        <v>0.61542572244231875</v>
      </c>
      <c r="C316">
        <f t="shared" ca="1" si="17"/>
        <v>30</v>
      </c>
      <c r="D316">
        <f t="shared" ca="1" si="18"/>
        <v>30</v>
      </c>
    </row>
    <row r="317" spans="1:4" x14ac:dyDescent="0.25">
      <c r="A317" s="5">
        <v>316</v>
      </c>
      <c r="B317">
        <f t="shared" ca="1" si="16"/>
        <v>4.7825001095083142E-2</v>
      </c>
      <c r="C317">
        <f t="shared" ca="1" si="17"/>
        <v>3</v>
      </c>
      <c r="D317">
        <f t="shared" ca="1" si="18"/>
        <v>3</v>
      </c>
    </row>
    <row r="318" spans="1:4" x14ac:dyDescent="0.25">
      <c r="A318" s="5">
        <v>317</v>
      </c>
      <c r="B318">
        <f t="shared" ca="1" si="16"/>
        <v>0.96248869693521921</v>
      </c>
      <c r="C318">
        <f t="shared" ca="1" si="17"/>
        <v>47</v>
      </c>
      <c r="D318">
        <f t="shared" ca="1" si="18"/>
        <v>12</v>
      </c>
    </row>
    <row r="319" spans="1:4" x14ac:dyDescent="0.25">
      <c r="A319" s="5">
        <v>318</v>
      </c>
      <c r="B319">
        <f t="shared" ca="1" si="16"/>
        <v>0.81536025677505908</v>
      </c>
      <c r="C319">
        <f t="shared" ca="1" si="17"/>
        <v>40</v>
      </c>
      <c r="D319">
        <f t="shared" ca="1" si="18"/>
        <v>12</v>
      </c>
    </row>
    <row r="320" spans="1:4" x14ac:dyDescent="0.25">
      <c r="A320" s="5">
        <v>319</v>
      </c>
      <c r="B320">
        <f t="shared" ca="1" si="16"/>
        <v>0.50970180407328602</v>
      </c>
      <c r="C320">
        <f t="shared" ca="1" si="17"/>
        <v>25</v>
      </c>
      <c r="D320">
        <f t="shared" ca="1" si="18"/>
        <v>12</v>
      </c>
    </row>
    <row r="321" spans="1:4" x14ac:dyDescent="0.25">
      <c r="A321" s="5">
        <v>320</v>
      </c>
      <c r="B321">
        <f t="shared" ca="1" si="16"/>
        <v>0.88569793302698685</v>
      </c>
      <c r="C321">
        <f t="shared" ca="1" si="17"/>
        <v>43</v>
      </c>
      <c r="D321">
        <f t="shared" ca="1" si="18"/>
        <v>12</v>
      </c>
    </row>
    <row r="322" spans="1:4" x14ac:dyDescent="0.25">
      <c r="A322" s="5">
        <v>321</v>
      </c>
      <c r="B322">
        <f t="shared" ca="1" si="16"/>
        <v>0.99763544905646939</v>
      </c>
      <c r="C322">
        <f t="shared" ca="1" si="17"/>
        <v>48</v>
      </c>
      <c r="D322">
        <f t="shared" ca="1" si="18"/>
        <v>48</v>
      </c>
    </row>
    <row r="323" spans="1:4" x14ac:dyDescent="0.25">
      <c r="A323" s="5">
        <v>322</v>
      </c>
      <c r="B323">
        <f t="shared" ref="B323:B348" ca="1" si="19">RAND()</f>
        <v>0.88622147989130262</v>
      </c>
      <c r="C323">
        <f t="shared" ref="C323:C348" ca="1" si="20">INT(B323*48)+1</f>
        <v>43</v>
      </c>
      <c r="D323">
        <f t="shared" ref="D323:D348" ca="1" si="21">IF(MOD(C323,3)=0,C323,12)</f>
        <v>12</v>
      </c>
    </row>
    <row r="324" spans="1:4" x14ac:dyDescent="0.25">
      <c r="A324" s="5">
        <v>323</v>
      </c>
      <c r="B324">
        <f t="shared" ca="1" si="19"/>
        <v>0.78609051600331037</v>
      </c>
      <c r="C324">
        <f t="shared" ca="1" si="20"/>
        <v>38</v>
      </c>
      <c r="D324">
        <f t="shared" ca="1" si="21"/>
        <v>12</v>
      </c>
    </row>
    <row r="325" spans="1:4" x14ac:dyDescent="0.25">
      <c r="A325" s="5">
        <v>324</v>
      </c>
      <c r="B325">
        <f t="shared" ca="1" si="19"/>
        <v>0.69037960852541014</v>
      </c>
      <c r="C325">
        <f t="shared" ca="1" si="20"/>
        <v>34</v>
      </c>
      <c r="D325">
        <f t="shared" ca="1" si="21"/>
        <v>12</v>
      </c>
    </row>
    <row r="326" spans="1:4" x14ac:dyDescent="0.25">
      <c r="A326" s="5">
        <v>325</v>
      </c>
      <c r="B326">
        <f t="shared" ca="1" si="19"/>
        <v>8.5707631980676213E-2</v>
      </c>
      <c r="C326">
        <f t="shared" ca="1" si="20"/>
        <v>5</v>
      </c>
      <c r="D326">
        <f t="shared" ca="1" si="21"/>
        <v>12</v>
      </c>
    </row>
    <row r="327" spans="1:4" x14ac:dyDescent="0.25">
      <c r="A327" s="5">
        <v>326</v>
      </c>
      <c r="B327">
        <f t="shared" ca="1" si="19"/>
        <v>0.32012524188562286</v>
      </c>
      <c r="C327">
        <f t="shared" ca="1" si="20"/>
        <v>16</v>
      </c>
      <c r="D327">
        <f t="shared" ca="1" si="21"/>
        <v>12</v>
      </c>
    </row>
    <row r="328" spans="1:4" x14ac:dyDescent="0.25">
      <c r="A328" s="5">
        <v>327</v>
      </c>
      <c r="B328">
        <f t="shared" ca="1" si="19"/>
        <v>0.16193476239630877</v>
      </c>
      <c r="C328">
        <f t="shared" ca="1" si="20"/>
        <v>8</v>
      </c>
      <c r="D328">
        <f t="shared" ca="1" si="21"/>
        <v>12</v>
      </c>
    </row>
    <row r="329" spans="1:4" x14ac:dyDescent="0.25">
      <c r="A329" s="5">
        <v>328</v>
      </c>
      <c r="B329">
        <f t="shared" ca="1" si="19"/>
        <v>0.65309256186108777</v>
      </c>
      <c r="C329">
        <f t="shared" ca="1" si="20"/>
        <v>32</v>
      </c>
      <c r="D329">
        <f t="shared" ca="1" si="21"/>
        <v>12</v>
      </c>
    </row>
    <row r="330" spans="1:4" x14ac:dyDescent="0.25">
      <c r="A330" s="5">
        <v>329</v>
      </c>
      <c r="B330">
        <f t="shared" ca="1" si="19"/>
        <v>0.18481437465455797</v>
      </c>
      <c r="C330">
        <f t="shared" ca="1" si="20"/>
        <v>9</v>
      </c>
      <c r="D330">
        <f t="shared" ca="1" si="21"/>
        <v>9</v>
      </c>
    </row>
    <row r="331" spans="1:4" x14ac:dyDescent="0.25">
      <c r="A331" s="5">
        <v>330</v>
      </c>
      <c r="B331">
        <f t="shared" ca="1" si="19"/>
        <v>0.81573867640689768</v>
      </c>
      <c r="C331">
        <f t="shared" ca="1" si="20"/>
        <v>40</v>
      </c>
      <c r="D331">
        <f t="shared" ca="1" si="21"/>
        <v>12</v>
      </c>
    </row>
    <row r="332" spans="1:4" x14ac:dyDescent="0.25">
      <c r="A332" s="5">
        <v>331</v>
      </c>
      <c r="B332">
        <f t="shared" ca="1" si="19"/>
        <v>0.11346915077497877</v>
      </c>
      <c r="C332">
        <f t="shared" ca="1" si="20"/>
        <v>6</v>
      </c>
      <c r="D332">
        <f t="shared" ca="1" si="21"/>
        <v>6</v>
      </c>
    </row>
    <row r="333" spans="1:4" x14ac:dyDescent="0.25">
      <c r="A333" s="5">
        <v>332</v>
      </c>
      <c r="B333">
        <f t="shared" ca="1" si="19"/>
        <v>0.69676542681465126</v>
      </c>
      <c r="C333">
        <f t="shared" ca="1" si="20"/>
        <v>34</v>
      </c>
      <c r="D333">
        <f t="shared" ca="1" si="21"/>
        <v>12</v>
      </c>
    </row>
    <row r="334" spans="1:4" x14ac:dyDescent="0.25">
      <c r="A334" s="5">
        <v>333</v>
      </c>
      <c r="B334">
        <f t="shared" ca="1" si="19"/>
        <v>0.51867162494559238</v>
      </c>
      <c r="C334">
        <f t="shared" ca="1" si="20"/>
        <v>25</v>
      </c>
      <c r="D334">
        <f t="shared" ca="1" si="21"/>
        <v>12</v>
      </c>
    </row>
    <row r="335" spans="1:4" x14ac:dyDescent="0.25">
      <c r="A335" s="5">
        <v>334</v>
      </c>
      <c r="B335">
        <f t="shared" ca="1" si="19"/>
        <v>0.66527753013238045</v>
      </c>
      <c r="C335">
        <f t="shared" ca="1" si="20"/>
        <v>32</v>
      </c>
      <c r="D335">
        <f t="shared" ca="1" si="21"/>
        <v>12</v>
      </c>
    </row>
    <row r="336" spans="1:4" x14ac:dyDescent="0.25">
      <c r="A336" s="5">
        <v>335</v>
      </c>
      <c r="B336">
        <f t="shared" ca="1" si="19"/>
        <v>0.1397181773625944</v>
      </c>
      <c r="C336">
        <f t="shared" ca="1" si="20"/>
        <v>7</v>
      </c>
      <c r="D336">
        <f t="shared" ca="1" si="21"/>
        <v>12</v>
      </c>
    </row>
    <row r="337" spans="1:4" x14ac:dyDescent="0.25">
      <c r="A337" s="5">
        <v>336</v>
      </c>
      <c r="B337">
        <f t="shared" ca="1" si="19"/>
        <v>0.37371825806417902</v>
      </c>
      <c r="C337">
        <f t="shared" ca="1" si="20"/>
        <v>18</v>
      </c>
      <c r="D337">
        <f t="shared" ca="1" si="21"/>
        <v>18</v>
      </c>
    </row>
    <row r="338" spans="1:4" x14ac:dyDescent="0.25">
      <c r="A338" s="5">
        <v>337</v>
      </c>
      <c r="B338">
        <f t="shared" ca="1" si="19"/>
        <v>0.98032241428625477</v>
      </c>
      <c r="C338">
        <f t="shared" ca="1" si="20"/>
        <v>48</v>
      </c>
      <c r="D338">
        <f t="shared" ca="1" si="21"/>
        <v>48</v>
      </c>
    </row>
    <row r="339" spans="1:4" x14ac:dyDescent="0.25">
      <c r="A339" s="5">
        <v>338</v>
      </c>
      <c r="B339">
        <f t="shared" ca="1" si="19"/>
        <v>3.8379462975245415E-2</v>
      </c>
      <c r="C339">
        <f t="shared" ca="1" si="20"/>
        <v>2</v>
      </c>
      <c r="D339">
        <f t="shared" ca="1" si="21"/>
        <v>12</v>
      </c>
    </row>
    <row r="340" spans="1:4" x14ac:dyDescent="0.25">
      <c r="A340" s="5">
        <v>339</v>
      </c>
      <c r="B340">
        <f t="shared" ca="1" si="19"/>
        <v>0.46930176533647761</v>
      </c>
      <c r="C340">
        <f t="shared" ca="1" si="20"/>
        <v>23</v>
      </c>
      <c r="D340">
        <f t="shared" ca="1" si="21"/>
        <v>12</v>
      </c>
    </row>
    <row r="341" spans="1:4" x14ac:dyDescent="0.25">
      <c r="A341" s="5">
        <v>340</v>
      </c>
      <c r="B341">
        <f t="shared" ca="1" si="19"/>
        <v>0.17308842827982307</v>
      </c>
      <c r="C341">
        <f t="shared" ca="1" si="20"/>
        <v>9</v>
      </c>
      <c r="D341">
        <f t="shared" ca="1" si="21"/>
        <v>9</v>
      </c>
    </row>
    <row r="342" spans="1:4" x14ac:dyDescent="0.25">
      <c r="A342" s="5">
        <v>341</v>
      </c>
      <c r="B342">
        <f t="shared" ca="1" si="19"/>
        <v>0.82918608702136487</v>
      </c>
      <c r="C342">
        <f t="shared" ca="1" si="20"/>
        <v>40</v>
      </c>
      <c r="D342">
        <f t="shared" ca="1" si="21"/>
        <v>12</v>
      </c>
    </row>
    <row r="343" spans="1:4" x14ac:dyDescent="0.25">
      <c r="A343" s="5">
        <v>342</v>
      </c>
      <c r="B343">
        <f t="shared" ca="1" si="19"/>
        <v>0.94797505286747941</v>
      </c>
      <c r="C343">
        <f t="shared" ca="1" si="20"/>
        <v>46</v>
      </c>
      <c r="D343">
        <f t="shared" ca="1" si="21"/>
        <v>12</v>
      </c>
    </row>
    <row r="344" spans="1:4" x14ac:dyDescent="0.25">
      <c r="A344" s="5">
        <v>343</v>
      </c>
      <c r="B344">
        <f t="shared" ca="1" si="19"/>
        <v>0.87906596015569716</v>
      </c>
      <c r="C344">
        <f t="shared" ca="1" si="20"/>
        <v>43</v>
      </c>
      <c r="D344">
        <f t="shared" ca="1" si="21"/>
        <v>12</v>
      </c>
    </row>
    <row r="345" spans="1:4" x14ac:dyDescent="0.25">
      <c r="A345" s="5">
        <v>344</v>
      </c>
      <c r="B345">
        <f t="shared" ca="1" si="19"/>
        <v>0.95946385721599858</v>
      </c>
      <c r="C345">
        <f t="shared" ca="1" si="20"/>
        <v>47</v>
      </c>
      <c r="D345">
        <f t="shared" ca="1" si="21"/>
        <v>12</v>
      </c>
    </row>
    <row r="346" spans="1:4" x14ac:dyDescent="0.25">
      <c r="A346" s="5">
        <v>345</v>
      </c>
      <c r="B346">
        <f t="shared" ca="1" si="19"/>
        <v>0.26639639637294577</v>
      </c>
      <c r="C346">
        <f t="shared" ca="1" si="20"/>
        <v>13</v>
      </c>
      <c r="D346">
        <f t="shared" ca="1" si="21"/>
        <v>12</v>
      </c>
    </row>
    <row r="347" spans="1:4" x14ac:dyDescent="0.25">
      <c r="A347" s="5">
        <v>346</v>
      </c>
      <c r="B347">
        <f t="shared" ca="1" si="19"/>
        <v>0.7408035327763911</v>
      </c>
      <c r="C347">
        <f t="shared" ca="1" si="20"/>
        <v>36</v>
      </c>
      <c r="D347">
        <f t="shared" ca="1" si="21"/>
        <v>36</v>
      </c>
    </row>
    <row r="348" spans="1:4" x14ac:dyDescent="0.25">
      <c r="A348" s="5">
        <v>347</v>
      </c>
      <c r="B348">
        <f t="shared" ca="1" si="19"/>
        <v>0.78942356301561134</v>
      </c>
      <c r="C348">
        <f t="shared" ca="1" si="20"/>
        <v>38</v>
      </c>
      <c r="D348">
        <f t="shared" ca="1" si="21"/>
        <v>12</v>
      </c>
    </row>
    <row r="349" spans="1:4" x14ac:dyDescent="0.25">
      <c r="A349" s="5"/>
    </row>
    <row r="350" spans="1:4" x14ac:dyDescent="0.25">
      <c r="A350" s="5"/>
    </row>
    <row r="351" spans="1:4" x14ac:dyDescent="0.25">
      <c r="A351" s="5"/>
    </row>
    <row r="352" spans="1:4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52"/>
  <sheetViews>
    <sheetView topLeftCell="AZ1" workbookViewId="0">
      <selection activeCell="BL1" sqref="BL1:BL8"/>
    </sheetView>
  </sheetViews>
  <sheetFormatPr defaultRowHeight="15" x14ac:dyDescent="0.25"/>
  <cols>
    <col min="1" max="2" width="24.7109375" customWidth="1"/>
    <col min="34" max="34" width="25.85546875" customWidth="1"/>
    <col min="43" max="44" width="17.5703125" customWidth="1"/>
    <col min="46" max="46" width="14.28515625" customWidth="1"/>
    <col min="50" max="50" width="14.5703125" customWidth="1"/>
    <col min="55" max="55" width="31.42578125" customWidth="1"/>
    <col min="60" max="60" width="16.42578125" customWidth="1"/>
  </cols>
  <sheetData>
    <row r="1" spans="1:60" x14ac:dyDescent="0.25">
      <c r="J1" t="s">
        <v>1275</v>
      </c>
      <c r="K1" t="s">
        <v>1276</v>
      </c>
      <c r="P1" t="s">
        <v>1302</v>
      </c>
      <c r="Q1" t="s">
        <v>1303</v>
      </c>
      <c r="V1" t="s">
        <v>1314</v>
      </c>
      <c r="AA1" t="s">
        <v>12</v>
      </c>
      <c r="AH1" t="s">
        <v>2001</v>
      </c>
      <c r="AQ1" t="s">
        <v>2915</v>
      </c>
      <c r="AT1" t="s">
        <v>2918</v>
      </c>
      <c r="AX1" t="s">
        <v>2921</v>
      </c>
      <c r="BC1" t="s">
        <v>2923</v>
      </c>
      <c r="BH1" t="s">
        <v>2926</v>
      </c>
    </row>
    <row r="2" spans="1:60" x14ac:dyDescent="0.25">
      <c r="B2" t="s">
        <v>1234</v>
      </c>
      <c r="J2">
        <v>1</v>
      </c>
      <c r="K2" t="s">
        <v>1277</v>
      </c>
      <c r="P2">
        <v>0</v>
      </c>
      <c r="Q2" t="s">
        <v>1304</v>
      </c>
      <c r="U2">
        <v>1</v>
      </c>
      <c r="V2" t="s">
        <v>1315</v>
      </c>
      <c r="AA2" t="s">
        <v>1235</v>
      </c>
      <c r="AH2" t="s">
        <v>2006</v>
      </c>
      <c r="AI2" t="s">
        <v>1996</v>
      </c>
      <c r="AP2">
        <v>1</v>
      </c>
      <c r="AQ2" t="s">
        <v>2916</v>
      </c>
      <c r="AS2">
        <v>0</v>
      </c>
      <c r="AT2">
        <v>20000</v>
      </c>
      <c r="AW2">
        <v>0</v>
      </c>
      <c r="AX2" t="s">
        <v>2922</v>
      </c>
      <c r="BB2">
        <v>0</v>
      </c>
      <c r="BC2">
        <v>25000</v>
      </c>
      <c r="BG2">
        <v>0</v>
      </c>
      <c r="BH2" t="s">
        <v>2916</v>
      </c>
    </row>
    <row r="3" spans="1:60" x14ac:dyDescent="0.25">
      <c r="A3" t="s">
        <v>1235</v>
      </c>
      <c r="B3">
        <v>1</v>
      </c>
      <c r="J3">
        <v>2</v>
      </c>
      <c r="K3">
        <v>2500</v>
      </c>
      <c r="P3">
        <v>11</v>
      </c>
      <c r="Q3" t="s">
        <v>1305</v>
      </c>
      <c r="U3">
        <v>2</v>
      </c>
      <c r="V3" t="s">
        <v>1316</v>
      </c>
      <c r="AA3" t="s">
        <v>23</v>
      </c>
      <c r="AH3" t="s">
        <v>2007</v>
      </c>
      <c r="AI3" t="s">
        <v>1995</v>
      </c>
      <c r="AP3">
        <v>2</v>
      </c>
      <c r="AQ3">
        <v>50000</v>
      </c>
      <c r="AS3">
        <f>AS2+1</f>
        <v>1</v>
      </c>
      <c r="AT3">
        <v>25000</v>
      </c>
      <c r="AW3">
        <f>AW2+1</f>
        <v>1</v>
      </c>
      <c r="AX3">
        <v>50000</v>
      </c>
      <c r="BB3">
        <f>BB2+1</f>
        <v>1</v>
      </c>
      <c r="BC3">
        <v>50000</v>
      </c>
      <c r="BG3">
        <f>BG2+1</f>
        <v>1</v>
      </c>
      <c r="BH3">
        <v>50000</v>
      </c>
    </row>
    <row r="4" spans="1:60" x14ac:dyDescent="0.25">
      <c r="A4" t="s">
        <v>23</v>
      </c>
      <c r="B4">
        <v>0</v>
      </c>
      <c r="J4">
        <v>3</v>
      </c>
      <c r="K4">
        <v>2.5000000000000001E-3</v>
      </c>
      <c r="P4">
        <v>26</v>
      </c>
      <c r="Q4" t="s">
        <v>1306</v>
      </c>
      <c r="U4">
        <v>3</v>
      </c>
      <c r="V4" t="s">
        <v>1317</v>
      </c>
      <c r="AA4" t="s">
        <v>1236</v>
      </c>
      <c r="AH4" t="s">
        <v>2008</v>
      </c>
      <c r="AI4" t="s">
        <v>1995</v>
      </c>
      <c r="AP4">
        <v>3</v>
      </c>
      <c r="AQ4">
        <v>100000</v>
      </c>
      <c r="AS4">
        <f t="shared" ref="AS4:AS9" si="0">AS3+1</f>
        <v>2</v>
      </c>
      <c r="AT4">
        <v>50000</v>
      </c>
      <c r="AW4">
        <f t="shared" ref="AW4:AW5" si="1">AW3+1</f>
        <v>2</v>
      </c>
      <c r="AX4">
        <v>100000</v>
      </c>
      <c r="BB4">
        <f t="shared" ref="BB4:BB8" si="2">BB3+1</f>
        <v>2</v>
      </c>
      <c r="BC4">
        <v>100000</v>
      </c>
      <c r="BG4">
        <f t="shared" ref="BG4:BG8" si="3">BG3+1</f>
        <v>2</v>
      </c>
      <c r="BH4">
        <v>100000</v>
      </c>
    </row>
    <row r="5" spans="1:60" x14ac:dyDescent="0.25">
      <c r="A5" t="s">
        <v>1236</v>
      </c>
      <c r="B5">
        <v>1</v>
      </c>
      <c r="J5">
        <v>4</v>
      </c>
      <c r="K5">
        <v>5.0000000000000001E-3</v>
      </c>
      <c r="P5">
        <v>51</v>
      </c>
      <c r="Q5" t="s">
        <v>1307</v>
      </c>
      <c r="AA5" t="s">
        <v>1237</v>
      </c>
      <c r="AH5" t="s">
        <v>2003</v>
      </c>
      <c r="AI5" t="s">
        <v>1996</v>
      </c>
      <c r="AP5">
        <v>4</v>
      </c>
      <c r="AQ5">
        <v>250000</v>
      </c>
      <c r="AS5">
        <f t="shared" si="0"/>
        <v>3</v>
      </c>
      <c r="AT5">
        <v>100000</v>
      </c>
      <c r="AW5">
        <f t="shared" si="1"/>
        <v>3</v>
      </c>
      <c r="AX5">
        <v>200000</v>
      </c>
      <c r="BB5">
        <f t="shared" si="2"/>
        <v>3</v>
      </c>
      <c r="BC5">
        <v>250000</v>
      </c>
      <c r="BG5">
        <f t="shared" si="3"/>
        <v>3</v>
      </c>
      <c r="BH5">
        <v>250000</v>
      </c>
    </row>
    <row r="6" spans="1:60" x14ac:dyDescent="0.25">
      <c r="A6" t="s">
        <v>1237</v>
      </c>
      <c r="B6" t="s">
        <v>1238</v>
      </c>
      <c r="J6">
        <v>5</v>
      </c>
      <c r="K6">
        <v>0.01</v>
      </c>
      <c r="P6">
        <v>76</v>
      </c>
      <c r="Q6" t="s">
        <v>1308</v>
      </c>
      <c r="AA6" t="s">
        <v>19</v>
      </c>
      <c r="AH6" t="s">
        <v>1194</v>
      </c>
      <c r="AI6" t="s">
        <v>1996</v>
      </c>
      <c r="AP6">
        <v>5</v>
      </c>
      <c r="AQ6">
        <v>500000</v>
      </c>
      <c r="AS6">
        <f t="shared" si="0"/>
        <v>4</v>
      </c>
      <c r="AT6">
        <v>250000</v>
      </c>
      <c r="BB6">
        <f t="shared" si="2"/>
        <v>4</v>
      </c>
      <c r="BC6">
        <v>500000</v>
      </c>
      <c r="BG6">
        <f t="shared" si="3"/>
        <v>4</v>
      </c>
      <c r="BH6">
        <v>500000</v>
      </c>
    </row>
    <row r="7" spans="1:60" x14ac:dyDescent="0.25">
      <c r="A7" t="s">
        <v>19</v>
      </c>
      <c r="B7" t="s">
        <v>1238</v>
      </c>
      <c r="J7">
        <v>6</v>
      </c>
      <c r="K7">
        <v>0.02</v>
      </c>
      <c r="AA7" t="s">
        <v>1239</v>
      </c>
      <c r="AH7" t="s">
        <v>2009</v>
      </c>
      <c r="AI7" t="s">
        <v>1995</v>
      </c>
      <c r="AP7">
        <v>6</v>
      </c>
      <c r="AQ7">
        <v>1000000</v>
      </c>
      <c r="AS7">
        <f t="shared" si="0"/>
        <v>5</v>
      </c>
      <c r="AT7">
        <v>500000</v>
      </c>
      <c r="BB7">
        <f t="shared" si="2"/>
        <v>5</v>
      </c>
      <c r="BC7">
        <v>1000000</v>
      </c>
      <c r="BG7">
        <f t="shared" si="3"/>
        <v>5</v>
      </c>
      <c r="BH7">
        <v>1000000</v>
      </c>
    </row>
    <row r="8" spans="1:60" x14ac:dyDescent="0.25">
      <c r="A8" t="s">
        <v>1239</v>
      </c>
      <c r="B8">
        <v>1</v>
      </c>
      <c r="J8">
        <v>7</v>
      </c>
      <c r="K8">
        <v>0.03</v>
      </c>
      <c r="AA8" t="s">
        <v>1240</v>
      </c>
      <c r="AH8" t="s">
        <v>2010</v>
      </c>
      <c r="AI8" t="s">
        <v>1995</v>
      </c>
      <c r="AP8">
        <v>7</v>
      </c>
      <c r="AQ8">
        <v>2000000</v>
      </c>
      <c r="AS8">
        <f t="shared" si="0"/>
        <v>6</v>
      </c>
      <c r="AT8">
        <v>1000000</v>
      </c>
      <c r="BB8">
        <f t="shared" si="2"/>
        <v>6</v>
      </c>
      <c r="BC8">
        <v>2000000</v>
      </c>
      <c r="BG8">
        <f t="shared" si="3"/>
        <v>6</v>
      </c>
      <c r="BH8">
        <v>2000000</v>
      </c>
    </row>
    <row r="9" spans="1:60" x14ac:dyDescent="0.25">
      <c r="A9" t="s">
        <v>1240</v>
      </c>
      <c r="B9" t="s">
        <v>1238</v>
      </c>
      <c r="AA9" t="s">
        <v>1241</v>
      </c>
      <c r="AB9" t="s">
        <v>1242</v>
      </c>
      <c r="AH9" t="s">
        <v>2002</v>
      </c>
      <c r="AI9" t="s">
        <v>1995</v>
      </c>
      <c r="AS9">
        <f t="shared" si="0"/>
        <v>7</v>
      </c>
      <c r="AT9">
        <v>2000000</v>
      </c>
    </row>
    <row r="10" spans="1:60" x14ac:dyDescent="0.25">
      <c r="A10" t="s">
        <v>1241</v>
      </c>
      <c r="B10">
        <v>1</v>
      </c>
      <c r="AA10" t="s">
        <v>15</v>
      </c>
      <c r="AB10" t="s">
        <v>1244</v>
      </c>
      <c r="AH10" t="s">
        <v>2004</v>
      </c>
      <c r="AI10" t="s">
        <v>1995</v>
      </c>
    </row>
    <row r="11" spans="1:60" x14ac:dyDescent="0.25">
      <c r="A11" t="s">
        <v>1242</v>
      </c>
      <c r="B11" t="s">
        <v>1238</v>
      </c>
      <c r="AA11" t="s">
        <v>20</v>
      </c>
      <c r="AB11" t="s">
        <v>1245</v>
      </c>
      <c r="AH11" t="s">
        <v>2005</v>
      </c>
      <c r="AI11" t="s">
        <v>1995</v>
      </c>
    </row>
    <row r="12" spans="1:60" x14ac:dyDescent="0.25">
      <c r="A12" t="s">
        <v>15</v>
      </c>
      <c r="B12" t="s">
        <v>1238</v>
      </c>
      <c r="AA12" t="s">
        <v>1243</v>
      </c>
      <c r="AB12" t="s">
        <v>1256</v>
      </c>
    </row>
    <row r="13" spans="1:60" x14ac:dyDescent="0.25">
      <c r="A13" t="s">
        <v>20</v>
      </c>
      <c r="B13">
        <v>0</v>
      </c>
      <c r="AA13" t="s">
        <v>1246</v>
      </c>
      <c r="AB13" t="s">
        <v>1257</v>
      </c>
    </row>
    <row r="14" spans="1:60" x14ac:dyDescent="0.25">
      <c r="A14" t="s">
        <v>1243</v>
      </c>
      <c r="B14" t="s">
        <v>1238</v>
      </c>
      <c r="AA14" t="s">
        <v>1247</v>
      </c>
    </row>
    <row r="15" spans="1:60" x14ac:dyDescent="0.25">
      <c r="A15" t="s">
        <v>1244</v>
      </c>
      <c r="B15">
        <v>1</v>
      </c>
      <c r="AA15" t="s">
        <v>1248</v>
      </c>
    </row>
    <row r="16" spans="1:60" x14ac:dyDescent="0.25">
      <c r="A16" t="s">
        <v>1245</v>
      </c>
      <c r="B16" t="s">
        <v>1238</v>
      </c>
      <c r="AA16" t="s">
        <v>1249</v>
      </c>
    </row>
    <row r="17" spans="1:27" x14ac:dyDescent="0.25">
      <c r="A17" t="s">
        <v>1246</v>
      </c>
      <c r="B17">
        <v>0</v>
      </c>
      <c r="AA17" t="s">
        <v>22</v>
      </c>
    </row>
    <row r="18" spans="1:27" x14ac:dyDescent="0.25">
      <c r="A18" t="s">
        <v>1247</v>
      </c>
      <c r="B18">
        <v>1</v>
      </c>
      <c r="AA18" t="s">
        <v>13</v>
      </c>
    </row>
    <row r="19" spans="1:27" x14ac:dyDescent="0.25">
      <c r="A19" t="s">
        <v>1248</v>
      </c>
      <c r="B19">
        <v>1</v>
      </c>
      <c r="AA19" t="s">
        <v>1250</v>
      </c>
    </row>
    <row r="20" spans="1:27" x14ac:dyDescent="0.25">
      <c r="A20" t="s">
        <v>1249</v>
      </c>
      <c r="B20">
        <v>1</v>
      </c>
      <c r="AA20" t="s">
        <v>1251</v>
      </c>
    </row>
    <row r="21" spans="1:27" x14ac:dyDescent="0.25">
      <c r="A21" t="s">
        <v>22</v>
      </c>
      <c r="B21">
        <v>0</v>
      </c>
      <c r="AA21" t="s">
        <v>1252</v>
      </c>
    </row>
    <row r="22" spans="1:27" x14ac:dyDescent="0.25">
      <c r="A22" t="s">
        <v>13</v>
      </c>
      <c r="B22" t="s">
        <v>1238</v>
      </c>
      <c r="AA22" t="s">
        <v>1253</v>
      </c>
    </row>
    <row r="23" spans="1:27" x14ac:dyDescent="0.25">
      <c r="A23" t="s">
        <v>1250</v>
      </c>
      <c r="B23" t="s">
        <v>1238</v>
      </c>
      <c r="AA23" t="s">
        <v>1254</v>
      </c>
    </row>
    <row r="24" spans="1:27" x14ac:dyDescent="0.25">
      <c r="A24" t="s">
        <v>1251</v>
      </c>
      <c r="B24">
        <v>1</v>
      </c>
      <c r="AA24" t="s">
        <v>1255</v>
      </c>
    </row>
    <row r="25" spans="1:27" x14ac:dyDescent="0.25">
      <c r="A25" t="s">
        <v>1252</v>
      </c>
      <c r="B25">
        <v>1</v>
      </c>
      <c r="AA25" t="s">
        <v>21</v>
      </c>
    </row>
    <row r="26" spans="1:27" x14ac:dyDescent="0.25">
      <c r="A26" t="s">
        <v>1253</v>
      </c>
      <c r="B26">
        <v>1</v>
      </c>
      <c r="AA26" t="s">
        <v>1320</v>
      </c>
    </row>
    <row r="27" spans="1:27" x14ac:dyDescent="0.25">
      <c r="A27" t="s">
        <v>1254</v>
      </c>
      <c r="B27">
        <v>1</v>
      </c>
      <c r="AA27" t="s">
        <v>16</v>
      </c>
    </row>
    <row r="28" spans="1:27" x14ac:dyDescent="0.25">
      <c r="A28" t="s">
        <v>1255</v>
      </c>
      <c r="B28">
        <v>1</v>
      </c>
      <c r="AA28" t="s">
        <v>1258</v>
      </c>
    </row>
    <row r="29" spans="1:27" x14ac:dyDescent="0.25">
      <c r="A29" t="s">
        <v>21</v>
      </c>
      <c r="B29" t="s">
        <v>1238</v>
      </c>
      <c r="AA29" t="s">
        <v>1259</v>
      </c>
    </row>
    <row r="30" spans="1:27" x14ac:dyDescent="0.25">
      <c r="A30" t="s">
        <v>1256</v>
      </c>
      <c r="B30">
        <v>1</v>
      </c>
      <c r="AA30" t="s">
        <v>14</v>
      </c>
    </row>
    <row r="31" spans="1:27" x14ac:dyDescent="0.25">
      <c r="A31" t="s">
        <v>1257</v>
      </c>
      <c r="B31">
        <v>1</v>
      </c>
      <c r="AA31" t="s">
        <v>1260</v>
      </c>
    </row>
    <row r="32" spans="1:27" x14ac:dyDescent="0.25">
      <c r="A32" t="s">
        <v>1320</v>
      </c>
      <c r="B32">
        <v>1</v>
      </c>
      <c r="AA32" t="s">
        <v>1261</v>
      </c>
    </row>
    <row r="33" spans="1:27" x14ac:dyDescent="0.25">
      <c r="A33" t="s">
        <v>16</v>
      </c>
      <c r="B33" t="s">
        <v>1238</v>
      </c>
      <c r="AA33" t="s">
        <v>1262</v>
      </c>
    </row>
    <row r="34" spans="1:27" x14ac:dyDescent="0.25">
      <c r="A34" t="s">
        <v>1258</v>
      </c>
      <c r="B34" t="s">
        <v>1238</v>
      </c>
      <c r="AA34" t="s">
        <v>1263</v>
      </c>
    </row>
    <row r="35" spans="1:27" x14ac:dyDescent="0.25">
      <c r="A35" t="s">
        <v>1259</v>
      </c>
      <c r="B35" t="s">
        <v>1238</v>
      </c>
      <c r="AA35" t="s">
        <v>1264</v>
      </c>
    </row>
    <row r="36" spans="1:27" x14ac:dyDescent="0.25">
      <c r="A36" t="s">
        <v>14</v>
      </c>
      <c r="B36" t="s">
        <v>1238</v>
      </c>
      <c r="AA36" t="s">
        <v>17</v>
      </c>
    </row>
    <row r="37" spans="1:27" x14ac:dyDescent="0.25">
      <c r="A37" t="s">
        <v>1260</v>
      </c>
      <c r="B37">
        <v>1</v>
      </c>
      <c r="AA37" t="s">
        <v>1265</v>
      </c>
    </row>
    <row r="38" spans="1:27" x14ac:dyDescent="0.25">
      <c r="A38" t="s">
        <v>1261</v>
      </c>
      <c r="B38">
        <v>1</v>
      </c>
      <c r="AA38" t="s">
        <v>1266</v>
      </c>
    </row>
    <row r="39" spans="1:27" x14ac:dyDescent="0.25">
      <c r="A39" t="s">
        <v>1262</v>
      </c>
      <c r="B39" t="s">
        <v>1238</v>
      </c>
      <c r="AA39" t="s">
        <v>18</v>
      </c>
    </row>
    <row r="40" spans="1:27" x14ac:dyDescent="0.25">
      <c r="A40" t="s">
        <v>1263</v>
      </c>
      <c r="B40">
        <v>1</v>
      </c>
      <c r="AA40" t="s">
        <v>1267</v>
      </c>
    </row>
    <row r="41" spans="1:27" x14ac:dyDescent="0.25">
      <c r="A41" t="s">
        <v>1264</v>
      </c>
      <c r="B41" t="s">
        <v>1238</v>
      </c>
      <c r="AA41" t="s">
        <v>1268</v>
      </c>
    </row>
    <row r="42" spans="1:27" x14ac:dyDescent="0.25">
      <c r="A42" t="s">
        <v>17</v>
      </c>
      <c r="B42" t="s">
        <v>1238</v>
      </c>
      <c r="AA42" t="s">
        <v>1269</v>
      </c>
    </row>
    <row r="43" spans="1:27" x14ac:dyDescent="0.25">
      <c r="A43" t="s">
        <v>1265</v>
      </c>
      <c r="B43">
        <v>1</v>
      </c>
      <c r="AA43" t="s">
        <v>1270</v>
      </c>
    </row>
    <row r="44" spans="1:27" x14ac:dyDescent="0.25">
      <c r="A44" t="s">
        <v>1266</v>
      </c>
      <c r="B44" t="s">
        <v>1238</v>
      </c>
      <c r="AA44" t="s">
        <v>1271</v>
      </c>
    </row>
    <row r="45" spans="1:27" x14ac:dyDescent="0.25">
      <c r="A45" t="s">
        <v>18</v>
      </c>
      <c r="B45">
        <v>0</v>
      </c>
      <c r="AA45" t="s">
        <v>1272</v>
      </c>
    </row>
    <row r="46" spans="1:27" x14ac:dyDescent="0.25">
      <c r="A46" t="s">
        <v>1267</v>
      </c>
      <c r="B46" t="s">
        <v>1238</v>
      </c>
      <c r="AA46" t="s">
        <v>1273</v>
      </c>
    </row>
    <row r="47" spans="1:27" x14ac:dyDescent="0.25">
      <c r="A47" t="s">
        <v>1268</v>
      </c>
      <c r="B47" t="s">
        <v>1238</v>
      </c>
    </row>
    <row r="48" spans="1:27" x14ac:dyDescent="0.25">
      <c r="A48" t="s">
        <v>1269</v>
      </c>
      <c r="B48">
        <v>1</v>
      </c>
    </row>
    <row r="49" spans="1:2" x14ac:dyDescent="0.25">
      <c r="A49" t="s">
        <v>1270</v>
      </c>
      <c r="B49" t="s">
        <v>1238</v>
      </c>
    </row>
    <row r="50" spans="1:2" x14ac:dyDescent="0.25">
      <c r="A50" t="s">
        <v>1271</v>
      </c>
      <c r="B50">
        <v>1</v>
      </c>
    </row>
    <row r="51" spans="1:2" x14ac:dyDescent="0.25">
      <c r="A51" t="s">
        <v>1272</v>
      </c>
      <c r="B51">
        <v>1</v>
      </c>
    </row>
    <row r="52" spans="1:2" x14ac:dyDescent="0.25">
      <c r="A52" t="s">
        <v>1273</v>
      </c>
      <c r="B52">
        <v>1</v>
      </c>
    </row>
  </sheetData>
  <sortState xmlns:xlrd2="http://schemas.microsoft.com/office/spreadsheetml/2017/richdata2" ref="AA2:AA46">
    <sortCondition ref="AA2:AA4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</vt:lpstr>
      <vt:lpstr>Sheet1</vt:lpstr>
      <vt:lpstr>Sheet3</vt:lpstr>
    </vt:vector>
  </TitlesOfParts>
  <Company>Pure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Sheriff Oseni</dc:creator>
  <cp:lastModifiedBy>Katarina Gigic</cp:lastModifiedBy>
  <dcterms:created xsi:type="dcterms:W3CDTF">2023-03-29T18:52:02Z</dcterms:created>
  <dcterms:modified xsi:type="dcterms:W3CDTF">2024-10-08T20:48:01Z</dcterms:modified>
</cp:coreProperties>
</file>